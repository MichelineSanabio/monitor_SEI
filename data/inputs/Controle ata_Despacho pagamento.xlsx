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isha\Documents\Github\monitor_SEI\data\inputs\"/>
    </mc:Choice>
  </mc:AlternateContent>
  <xr:revisionPtr revIDLastSave="0" documentId="13_ncr:1_{9BAA94F5-A8E5-4D26-B3B4-7AA75A7D1DE9}" xr6:coauthVersionLast="47" xr6:coauthVersionMax="47" xr10:uidLastSave="{00000000-0000-0000-0000-000000000000}"/>
  <bookViews>
    <workbookView xWindow="3420" yWindow="3420" windowWidth="21600" windowHeight="11295" xr2:uid="{00000000-000D-0000-FFFF-FFFF00000000}"/>
  </bookViews>
  <sheets>
    <sheet name="preencher" sheetId="1" r:id="rId1"/>
    <sheet name="PAD" sheetId="3" state="hidden" r:id="rId2"/>
    <sheet name="Sind.CINQA" sheetId="4" state="hidden" r:id="rId3"/>
  </sheets>
  <definedNames>
    <definedName name="_xlnm._FilterDatabase" localSheetId="1" hidden="1">PAD!$A$1:$X$357</definedName>
    <definedName name="_xlnm._FilterDatabase" localSheetId="0" hidden="1">preencher!$A$1:$D$1023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80" i="4" l="1"/>
  <c r="R580" i="4"/>
  <c r="Q580" i="4"/>
  <c r="P580" i="4"/>
  <c r="O580" i="4"/>
  <c r="N580" i="4"/>
  <c r="S579" i="4"/>
  <c r="R579" i="4"/>
  <c r="Q579" i="4"/>
  <c r="P579" i="4"/>
  <c r="O579" i="4"/>
  <c r="N579" i="4"/>
  <c r="S578" i="4"/>
  <c r="R578" i="4"/>
  <c r="Q578" i="4"/>
  <c r="P578" i="4"/>
  <c r="O578" i="4"/>
  <c r="N578" i="4"/>
  <c r="S577" i="4"/>
  <c r="R577" i="4"/>
  <c r="Q577" i="4"/>
  <c r="P577" i="4"/>
  <c r="O577" i="4"/>
  <c r="N577" i="4"/>
  <c r="S576" i="4"/>
  <c r="R576" i="4"/>
  <c r="Q576" i="4"/>
  <c r="P576" i="4"/>
  <c r="O576" i="4"/>
  <c r="N576" i="4"/>
  <c r="S575" i="4"/>
  <c r="R575" i="4"/>
  <c r="Q575" i="4"/>
  <c r="P575" i="4"/>
  <c r="O575" i="4"/>
  <c r="N575" i="4"/>
  <c r="S574" i="4"/>
  <c r="R574" i="4"/>
  <c r="Q574" i="4"/>
  <c r="P574" i="4"/>
  <c r="O574" i="4"/>
  <c r="N574" i="4"/>
  <c r="S573" i="4"/>
  <c r="R573" i="4"/>
  <c r="Q573" i="4"/>
  <c r="P573" i="4"/>
  <c r="O573" i="4"/>
  <c r="N573" i="4"/>
  <c r="S572" i="4"/>
  <c r="R572" i="4"/>
  <c r="Q572" i="4"/>
  <c r="P572" i="4"/>
  <c r="O572" i="4"/>
  <c r="N572" i="4"/>
  <c r="S571" i="4"/>
  <c r="R571" i="4"/>
  <c r="Q571" i="4"/>
  <c r="P571" i="4"/>
  <c r="O571" i="4"/>
  <c r="N571" i="4"/>
  <c r="S570" i="4"/>
  <c r="R570" i="4"/>
  <c r="Q570" i="4"/>
  <c r="P570" i="4"/>
  <c r="O570" i="4"/>
  <c r="N570" i="4"/>
  <c r="S569" i="4"/>
  <c r="R569" i="4"/>
  <c r="Q569" i="4"/>
  <c r="P569" i="4"/>
  <c r="O569" i="4"/>
  <c r="N569" i="4"/>
  <c r="S568" i="4"/>
  <c r="R568" i="4"/>
  <c r="Q568" i="4"/>
  <c r="P568" i="4"/>
  <c r="O568" i="4"/>
  <c r="N568" i="4"/>
  <c r="S567" i="4"/>
  <c r="R567" i="4"/>
  <c r="Q567" i="4"/>
  <c r="P567" i="4"/>
  <c r="O567" i="4"/>
  <c r="N567" i="4"/>
  <c r="S566" i="4"/>
  <c r="R566" i="4"/>
  <c r="Q566" i="4"/>
  <c r="P566" i="4"/>
  <c r="O566" i="4"/>
  <c r="N566" i="4"/>
  <c r="S565" i="4"/>
  <c r="R565" i="4"/>
  <c r="Q565" i="4"/>
  <c r="P565" i="4"/>
  <c r="O565" i="4"/>
  <c r="N565" i="4"/>
  <c r="S564" i="4"/>
  <c r="R564" i="4"/>
  <c r="Q564" i="4"/>
  <c r="P564" i="4"/>
  <c r="O564" i="4"/>
  <c r="N564" i="4"/>
  <c r="S563" i="4"/>
  <c r="R563" i="4"/>
  <c r="Q563" i="4"/>
  <c r="P563" i="4"/>
  <c r="O563" i="4"/>
  <c r="N563" i="4"/>
  <c r="S562" i="4"/>
  <c r="R562" i="4"/>
  <c r="Q562" i="4"/>
  <c r="P562" i="4"/>
  <c r="O562" i="4"/>
  <c r="N562" i="4"/>
  <c r="S561" i="4"/>
  <c r="R561" i="4"/>
  <c r="Q561" i="4"/>
  <c r="P561" i="4"/>
  <c r="O561" i="4"/>
  <c r="N561" i="4"/>
  <c r="S560" i="4"/>
  <c r="R560" i="4"/>
  <c r="Q560" i="4"/>
  <c r="P560" i="4"/>
  <c r="O560" i="4"/>
  <c r="N560" i="4"/>
  <c r="S559" i="4"/>
  <c r="R559" i="4"/>
  <c r="Q559" i="4"/>
  <c r="P559" i="4"/>
  <c r="O559" i="4"/>
  <c r="N559" i="4"/>
  <c r="S558" i="4"/>
  <c r="R558" i="4"/>
  <c r="Q558" i="4"/>
  <c r="P558" i="4"/>
  <c r="O558" i="4"/>
  <c r="N558" i="4"/>
  <c r="S557" i="4"/>
  <c r="R557" i="4"/>
  <c r="Q557" i="4"/>
  <c r="P557" i="4"/>
  <c r="O557" i="4"/>
  <c r="N557" i="4"/>
  <c r="S556" i="4"/>
  <c r="R556" i="4"/>
  <c r="Q556" i="4"/>
  <c r="P556" i="4"/>
  <c r="O556" i="4"/>
  <c r="N556" i="4"/>
  <c r="S555" i="4"/>
  <c r="R555" i="4"/>
  <c r="Q555" i="4"/>
  <c r="P555" i="4"/>
  <c r="O555" i="4"/>
  <c r="N555" i="4"/>
  <c r="S554" i="4"/>
  <c r="R554" i="4"/>
  <c r="Q554" i="4"/>
  <c r="P554" i="4"/>
  <c r="O554" i="4"/>
  <c r="N554" i="4"/>
  <c r="S553" i="4"/>
  <c r="R553" i="4"/>
  <c r="Q553" i="4"/>
  <c r="P553" i="4"/>
  <c r="O553" i="4"/>
  <c r="N553" i="4"/>
  <c r="S552" i="4"/>
  <c r="R552" i="4"/>
  <c r="Q552" i="4"/>
  <c r="P552" i="4"/>
  <c r="O552" i="4"/>
  <c r="N552" i="4"/>
  <c r="S551" i="4"/>
  <c r="R551" i="4"/>
  <c r="Q551" i="4"/>
  <c r="P551" i="4"/>
  <c r="O551" i="4"/>
  <c r="N551" i="4"/>
  <c r="S550" i="4"/>
  <c r="R550" i="4"/>
  <c r="Q550" i="4"/>
  <c r="P550" i="4"/>
  <c r="O550" i="4"/>
  <c r="N550" i="4"/>
  <c r="S549" i="4"/>
  <c r="R549" i="4"/>
  <c r="Q549" i="4"/>
  <c r="P549" i="4"/>
  <c r="O549" i="4"/>
  <c r="N549" i="4"/>
  <c r="S548" i="4"/>
  <c r="R548" i="4"/>
  <c r="Q548" i="4"/>
  <c r="P548" i="4"/>
  <c r="O548" i="4"/>
  <c r="N548" i="4"/>
  <c r="S547" i="4"/>
  <c r="R547" i="4"/>
  <c r="Q547" i="4"/>
  <c r="P547" i="4"/>
  <c r="O547" i="4"/>
  <c r="N547" i="4"/>
  <c r="S546" i="4"/>
  <c r="R546" i="4"/>
  <c r="Q546" i="4"/>
  <c r="P546" i="4"/>
  <c r="O546" i="4"/>
  <c r="N546" i="4"/>
  <c r="S545" i="4"/>
  <c r="R545" i="4"/>
  <c r="Q545" i="4"/>
  <c r="P545" i="4"/>
  <c r="O545" i="4"/>
  <c r="N545" i="4"/>
  <c r="S544" i="4"/>
  <c r="R544" i="4"/>
  <c r="Q544" i="4"/>
  <c r="P544" i="4"/>
  <c r="O544" i="4"/>
  <c r="N544" i="4"/>
  <c r="S543" i="4"/>
  <c r="R543" i="4"/>
  <c r="Q543" i="4"/>
  <c r="P543" i="4"/>
  <c r="O543" i="4"/>
  <c r="N543" i="4"/>
  <c r="S542" i="4"/>
  <c r="R542" i="4"/>
  <c r="Q542" i="4"/>
  <c r="P542" i="4"/>
  <c r="O542" i="4"/>
  <c r="N542" i="4"/>
  <c r="S541" i="4"/>
  <c r="R541" i="4"/>
  <c r="Q541" i="4"/>
  <c r="P541" i="4"/>
  <c r="O541" i="4"/>
  <c r="N541" i="4"/>
  <c r="S540" i="4"/>
  <c r="R540" i="4"/>
  <c r="Q540" i="4"/>
  <c r="P540" i="4"/>
  <c r="O540" i="4"/>
  <c r="N540" i="4"/>
  <c r="S539" i="4"/>
  <c r="R539" i="4"/>
  <c r="Q539" i="4"/>
  <c r="P539" i="4"/>
  <c r="O539" i="4"/>
  <c r="N539" i="4"/>
  <c r="S538" i="4"/>
  <c r="R538" i="4"/>
  <c r="Q538" i="4"/>
  <c r="P538" i="4"/>
  <c r="O538" i="4"/>
  <c r="N538" i="4"/>
  <c r="S537" i="4"/>
  <c r="R537" i="4"/>
  <c r="Q537" i="4"/>
  <c r="P537" i="4"/>
  <c r="O537" i="4"/>
  <c r="N537" i="4"/>
  <c r="S536" i="4"/>
  <c r="R536" i="4"/>
  <c r="Q536" i="4"/>
  <c r="P536" i="4"/>
  <c r="O536" i="4"/>
  <c r="N536" i="4"/>
  <c r="S535" i="4"/>
  <c r="R535" i="4"/>
  <c r="Q535" i="4"/>
  <c r="P535" i="4"/>
  <c r="O535" i="4"/>
  <c r="N535" i="4"/>
  <c r="S534" i="4"/>
  <c r="R534" i="4"/>
  <c r="Q534" i="4"/>
  <c r="P534" i="4"/>
  <c r="O534" i="4"/>
  <c r="N534" i="4"/>
  <c r="S533" i="4"/>
  <c r="R533" i="4"/>
  <c r="Q533" i="4"/>
  <c r="P533" i="4"/>
  <c r="O533" i="4"/>
  <c r="N533" i="4"/>
  <c r="S532" i="4"/>
  <c r="R532" i="4"/>
  <c r="Q532" i="4"/>
  <c r="P532" i="4"/>
  <c r="O532" i="4"/>
  <c r="N532" i="4"/>
  <c r="S531" i="4"/>
  <c r="R531" i="4"/>
  <c r="Q531" i="4"/>
  <c r="P531" i="4"/>
  <c r="O531" i="4"/>
  <c r="N531" i="4"/>
  <c r="S530" i="4"/>
  <c r="R530" i="4"/>
  <c r="Q530" i="4"/>
  <c r="P530" i="4"/>
  <c r="O530" i="4"/>
  <c r="N530" i="4"/>
  <c r="S529" i="4"/>
  <c r="R529" i="4"/>
  <c r="Q529" i="4"/>
  <c r="P529" i="4"/>
  <c r="O529" i="4"/>
  <c r="N529" i="4"/>
  <c r="S528" i="4"/>
  <c r="R528" i="4"/>
  <c r="Q528" i="4"/>
  <c r="P528" i="4"/>
  <c r="O528" i="4"/>
  <c r="N528" i="4"/>
  <c r="S527" i="4"/>
  <c r="R527" i="4"/>
  <c r="Q527" i="4"/>
  <c r="P527" i="4"/>
  <c r="O527" i="4"/>
  <c r="N527" i="4"/>
  <c r="S526" i="4"/>
  <c r="R526" i="4"/>
  <c r="Q526" i="4"/>
  <c r="P526" i="4"/>
  <c r="O526" i="4"/>
  <c r="N526" i="4"/>
  <c r="S525" i="4"/>
  <c r="R525" i="4"/>
  <c r="Q525" i="4"/>
  <c r="P525" i="4"/>
  <c r="O525" i="4"/>
  <c r="N525" i="4"/>
  <c r="S524" i="4"/>
  <c r="R524" i="4"/>
  <c r="Q524" i="4"/>
  <c r="P524" i="4"/>
  <c r="O524" i="4"/>
  <c r="N524" i="4"/>
  <c r="S523" i="4"/>
  <c r="R523" i="4"/>
  <c r="Q523" i="4"/>
  <c r="P523" i="4"/>
  <c r="O523" i="4"/>
  <c r="N523" i="4"/>
  <c r="S522" i="4"/>
  <c r="R522" i="4"/>
  <c r="Q522" i="4"/>
  <c r="P522" i="4"/>
  <c r="O522" i="4"/>
  <c r="N522" i="4"/>
  <c r="S521" i="4"/>
  <c r="R521" i="4"/>
  <c r="Q521" i="4"/>
  <c r="P521" i="4"/>
  <c r="O521" i="4"/>
  <c r="N521" i="4"/>
  <c r="S520" i="4"/>
  <c r="R520" i="4"/>
  <c r="Q520" i="4"/>
  <c r="P520" i="4"/>
  <c r="O520" i="4"/>
  <c r="N520" i="4"/>
  <c r="S519" i="4"/>
  <c r="R519" i="4"/>
  <c r="Q519" i="4"/>
  <c r="P519" i="4"/>
  <c r="O519" i="4"/>
  <c r="N519" i="4"/>
  <c r="S518" i="4"/>
  <c r="R518" i="4"/>
  <c r="Q518" i="4"/>
  <c r="P518" i="4"/>
  <c r="O518" i="4"/>
  <c r="N518" i="4"/>
  <c r="S517" i="4"/>
  <c r="R517" i="4"/>
  <c r="Q517" i="4"/>
  <c r="P517" i="4"/>
  <c r="O517" i="4"/>
  <c r="N517" i="4"/>
  <c r="S516" i="4"/>
  <c r="R516" i="4"/>
  <c r="Q516" i="4"/>
  <c r="P516" i="4"/>
  <c r="O516" i="4"/>
  <c r="N516" i="4"/>
  <c r="S515" i="4"/>
  <c r="R515" i="4"/>
  <c r="Q515" i="4"/>
  <c r="P515" i="4"/>
  <c r="O515" i="4"/>
  <c r="N515" i="4"/>
  <c r="S514" i="4"/>
  <c r="R514" i="4"/>
  <c r="Q514" i="4"/>
  <c r="P514" i="4"/>
  <c r="O514" i="4"/>
  <c r="N514" i="4"/>
  <c r="S513" i="4"/>
  <c r="R513" i="4"/>
  <c r="Q513" i="4"/>
  <c r="P513" i="4"/>
  <c r="O513" i="4"/>
  <c r="N513" i="4"/>
  <c r="S512" i="4"/>
  <c r="R512" i="4"/>
  <c r="Q512" i="4"/>
  <c r="P512" i="4"/>
  <c r="O512" i="4"/>
  <c r="N512" i="4"/>
  <c r="S511" i="4"/>
  <c r="R511" i="4"/>
  <c r="Q511" i="4"/>
  <c r="P511" i="4"/>
  <c r="O511" i="4"/>
  <c r="N511" i="4"/>
  <c r="S510" i="4"/>
  <c r="R510" i="4"/>
  <c r="Q510" i="4"/>
  <c r="P510" i="4"/>
  <c r="O510" i="4"/>
  <c r="N510" i="4"/>
  <c r="S509" i="4"/>
  <c r="R509" i="4"/>
  <c r="Q509" i="4"/>
  <c r="P509" i="4"/>
  <c r="O509" i="4"/>
  <c r="N509" i="4"/>
  <c r="S508" i="4"/>
  <c r="R508" i="4"/>
  <c r="Q508" i="4"/>
  <c r="P508" i="4"/>
  <c r="O508" i="4"/>
  <c r="N508" i="4"/>
  <c r="S507" i="4"/>
  <c r="R507" i="4"/>
  <c r="Q507" i="4"/>
  <c r="P507" i="4"/>
  <c r="O507" i="4"/>
  <c r="N507" i="4"/>
  <c r="S506" i="4"/>
  <c r="R506" i="4"/>
  <c r="Q506" i="4"/>
  <c r="P506" i="4"/>
  <c r="O506" i="4"/>
  <c r="N506" i="4"/>
  <c r="S505" i="4"/>
  <c r="R505" i="4"/>
  <c r="Q505" i="4"/>
  <c r="P505" i="4"/>
  <c r="O505" i="4"/>
  <c r="N505" i="4"/>
  <c r="S504" i="4"/>
  <c r="R504" i="4"/>
  <c r="Q504" i="4"/>
  <c r="P504" i="4"/>
  <c r="O504" i="4"/>
  <c r="N504" i="4"/>
  <c r="S503" i="4"/>
  <c r="R503" i="4"/>
  <c r="Q503" i="4"/>
  <c r="P503" i="4"/>
  <c r="O503" i="4"/>
  <c r="N503" i="4"/>
  <c r="S502" i="4"/>
  <c r="R502" i="4"/>
  <c r="Q502" i="4"/>
  <c r="P502" i="4"/>
  <c r="O502" i="4"/>
  <c r="N502" i="4"/>
  <c r="S501" i="4"/>
  <c r="R501" i="4"/>
  <c r="Q501" i="4"/>
  <c r="P501" i="4"/>
  <c r="O501" i="4"/>
  <c r="N501" i="4"/>
  <c r="S500" i="4"/>
  <c r="R500" i="4"/>
  <c r="Q500" i="4"/>
  <c r="P500" i="4"/>
  <c r="O500" i="4"/>
  <c r="N500" i="4"/>
  <c r="S499" i="4"/>
  <c r="R499" i="4"/>
  <c r="Q499" i="4"/>
  <c r="P499" i="4"/>
  <c r="O499" i="4"/>
  <c r="N499" i="4"/>
  <c r="S498" i="4"/>
  <c r="R498" i="4"/>
  <c r="Q498" i="4"/>
  <c r="P498" i="4"/>
  <c r="O498" i="4"/>
  <c r="N498" i="4"/>
  <c r="S497" i="4"/>
  <c r="R497" i="4"/>
  <c r="Q497" i="4"/>
  <c r="P497" i="4"/>
  <c r="O497" i="4"/>
  <c r="N497" i="4"/>
  <c r="B497" i="4"/>
  <c r="A497" i="4"/>
  <c r="S496" i="4"/>
  <c r="R496" i="4"/>
  <c r="Q496" i="4"/>
  <c r="P496" i="4"/>
  <c r="O496" i="4"/>
  <c r="N496" i="4"/>
  <c r="B496" i="4"/>
  <c r="A496" i="4"/>
  <c r="S495" i="4"/>
  <c r="R495" i="4"/>
  <c r="Q495" i="4"/>
  <c r="P495" i="4"/>
  <c r="O495" i="4"/>
  <c r="N495" i="4"/>
  <c r="B495" i="4"/>
  <c r="A495" i="4"/>
  <c r="S494" i="4"/>
  <c r="R494" i="4"/>
  <c r="Q494" i="4"/>
  <c r="P494" i="4"/>
  <c r="O494" i="4"/>
  <c r="N494" i="4"/>
  <c r="B494" i="4"/>
  <c r="A494" i="4"/>
  <c r="S493" i="4"/>
  <c r="R493" i="4"/>
  <c r="Q493" i="4"/>
  <c r="P493" i="4"/>
  <c r="O493" i="4"/>
  <c r="N493" i="4"/>
  <c r="B493" i="4"/>
  <c r="A493" i="4"/>
  <c r="S492" i="4"/>
  <c r="R492" i="4"/>
  <c r="Q492" i="4"/>
  <c r="P492" i="4"/>
  <c r="O492" i="4"/>
  <c r="N492" i="4"/>
  <c r="B492" i="4"/>
  <c r="A492" i="4"/>
  <c r="S491" i="4"/>
  <c r="R491" i="4"/>
  <c r="Q491" i="4"/>
  <c r="P491" i="4"/>
  <c r="O491" i="4"/>
  <c r="N491" i="4"/>
  <c r="B491" i="4"/>
  <c r="A491" i="4"/>
  <c r="S490" i="4"/>
  <c r="R490" i="4"/>
  <c r="Q490" i="4"/>
  <c r="P490" i="4"/>
  <c r="O490" i="4"/>
  <c r="N490" i="4"/>
  <c r="B490" i="4"/>
  <c r="A490" i="4"/>
  <c r="S489" i="4"/>
  <c r="R489" i="4"/>
  <c r="Q489" i="4"/>
  <c r="P489" i="4"/>
  <c r="O489" i="4"/>
  <c r="N489" i="4"/>
  <c r="B489" i="4"/>
  <c r="A489" i="4"/>
  <c r="S488" i="4"/>
  <c r="R488" i="4"/>
  <c r="Q488" i="4"/>
  <c r="P488" i="4"/>
  <c r="O488" i="4"/>
  <c r="N488" i="4"/>
  <c r="B488" i="4"/>
  <c r="A488" i="4"/>
  <c r="S487" i="4"/>
  <c r="R487" i="4"/>
  <c r="Q487" i="4"/>
  <c r="P487" i="4"/>
  <c r="O487" i="4"/>
  <c r="N487" i="4"/>
  <c r="B487" i="4"/>
  <c r="A487" i="4"/>
  <c r="S486" i="4"/>
  <c r="R486" i="4"/>
  <c r="Q486" i="4"/>
  <c r="P486" i="4"/>
  <c r="O486" i="4"/>
  <c r="N486" i="4"/>
  <c r="B486" i="4"/>
  <c r="A486" i="4"/>
  <c r="S485" i="4"/>
  <c r="R485" i="4"/>
  <c r="Q485" i="4"/>
  <c r="P485" i="4"/>
  <c r="O485" i="4"/>
  <c r="N485" i="4"/>
  <c r="B485" i="4"/>
  <c r="A485" i="4"/>
  <c r="S484" i="4"/>
  <c r="R484" i="4"/>
  <c r="Q484" i="4"/>
  <c r="P484" i="4"/>
  <c r="O484" i="4"/>
  <c r="N484" i="4"/>
  <c r="B484" i="4"/>
  <c r="A484" i="4"/>
  <c r="S483" i="4"/>
  <c r="R483" i="4"/>
  <c r="Q483" i="4"/>
  <c r="P483" i="4"/>
  <c r="O483" i="4"/>
  <c r="N483" i="4"/>
  <c r="B483" i="4"/>
  <c r="A483" i="4"/>
  <c r="S482" i="4"/>
  <c r="R482" i="4"/>
  <c r="Q482" i="4"/>
  <c r="P482" i="4"/>
  <c r="O482" i="4"/>
  <c r="N482" i="4"/>
  <c r="B482" i="4"/>
  <c r="A482" i="4"/>
  <c r="S481" i="4"/>
  <c r="R481" i="4"/>
  <c r="Q481" i="4"/>
  <c r="P481" i="4"/>
  <c r="O481" i="4"/>
  <c r="N481" i="4"/>
  <c r="B481" i="4"/>
  <c r="A481" i="4"/>
  <c r="S480" i="4"/>
  <c r="R480" i="4"/>
  <c r="Q480" i="4"/>
  <c r="P480" i="4"/>
  <c r="O480" i="4"/>
  <c r="N480" i="4"/>
  <c r="B480" i="4"/>
  <c r="A480" i="4"/>
  <c r="S479" i="4"/>
  <c r="R479" i="4"/>
  <c r="Q479" i="4"/>
  <c r="P479" i="4"/>
  <c r="O479" i="4"/>
  <c r="N479" i="4"/>
  <c r="B479" i="4"/>
  <c r="A479" i="4"/>
  <c r="S478" i="4"/>
  <c r="R478" i="4"/>
  <c r="Q478" i="4"/>
  <c r="P478" i="4"/>
  <c r="O478" i="4"/>
  <c r="N478" i="4"/>
  <c r="B478" i="4"/>
  <c r="A478" i="4"/>
  <c r="S477" i="4"/>
  <c r="R477" i="4"/>
  <c r="Q477" i="4"/>
  <c r="P477" i="4"/>
  <c r="O477" i="4"/>
  <c r="N477" i="4"/>
  <c r="B477" i="4"/>
  <c r="A477" i="4"/>
  <c r="S476" i="4"/>
  <c r="R476" i="4"/>
  <c r="Q476" i="4"/>
  <c r="P476" i="4"/>
  <c r="O476" i="4"/>
  <c r="N476" i="4"/>
  <c r="B476" i="4"/>
  <c r="A476" i="4"/>
  <c r="S475" i="4"/>
  <c r="R475" i="4"/>
  <c r="Q475" i="4"/>
  <c r="P475" i="4"/>
  <c r="O475" i="4"/>
  <c r="N475" i="4"/>
  <c r="B475" i="4"/>
  <c r="A475" i="4"/>
  <c r="S474" i="4"/>
  <c r="R474" i="4"/>
  <c r="Q474" i="4"/>
  <c r="P474" i="4"/>
  <c r="O474" i="4"/>
  <c r="N474" i="4"/>
  <c r="B474" i="4"/>
  <c r="A474" i="4"/>
  <c r="S473" i="4"/>
  <c r="R473" i="4"/>
  <c r="Q473" i="4"/>
  <c r="P473" i="4"/>
  <c r="O473" i="4"/>
  <c r="N473" i="4"/>
  <c r="B473" i="4"/>
  <c r="A473" i="4"/>
  <c r="S472" i="4"/>
  <c r="R472" i="4"/>
  <c r="Q472" i="4"/>
  <c r="P472" i="4"/>
  <c r="O472" i="4"/>
  <c r="N472" i="4"/>
  <c r="B472" i="4"/>
  <c r="A472" i="4"/>
  <c r="S471" i="4"/>
  <c r="R471" i="4"/>
  <c r="Q471" i="4"/>
  <c r="P471" i="4"/>
  <c r="O471" i="4"/>
  <c r="N471" i="4"/>
  <c r="B471" i="4"/>
  <c r="A471" i="4"/>
  <c r="S470" i="4"/>
  <c r="R470" i="4"/>
  <c r="Q470" i="4"/>
  <c r="P470" i="4"/>
  <c r="O470" i="4"/>
  <c r="N470" i="4"/>
  <c r="B470" i="4"/>
  <c r="A470" i="4"/>
  <c r="S469" i="4"/>
  <c r="R469" i="4"/>
  <c r="Q469" i="4"/>
  <c r="P469" i="4"/>
  <c r="O469" i="4"/>
  <c r="N469" i="4"/>
  <c r="B469" i="4"/>
  <c r="A469" i="4"/>
  <c r="S468" i="4"/>
  <c r="R468" i="4"/>
  <c r="Q468" i="4"/>
  <c r="P468" i="4"/>
  <c r="O468" i="4"/>
  <c r="N468" i="4"/>
  <c r="B468" i="4"/>
  <c r="A468" i="4"/>
  <c r="S467" i="4"/>
  <c r="R467" i="4"/>
  <c r="Q467" i="4"/>
  <c r="P467" i="4"/>
  <c r="O467" i="4"/>
  <c r="N467" i="4"/>
  <c r="B467" i="4"/>
  <c r="A467" i="4"/>
  <c r="S466" i="4"/>
  <c r="R466" i="4"/>
  <c r="Q466" i="4"/>
  <c r="P466" i="4"/>
  <c r="O466" i="4"/>
  <c r="N466" i="4"/>
  <c r="B466" i="4"/>
  <c r="A466" i="4"/>
  <c r="S465" i="4"/>
  <c r="R465" i="4"/>
  <c r="Q465" i="4"/>
  <c r="P465" i="4"/>
  <c r="O465" i="4"/>
  <c r="N465" i="4"/>
  <c r="B465" i="4"/>
  <c r="A465" i="4"/>
  <c r="S464" i="4"/>
  <c r="R464" i="4"/>
  <c r="Q464" i="4"/>
  <c r="P464" i="4"/>
  <c r="O464" i="4"/>
  <c r="N464" i="4"/>
  <c r="B464" i="4"/>
  <c r="A464" i="4"/>
  <c r="S463" i="4"/>
  <c r="R463" i="4"/>
  <c r="Q463" i="4"/>
  <c r="P463" i="4"/>
  <c r="O463" i="4"/>
  <c r="N463" i="4"/>
  <c r="B463" i="4"/>
  <c r="A463" i="4"/>
  <c r="S462" i="4"/>
  <c r="R462" i="4"/>
  <c r="Q462" i="4"/>
  <c r="P462" i="4"/>
  <c r="O462" i="4"/>
  <c r="N462" i="4"/>
  <c r="B462" i="4"/>
  <c r="A462" i="4"/>
  <c r="S461" i="4"/>
  <c r="R461" i="4"/>
  <c r="Q461" i="4"/>
  <c r="P461" i="4"/>
  <c r="O461" i="4"/>
  <c r="N461" i="4"/>
  <c r="B461" i="4"/>
  <c r="A461" i="4"/>
  <c r="S460" i="4"/>
  <c r="R460" i="4"/>
  <c r="Q460" i="4"/>
  <c r="P460" i="4"/>
  <c r="O460" i="4"/>
  <c r="N460" i="4"/>
  <c r="B460" i="4"/>
  <c r="A460" i="4"/>
  <c r="S459" i="4"/>
  <c r="R459" i="4"/>
  <c r="Q459" i="4"/>
  <c r="P459" i="4"/>
  <c r="O459" i="4"/>
  <c r="N459" i="4"/>
  <c r="B459" i="4"/>
  <c r="A459" i="4"/>
  <c r="S458" i="4"/>
  <c r="R458" i="4"/>
  <c r="Q458" i="4"/>
  <c r="P458" i="4"/>
  <c r="O458" i="4"/>
  <c r="N458" i="4"/>
  <c r="B458" i="4"/>
  <c r="A458" i="4"/>
  <c r="S457" i="4"/>
  <c r="R457" i="4"/>
  <c r="Q457" i="4"/>
  <c r="P457" i="4"/>
  <c r="O457" i="4"/>
  <c r="N457" i="4"/>
  <c r="B457" i="4"/>
  <c r="A457" i="4"/>
  <c r="S456" i="4"/>
  <c r="R456" i="4"/>
  <c r="Q456" i="4"/>
  <c r="P456" i="4"/>
  <c r="O456" i="4"/>
  <c r="N456" i="4"/>
  <c r="B456" i="4"/>
  <c r="A456" i="4"/>
  <c r="S455" i="4"/>
  <c r="R455" i="4"/>
  <c r="Q455" i="4"/>
  <c r="P455" i="4"/>
  <c r="O455" i="4"/>
  <c r="N455" i="4"/>
  <c r="B455" i="4"/>
  <c r="A455" i="4"/>
  <c r="S454" i="4"/>
  <c r="R454" i="4"/>
  <c r="Q454" i="4"/>
  <c r="P454" i="4"/>
  <c r="O454" i="4"/>
  <c r="N454" i="4"/>
  <c r="B454" i="4"/>
  <c r="A454" i="4"/>
  <c r="S453" i="4"/>
  <c r="R453" i="4"/>
  <c r="Q453" i="4"/>
  <c r="P453" i="4"/>
  <c r="O453" i="4"/>
  <c r="N453" i="4"/>
  <c r="B453" i="4"/>
  <c r="A453" i="4"/>
  <c r="S452" i="4"/>
  <c r="R452" i="4"/>
  <c r="Q452" i="4"/>
  <c r="P452" i="4"/>
  <c r="O452" i="4"/>
  <c r="N452" i="4"/>
  <c r="B452" i="4"/>
  <c r="A452" i="4"/>
  <c r="S451" i="4"/>
  <c r="R451" i="4"/>
  <c r="Q451" i="4"/>
  <c r="P451" i="4"/>
  <c r="O451" i="4"/>
  <c r="N451" i="4"/>
  <c r="B451" i="4"/>
  <c r="A451" i="4"/>
  <c r="S450" i="4"/>
  <c r="R450" i="4"/>
  <c r="Q450" i="4"/>
  <c r="P450" i="4"/>
  <c r="O450" i="4"/>
  <c r="N450" i="4"/>
  <c r="B450" i="4"/>
  <c r="A450" i="4"/>
  <c r="S449" i="4"/>
  <c r="R449" i="4"/>
  <c r="Q449" i="4"/>
  <c r="P449" i="4"/>
  <c r="O449" i="4"/>
  <c r="N449" i="4"/>
  <c r="B449" i="4"/>
  <c r="A449" i="4"/>
  <c r="S448" i="4"/>
  <c r="R448" i="4"/>
  <c r="Q448" i="4"/>
  <c r="P448" i="4"/>
  <c r="O448" i="4"/>
  <c r="N448" i="4"/>
  <c r="B448" i="4"/>
  <c r="A448" i="4"/>
  <c r="S447" i="4"/>
  <c r="R447" i="4"/>
  <c r="Q447" i="4"/>
  <c r="P447" i="4"/>
  <c r="O447" i="4"/>
  <c r="N447" i="4"/>
  <c r="B447" i="4"/>
  <c r="A447" i="4"/>
  <c r="S446" i="4"/>
  <c r="R446" i="4"/>
  <c r="Q446" i="4"/>
  <c r="P446" i="4"/>
  <c r="O446" i="4"/>
  <c r="N446" i="4"/>
  <c r="B446" i="4"/>
  <c r="A446" i="4"/>
  <c r="S445" i="4"/>
  <c r="R445" i="4"/>
  <c r="Q445" i="4"/>
  <c r="P445" i="4"/>
  <c r="O445" i="4"/>
  <c r="N445" i="4"/>
  <c r="B445" i="4"/>
  <c r="A445" i="4"/>
  <c r="S444" i="4"/>
  <c r="R444" i="4"/>
  <c r="Q444" i="4"/>
  <c r="P444" i="4"/>
  <c r="O444" i="4"/>
  <c r="N444" i="4"/>
  <c r="B444" i="4"/>
  <c r="A444" i="4"/>
  <c r="S443" i="4"/>
  <c r="R443" i="4"/>
  <c r="Q443" i="4"/>
  <c r="P443" i="4"/>
  <c r="O443" i="4"/>
  <c r="N443" i="4"/>
  <c r="B443" i="4"/>
  <c r="A443" i="4"/>
  <c r="S442" i="4"/>
  <c r="R442" i="4"/>
  <c r="Q442" i="4"/>
  <c r="P442" i="4"/>
  <c r="O442" i="4"/>
  <c r="N442" i="4"/>
  <c r="B442" i="4"/>
  <c r="A442" i="4"/>
  <c r="S441" i="4"/>
  <c r="R441" i="4"/>
  <c r="Q441" i="4"/>
  <c r="P441" i="4"/>
  <c r="O441" i="4"/>
  <c r="N441" i="4"/>
  <c r="B441" i="4"/>
  <c r="A441" i="4"/>
  <c r="S440" i="4"/>
  <c r="R440" i="4"/>
  <c r="Q440" i="4"/>
  <c r="P440" i="4"/>
  <c r="O440" i="4"/>
  <c r="N440" i="4"/>
  <c r="B440" i="4"/>
  <c r="A440" i="4"/>
  <c r="S439" i="4"/>
  <c r="R439" i="4"/>
  <c r="Q439" i="4"/>
  <c r="P439" i="4"/>
  <c r="O439" i="4"/>
  <c r="N439" i="4"/>
  <c r="B439" i="4"/>
  <c r="A439" i="4"/>
  <c r="S438" i="4"/>
  <c r="R438" i="4"/>
  <c r="Q438" i="4"/>
  <c r="P438" i="4"/>
  <c r="O438" i="4"/>
  <c r="N438" i="4"/>
  <c r="B438" i="4"/>
  <c r="A438" i="4"/>
  <c r="S437" i="4"/>
  <c r="R437" i="4"/>
  <c r="Q437" i="4"/>
  <c r="P437" i="4"/>
  <c r="O437" i="4"/>
  <c r="N437" i="4"/>
  <c r="B437" i="4"/>
  <c r="A437" i="4"/>
  <c r="S436" i="4"/>
  <c r="R436" i="4"/>
  <c r="Q436" i="4"/>
  <c r="P436" i="4"/>
  <c r="O436" i="4"/>
  <c r="N436" i="4"/>
  <c r="B436" i="4"/>
  <c r="A436" i="4"/>
  <c r="S435" i="4"/>
  <c r="R435" i="4"/>
  <c r="Q435" i="4"/>
  <c r="P435" i="4"/>
  <c r="O435" i="4"/>
  <c r="N435" i="4"/>
  <c r="B435" i="4"/>
  <c r="A435" i="4"/>
  <c r="S434" i="4"/>
  <c r="R434" i="4"/>
  <c r="Q434" i="4"/>
  <c r="P434" i="4"/>
  <c r="O434" i="4"/>
  <c r="N434" i="4"/>
  <c r="B434" i="4"/>
  <c r="A434" i="4"/>
  <c r="S433" i="4"/>
  <c r="R433" i="4"/>
  <c r="Q433" i="4"/>
  <c r="P433" i="4"/>
  <c r="O433" i="4"/>
  <c r="N433" i="4"/>
  <c r="B433" i="4"/>
  <c r="A433" i="4"/>
  <c r="S432" i="4"/>
  <c r="R432" i="4"/>
  <c r="Q432" i="4"/>
  <c r="P432" i="4"/>
  <c r="O432" i="4"/>
  <c r="N432" i="4"/>
  <c r="B432" i="4"/>
  <c r="A432" i="4"/>
  <c r="S431" i="4"/>
  <c r="R431" i="4"/>
  <c r="Q431" i="4"/>
  <c r="P431" i="4"/>
  <c r="O431" i="4"/>
  <c r="N431" i="4"/>
  <c r="B431" i="4"/>
  <c r="A431" i="4"/>
  <c r="S430" i="4"/>
  <c r="R430" i="4"/>
  <c r="Q430" i="4"/>
  <c r="P430" i="4"/>
  <c r="O430" i="4"/>
  <c r="N430" i="4"/>
  <c r="B430" i="4"/>
  <c r="A430" i="4"/>
  <c r="S429" i="4"/>
  <c r="R429" i="4"/>
  <c r="Q429" i="4"/>
  <c r="P429" i="4"/>
  <c r="O429" i="4"/>
  <c r="N429" i="4"/>
  <c r="B429" i="4"/>
  <c r="A429" i="4"/>
  <c r="S428" i="4"/>
  <c r="R428" i="4"/>
  <c r="Q428" i="4"/>
  <c r="P428" i="4"/>
  <c r="O428" i="4"/>
  <c r="N428" i="4"/>
  <c r="B428" i="4"/>
  <c r="A428" i="4"/>
  <c r="S427" i="4"/>
  <c r="R427" i="4"/>
  <c r="Q427" i="4"/>
  <c r="P427" i="4"/>
  <c r="O427" i="4"/>
  <c r="N427" i="4"/>
  <c r="B427" i="4"/>
  <c r="A427" i="4"/>
  <c r="S426" i="4"/>
  <c r="R426" i="4"/>
  <c r="Q426" i="4"/>
  <c r="P426" i="4"/>
  <c r="O426" i="4"/>
  <c r="N426" i="4"/>
  <c r="B426" i="4"/>
  <c r="A426" i="4"/>
  <c r="S425" i="4"/>
  <c r="R425" i="4"/>
  <c r="Q425" i="4"/>
  <c r="P425" i="4"/>
  <c r="O425" i="4"/>
  <c r="N425" i="4"/>
  <c r="B425" i="4"/>
  <c r="A425" i="4"/>
  <c r="S424" i="4"/>
  <c r="R424" i="4"/>
  <c r="Q424" i="4"/>
  <c r="P424" i="4"/>
  <c r="O424" i="4"/>
  <c r="N424" i="4"/>
  <c r="B424" i="4"/>
  <c r="A424" i="4"/>
  <c r="S423" i="4"/>
  <c r="R423" i="4"/>
  <c r="Q423" i="4"/>
  <c r="P423" i="4"/>
  <c r="O423" i="4"/>
  <c r="N423" i="4"/>
  <c r="B423" i="4"/>
  <c r="A423" i="4"/>
  <c r="S422" i="4"/>
  <c r="R422" i="4"/>
  <c r="Q422" i="4"/>
  <c r="P422" i="4"/>
  <c r="O422" i="4"/>
  <c r="N422" i="4"/>
  <c r="B422" i="4"/>
  <c r="A422" i="4"/>
  <c r="S421" i="4"/>
  <c r="R421" i="4"/>
  <c r="Q421" i="4"/>
  <c r="P421" i="4"/>
  <c r="O421" i="4"/>
  <c r="N421" i="4"/>
  <c r="B421" i="4"/>
  <c r="A421" i="4"/>
  <c r="S420" i="4"/>
  <c r="R420" i="4"/>
  <c r="Q420" i="4"/>
  <c r="P420" i="4"/>
  <c r="O420" i="4"/>
  <c r="N420" i="4"/>
  <c r="B420" i="4"/>
  <c r="A420" i="4"/>
  <c r="S419" i="4"/>
  <c r="R419" i="4"/>
  <c r="Q419" i="4"/>
  <c r="P419" i="4"/>
  <c r="O419" i="4"/>
  <c r="N419" i="4"/>
  <c r="B419" i="4"/>
  <c r="A419" i="4"/>
  <c r="S418" i="4"/>
  <c r="R418" i="4"/>
  <c r="Q418" i="4"/>
  <c r="P418" i="4"/>
  <c r="O418" i="4"/>
  <c r="N418" i="4"/>
  <c r="B418" i="4"/>
  <c r="A418" i="4"/>
  <c r="S417" i="4"/>
  <c r="R417" i="4"/>
  <c r="Q417" i="4"/>
  <c r="P417" i="4"/>
  <c r="O417" i="4"/>
  <c r="N417" i="4"/>
  <c r="B417" i="4"/>
  <c r="A417" i="4"/>
  <c r="S416" i="4"/>
  <c r="R416" i="4"/>
  <c r="Q416" i="4"/>
  <c r="P416" i="4"/>
  <c r="O416" i="4"/>
  <c r="N416" i="4"/>
  <c r="B416" i="4"/>
  <c r="A416" i="4"/>
  <c r="S415" i="4"/>
  <c r="R415" i="4"/>
  <c r="Q415" i="4"/>
  <c r="P415" i="4"/>
  <c r="O415" i="4"/>
  <c r="N415" i="4"/>
  <c r="B415" i="4"/>
  <c r="A415" i="4"/>
  <c r="S414" i="4"/>
  <c r="R414" i="4"/>
  <c r="Q414" i="4"/>
  <c r="P414" i="4"/>
  <c r="O414" i="4"/>
  <c r="N414" i="4"/>
  <c r="B414" i="4"/>
  <c r="A414" i="4"/>
  <c r="S413" i="4"/>
  <c r="R413" i="4"/>
  <c r="Q413" i="4"/>
  <c r="P413" i="4"/>
  <c r="O413" i="4"/>
  <c r="N413" i="4"/>
  <c r="B413" i="4"/>
  <c r="A413" i="4"/>
  <c r="S412" i="4"/>
  <c r="R412" i="4"/>
  <c r="Q412" i="4"/>
  <c r="P412" i="4"/>
  <c r="O412" i="4"/>
  <c r="N412" i="4"/>
  <c r="B412" i="4"/>
  <c r="A412" i="4"/>
  <c r="S411" i="4"/>
  <c r="R411" i="4"/>
  <c r="Q411" i="4"/>
  <c r="P411" i="4"/>
  <c r="O411" i="4"/>
  <c r="N411" i="4"/>
  <c r="B411" i="4"/>
  <c r="A411" i="4"/>
  <c r="S410" i="4"/>
  <c r="R410" i="4"/>
  <c r="Q410" i="4"/>
  <c r="P410" i="4"/>
  <c r="O410" i="4"/>
  <c r="N410" i="4"/>
  <c r="B410" i="4"/>
  <c r="A410" i="4"/>
  <c r="S409" i="4"/>
  <c r="R409" i="4"/>
  <c r="Q409" i="4"/>
  <c r="P409" i="4"/>
  <c r="O409" i="4"/>
  <c r="N409" i="4"/>
  <c r="B409" i="4"/>
  <c r="A409" i="4"/>
  <c r="S408" i="4"/>
  <c r="R408" i="4"/>
  <c r="Q408" i="4"/>
  <c r="P408" i="4"/>
  <c r="O408" i="4"/>
  <c r="N408" i="4"/>
  <c r="B408" i="4"/>
  <c r="A408" i="4"/>
  <c r="S407" i="4"/>
  <c r="R407" i="4"/>
  <c r="Q407" i="4"/>
  <c r="P407" i="4"/>
  <c r="O407" i="4"/>
  <c r="N407" i="4"/>
  <c r="B407" i="4"/>
  <c r="A407" i="4"/>
  <c r="S406" i="4"/>
  <c r="R406" i="4"/>
  <c r="Q406" i="4"/>
  <c r="P406" i="4"/>
  <c r="O406" i="4"/>
  <c r="N406" i="4"/>
  <c r="B406" i="4"/>
  <c r="A406" i="4"/>
  <c r="S405" i="4"/>
  <c r="R405" i="4"/>
  <c r="Q405" i="4"/>
  <c r="P405" i="4"/>
  <c r="O405" i="4"/>
  <c r="N405" i="4"/>
  <c r="B405" i="4"/>
  <c r="A405" i="4"/>
  <c r="S404" i="4"/>
  <c r="R404" i="4"/>
  <c r="Q404" i="4"/>
  <c r="P404" i="4"/>
  <c r="O404" i="4"/>
  <c r="N404" i="4"/>
  <c r="B404" i="4"/>
  <c r="A404" i="4"/>
  <c r="S403" i="4"/>
  <c r="R403" i="4"/>
  <c r="Q403" i="4"/>
  <c r="P403" i="4"/>
  <c r="O403" i="4"/>
  <c r="N403" i="4"/>
  <c r="B403" i="4"/>
  <c r="A403" i="4"/>
  <c r="S402" i="4"/>
  <c r="R402" i="4"/>
  <c r="Q402" i="4"/>
  <c r="P402" i="4"/>
  <c r="O402" i="4"/>
  <c r="N402" i="4"/>
  <c r="B402" i="4"/>
  <c r="A402" i="4"/>
  <c r="S401" i="4"/>
  <c r="R401" i="4"/>
  <c r="Q401" i="4"/>
  <c r="P401" i="4"/>
  <c r="O401" i="4"/>
  <c r="N401" i="4"/>
  <c r="B401" i="4"/>
  <c r="A401" i="4"/>
  <c r="S400" i="4"/>
  <c r="R400" i="4"/>
  <c r="Q400" i="4"/>
  <c r="P400" i="4"/>
  <c r="O400" i="4"/>
  <c r="N400" i="4"/>
  <c r="B400" i="4"/>
  <c r="A400" i="4"/>
  <c r="S399" i="4"/>
  <c r="R399" i="4"/>
  <c r="Q399" i="4"/>
  <c r="P399" i="4"/>
  <c r="O399" i="4"/>
  <c r="N399" i="4"/>
  <c r="B399" i="4"/>
  <c r="A399" i="4"/>
  <c r="S398" i="4"/>
  <c r="R398" i="4"/>
  <c r="Q398" i="4"/>
  <c r="P398" i="4"/>
  <c r="O398" i="4"/>
  <c r="N398" i="4"/>
  <c r="B398" i="4"/>
  <c r="A398" i="4"/>
  <c r="S397" i="4"/>
  <c r="R397" i="4"/>
  <c r="Q397" i="4"/>
  <c r="P397" i="4"/>
  <c r="O397" i="4"/>
  <c r="N397" i="4"/>
  <c r="B397" i="4"/>
  <c r="A397" i="4"/>
  <c r="S396" i="4"/>
  <c r="R396" i="4"/>
  <c r="Q396" i="4"/>
  <c r="P396" i="4"/>
  <c r="O396" i="4"/>
  <c r="N396" i="4"/>
  <c r="B396" i="4"/>
  <c r="A396" i="4"/>
  <c r="S395" i="4"/>
  <c r="R395" i="4"/>
  <c r="Q395" i="4"/>
  <c r="P395" i="4"/>
  <c r="O395" i="4"/>
  <c r="N395" i="4"/>
  <c r="B395" i="4"/>
  <c r="A395" i="4"/>
  <c r="S394" i="4"/>
  <c r="R394" i="4"/>
  <c r="Q394" i="4"/>
  <c r="P394" i="4"/>
  <c r="O394" i="4"/>
  <c r="N394" i="4"/>
  <c r="B394" i="4"/>
  <c r="A394" i="4"/>
  <c r="S393" i="4"/>
  <c r="R393" i="4"/>
  <c r="Q393" i="4"/>
  <c r="P393" i="4"/>
  <c r="O393" i="4"/>
  <c r="N393" i="4"/>
  <c r="B393" i="4"/>
  <c r="A393" i="4"/>
  <c r="S392" i="4"/>
  <c r="R392" i="4"/>
  <c r="Q392" i="4"/>
  <c r="P392" i="4"/>
  <c r="O392" i="4"/>
  <c r="N392" i="4"/>
  <c r="B392" i="4"/>
  <c r="A392" i="4"/>
  <c r="S391" i="4"/>
  <c r="R391" i="4"/>
  <c r="Q391" i="4"/>
  <c r="P391" i="4"/>
  <c r="O391" i="4"/>
  <c r="N391" i="4"/>
  <c r="B391" i="4"/>
  <c r="A391" i="4"/>
  <c r="S390" i="4"/>
  <c r="R390" i="4"/>
  <c r="Q390" i="4"/>
  <c r="P390" i="4"/>
  <c r="O390" i="4"/>
  <c r="N390" i="4"/>
  <c r="B390" i="4"/>
  <c r="A390" i="4"/>
  <c r="S389" i="4"/>
  <c r="R389" i="4"/>
  <c r="Q389" i="4"/>
  <c r="P389" i="4"/>
  <c r="O389" i="4"/>
  <c r="N389" i="4"/>
  <c r="B389" i="4"/>
  <c r="A389" i="4"/>
  <c r="S388" i="4"/>
  <c r="R388" i="4"/>
  <c r="Q388" i="4"/>
  <c r="P388" i="4"/>
  <c r="O388" i="4"/>
  <c r="N388" i="4"/>
  <c r="B388" i="4"/>
  <c r="A388" i="4"/>
  <c r="S387" i="4"/>
  <c r="R387" i="4"/>
  <c r="Q387" i="4"/>
  <c r="P387" i="4"/>
  <c r="O387" i="4"/>
  <c r="N387" i="4"/>
  <c r="B387" i="4"/>
  <c r="A387" i="4"/>
  <c r="S386" i="4"/>
  <c r="R386" i="4"/>
  <c r="Q386" i="4"/>
  <c r="P386" i="4"/>
  <c r="O386" i="4"/>
  <c r="N386" i="4"/>
  <c r="B386" i="4"/>
  <c r="A386" i="4"/>
  <c r="S385" i="4"/>
  <c r="R385" i="4"/>
  <c r="Q385" i="4"/>
  <c r="P385" i="4"/>
  <c r="O385" i="4"/>
  <c r="N385" i="4"/>
  <c r="B385" i="4"/>
  <c r="A385" i="4"/>
  <c r="S384" i="4"/>
  <c r="R384" i="4"/>
  <c r="Q384" i="4"/>
  <c r="P384" i="4"/>
  <c r="O384" i="4"/>
  <c r="N384" i="4"/>
  <c r="B384" i="4"/>
  <c r="A384" i="4"/>
  <c r="S383" i="4"/>
  <c r="R383" i="4"/>
  <c r="Q383" i="4"/>
  <c r="P383" i="4"/>
  <c r="O383" i="4"/>
  <c r="N383" i="4"/>
  <c r="B383" i="4"/>
  <c r="A383" i="4"/>
  <c r="S382" i="4"/>
  <c r="R382" i="4"/>
  <c r="Q382" i="4"/>
  <c r="P382" i="4"/>
  <c r="O382" i="4"/>
  <c r="N382" i="4"/>
  <c r="B382" i="4"/>
  <c r="A382" i="4"/>
  <c r="S381" i="4"/>
  <c r="R381" i="4"/>
  <c r="Q381" i="4"/>
  <c r="P381" i="4"/>
  <c r="O381" i="4"/>
  <c r="N381" i="4"/>
  <c r="B381" i="4"/>
  <c r="A381" i="4"/>
  <c r="S380" i="4"/>
  <c r="R380" i="4"/>
  <c r="Q380" i="4"/>
  <c r="P380" i="4"/>
  <c r="O380" i="4"/>
  <c r="N380" i="4"/>
  <c r="B380" i="4"/>
  <c r="A380" i="4"/>
  <c r="S379" i="4"/>
  <c r="R379" i="4"/>
  <c r="Q379" i="4"/>
  <c r="P379" i="4"/>
  <c r="O379" i="4"/>
  <c r="N379" i="4"/>
  <c r="B379" i="4"/>
  <c r="A379" i="4"/>
  <c r="S378" i="4"/>
  <c r="R378" i="4"/>
  <c r="Q378" i="4"/>
  <c r="P378" i="4"/>
  <c r="O378" i="4"/>
  <c r="N378" i="4"/>
  <c r="B378" i="4"/>
  <c r="A378" i="4"/>
  <c r="S377" i="4"/>
  <c r="R377" i="4"/>
  <c r="Q377" i="4"/>
  <c r="P377" i="4"/>
  <c r="O377" i="4"/>
  <c r="N377" i="4"/>
  <c r="B377" i="4"/>
  <c r="A377" i="4"/>
  <c r="S376" i="4"/>
  <c r="R376" i="4"/>
  <c r="Q376" i="4"/>
  <c r="P376" i="4"/>
  <c r="O376" i="4"/>
  <c r="N376" i="4"/>
  <c r="B376" i="4"/>
  <c r="A376" i="4"/>
  <c r="S375" i="4"/>
  <c r="R375" i="4"/>
  <c r="Q375" i="4"/>
  <c r="P375" i="4"/>
  <c r="O375" i="4"/>
  <c r="N375" i="4"/>
  <c r="B375" i="4"/>
  <c r="A375" i="4"/>
  <c r="S374" i="4"/>
  <c r="R374" i="4"/>
  <c r="Q374" i="4"/>
  <c r="P374" i="4"/>
  <c r="O374" i="4"/>
  <c r="N374" i="4"/>
  <c r="B374" i="4"/>
  <c r="A374" i="4"/>
  <c r="S373" i="4"/>
  <c r="R373" i="4"/>
  <c r="Q373" i="4"/>
  <c r="P373" i="4"/>
  <c r="O373" i="4"/>
  <c r="N373" i="4"/>
  <c r="B373" i="4"/>
  <c r="A373" i="4"/>
  <c r="S372" i="4"/>
  <c r="R372" i="4"/>
  <c r="Q372" i="4"/>
  <c r="P372" i="4"/>
  <c r="O372" i="4"/>
  <c r="N372" i="4"/>
  <c r="B372" i="4"/>
  <c r="A372" i="4"/>
  <c r="S371" i="4"/>
  <c r="R371" i="4"/>
  <c r="Q371" i="4"/>
  <c r="P371" i="4"/>
  <c r="O371" i="4"/>
  <c r="N371" i="4"/>
  <c r="B371" i="4"/>
  <c r="A371" i="4"/>
  <c r="S370" i="4"/>
  <c r="R370" i="4"/>
  <c r="Q370" i="4"/>
  <c r="P370" i="4"/>
  <c r="O370" i="4"/>
  <c r="N370" i="4"/>
  <c r="B370" i="4"/>
  <c r="A370" i="4"/>
  <c r="S369" i="4"/>
  <c r="R369" i="4"/>
  <c r="Q369" i="4"/>
  <c r="P369" i="4"/>
  <c r="O369" i="4"/>
  <c r="N369" i="4"/>
  <c r="B369" i="4"/>
  <c r="A369" i="4"/>
  <c r="S368" i="4"/>
  <c r="R368" i="4"/>
  <c r="Q368" i="4"/>
  <c r="P368" i="4"/>
  <c r="O368" i="4"/>
  <c r="N368" i="4"/>
  <c r="B368" i="4"/>
  <c r="A368" i="4"/>
  <c r="S367" i="4"/>
  <c r="R367" i="4"/>
  <c r="Q367" i="4"/>
  <c r="P367" i="4"/>
  <c r="O367" i="4"/>
  <c r="N367" i="4"/>
  <c r="B367" i="4"/>
  <c r="A367" i="4"/>
  <c r="S366" i="4"/>
  <c r="R366" i="4"/>
  <c r="Q366" i="4"/>
  <c r="P366" i="4"/>
  <c r="O366" i="4"/>
  <c r="N366" i="4"/>
  <c r="B366" i="4"/>
  <c r="A366" i="4"/>
  <c r="S365" i="4"/>
  <c r="R365" i="4"/>
  <c r="Q365" i="4"/>
  <c r="P365" i="4"/>
  <c r="O365" i="4"/>
  <c r="N365" i="4"/>
  <c r="B365" i="4"/>
  <c r="A365" i="4"/>
  <c r="S364" i="4"/>
  <c r="R364" i="4"/>
  <c r="Q364" i="4"/>
  <c r="P364" i="4"/>
  <c r="O364" i="4"/>
  <c r="N364" i="4"/>
  <c r="B364" i="4"/>
  <c r="A364" i="4"/>
  <c r="S363" i="4"/>
  <c r="R363" i="4"/>
  <c r="Q363" i="4"/>
  <c r="P363" i="4"/>
  <c r="O363" i="4"/>
  <c r="N363" i="4"/>
  <c r="B363" i="4"/>
  <c r="A363" i="4"/>
  <c r="S362" i="4"/>
  <c r="R362" i="4"/>
  <c r="Q362" i="4"/>
  <c r="P362" i="4"/>
  <c r="O362" i="4"/>
  <c r="N362" i="4"/>
  <c r="B362" i="4"/>
  <c r="A362" i="4"/>
  <c r="S361" i="4"/>
  <c r="R361" i="4"/>
  <c r="Q361" i="4"/>
  <c r="P361" i="4"/>
  <c r="O361" i="4"/>
  <c r="N361" i="4"/>
  <c r="B361" i="4"/>
  <c r="A361" i="4"/>
  <c r="S360" i="4"/>
  <c r="R360" i="4"/>
  <c r="Q360" i="4"/>
  <c r="P360" i="4"/>
  <c r="O360" i="4"/>
  <c r="N360" i="4"/>
  <c r="B360" i="4"/>
  <c r="A360" i="4"/>
  <c r="S359" i="4"/>
  <c r="R359" i="4"/>
  <c r="Q359" i="4"/>
  <c r="P359" i="4"/>
  <c r="O359" i="4"/>
  <c r="N359" i="4"/>
  <c r="B359" i="4"/>
  <c r="A359" i="4"/>
  <c r="S358" i="4"/>
  <c r="R358" i="4"/>
  <c r="Q358" i="4"/>
  <c r="P358" i="4"/>
  <c r="O358" i="4"/>
  <c r="N358" i="4"/>
  <c r="B358" i="4"/>
  <c r="A358" i="4"/>
  <c r="S357" i="4"/>
  <c r="R357" i="4"/>
  <c r="Q357" i="4"/>
  <c r="P357" i="4"/>
  <c r="O357" i="4"/>
  <c r="N357" i="4"/>
  <c r="B357" i="4"/>
  <c r="A357" i="4"/>
  <c r="S356" i="4"/>
  <c r="R356" i="4"/>
  <c r="Q356" i="4"/>
  <c r="P356" i="4"/>
  <c r="O356" i="4"/>
  <c r="N356" i="4"/>
  <c r="B356" i="4"/>
  <c r="A356" i="4"/>
  <c r="S355" i="4"/>
  <c r="R355" i="4"/>
  <c r="Q355" i="4"/>
  <c r="P355" i="4"/>
  <c r="O355" i="4"/>
  <c r="N355" i="4"/>
  <c r="B355" i="4"/>
  <c r="A355" i="4"/>
  <c r="S354" i="4"/>
  <c r="R354" i="4"/>
  <c r="Q354" i="4"/>
  <c r="P354" i="4"/>
  <c r="O354" i="4"/>
  <c r="N354" i="4"/>
  <c r="B354" i="4"/>
  <c r="A354" i="4"/>
  <c r="S353" i="4"/>
  <c r="R353" i="4"/>
  <c r="Q353" i="4"/>
  <c r="P353" i="4"/>
  <c r="O353" i="4"/>
  <c r="N353" i="4"/>
  <c r="B353" i="4"/>
  <c r="A353" i="4"/>
  <c r="S352" i="4"/>
  <c r="R352" i="4"/>
  <c r="Q352" i="4"/>
  <c r="P352" i="4"/>
  <c r="O352" i="4"/>
  <c r="N352" i="4"/>
  <c r="B352" i="4"/>
  <c r="A352" i="4"/>
  <c r="S351" i="4"/>
  <c r="R351" i="4"/>
  <c r="Q351" i="4"/>
  <c r="P351" i="4"/>
  <c r="O351" i="4"/>
  <c r="N351" i="4"/>
  <c r="B351" i="4"/>
  <c r="A351" i="4"/>
  <c r="S350" i="4"/>
  <c r="R350" i="4"/>
  <c r="Q350" i="4"/>
  <c r="P350" i="4"/>
  <c r="O350" i="4"/>
  <c r="N350" i="4"/>
  <c r="B350" i="4"/>
  <c r="A350" i="4"/>
  <c r="S349" i="4"/>
  <c r="R349" i="4"/>
  <c r="Q349" i="4"/>
  <c r="P349" i="4"/>
  <c r="O349" i="4"/>
  <c r="N349" i="4"/>
  <c r="B349" i="4"/>
  <c r="A349" i="4"/>
  <c r="S348" i="4"/>
  <c r="R348" i="4"/>
  <c r="Q348" i="4"/>
  <c r="P348" i="4"/>
  <c r="O348" i="4"/>
  <c r="N348" i="4"/>
  <c r="B348" i="4"/>
  <c r="A348" i="4"/>
  <c r="S347" i="4"/>
  <c r="R347" i="4"/>
  <c r="Q347" i="4"/>
  <c r="P347" i="4"/>
  <c r="O347" i="4"/>
  <c r="N347" i="4"/>
  <c r="B347" i="4"/>
  <c r="A347" i="4"/>
  <c r="S346" i="4"/>
  <c r="R346" i="4"/>
  <c r="Q346" i="4"/>
  <c r="P346" i="4"/>
  <c r="O346" i="4"/>
  <c r="N346" i="4"/>
  <c r="B346" i="4"/>
  <c r="A346" i="4"/>
  <c r="S345" i="4"/>
  <c r="R345" i="4"/>
  <c r="Q345" i="4"/>
  <c r="P345" i="4"/>
  <c r="O345" i="4"/>
  <c r="N345" i="4"/>
  <c r="B345" i="4"/>
  <c r="A345" i="4"/>
  <c r="S344" i="4"/>
  <c r="R344" i="4"/>
  <c r="Q344" i="4"/>
  <c r="P344" i="4"/>
  <c r="O344" i="4"/>
  <c r="N344" i="4"/>
  <c r="B344" i="4"/>
  <c r="A344" i="4"/>
  <c r="S343" i="4"/>
  <c r="R343" i="4"/>
  <c r="Q343" i="4"/>
  <c r="P343" i="4"/>
  <c r="O343" i="4"/>
  <c r="N343" i="4"/>
  <c r="B343" i="4"/>
  <c r="A343" i="4"/>
  <c r="S342" i="4"/>
  <c r="R342" i="4"/>
  <c r="Q342" i="4"/>
  <c r="P342" i="4"/>
  <c r="O342" i="4"/>
  <c r="N342" i="4"/>
  <c r="B342" i="4"/>
  <c r="A342" i="4"/>
  <c r="S341" i="4"/>
  <c r="R341" i="4"/>
  <c r="Q341" i="4"/>
  <c r="P341" i="4"/>
  <c r="O341" i="4"/>
  <c r="N341" i="4"/>
  <c r="B341" i="4"/>
  <c r="A341" i="4"/>
  <c r="S340" i="4"/>
  <c r="R340" i="4"/>
  <c r="Q340" i="4"/>
  <c r="P340" i="4"/>
  <c r="O340" i="4"/>
  <c r="N340" i="4"/>
  <c r="B340" i="4"/>
  <c r="A340" i="4"/>
  <c r="S339" i="4"/>
  <c r="R339" i="4"/>
  <c r="Q339" i="4"/>
  <c r="P339" i="4"/>
  <c r="O339" i="4"/>
  <c r="N339" i="4"/>
  <c r="B339" i="4"/>
  <c r="A339" i="4"/>
  <c r="S338" i="4"/>
  <c r="R338" i="4"/>
  <c r="Q338" i="4"/>
  <c r="P338" i="4"/>
  <c r="O338" i="4"/>
  <c r="N338" i="4"/>
  <c r="B338" i="4"/>
  <c r="A338" i="4"/>
  <c r="S337" i="4"/>
  <c r="R337" i="4"/>
  <c r="Q337" i="4"/>
  <c r="P337" i="4"/>
  <c r="O337" i="4"/>
  <c r="N337" i="4"/>
  <c r="B337" i="4"/>
  <c r="A337" i="4"/>
  <c r="S336" i="4"/>
  <c r="R336" i="4"/>
  <c r="Q336" i="4"/>
  <c r="P336" i="4"/>
  <c r="O336" i="4"/>
  <c r="N336" i="4"/>
  <c r="B336" i="4"/>
  <c r="A336" i="4"/>
  <c r="S335" i="4"/>
  <c r="R335" i="4"/>
  <c r="Q335" i="4"/>
  <c r="P335" i="4"/>
  <c r="O335" i="4"/>
  <c r="N335" i="4"/>
  <c r="B335" i="4"/>
  <c r="A335" i="4"/>
  <c r="S334" i="4"/>
  <c r="R334" i="4"/>
  <c r="Q334" i="4"/>
  <c r="P334" i="4"/>
  <c r="O334" i="4"/>
  <c r="N334" i="4"/>
  <c r="B334" i="4"/>
  <c r="A334" i="4"/>
  <c r="S333" i="4"/>
  <c r="R333" i="4"/>
  <c r="Q333" i="4"/>
  <c r="P333" i="4"/>
  <c r="O333" i="4"/>
  <c r="N333" i="4"/>
  <c r="B333" i="4"/>
  <c r="A333" i="4"/>
  <c r="S332" i="4"/>
  <c r="R332" i="4"/>
  <c r="Q332" i="4"/>
  <c r="P332" i="4"/>
  <c r="O332" i="4"/>
  <c r="N332" i="4"/>
  <c r="B332" i="4"/>
  <c r="A332" i="4"/>
  <c r="S331" i="4"/>
  <c r="R331" i="4"/>
  <c r="Q331" i="4"/>
  <c r="P331" i="4"/>
  <c r="O331" i="4"/>
  <c r="N331" i="4"/>
  <c r="B331" i="4"/>
  <c r="A331" i="4"/>
  <c r="S330" i="4"/>
  <c r="R330" i="4"/>
  <c r="Q330" i="4"/>
  <c r="P330" i="4"/>
  <c r="O330" i="4"/>
  <c r="N330" i="4"/>
  <c r="B330" i="4"/>
  <c r="A330" i="4"/>
  <c r="S329" i="4"/>
  <c r="R329" i="4"/>
  <c r="Q329" i="4"/>
  <c r="P329" i="4"/>
  <c r="O329" i="4"/>
  <c r="N329" i="4"/>
  <c r="B329" i="4"/>
  <c r="A329" i="4"/>
  <c r="S328" i="4"/>
  <c r="R328" i="4"/>
  <c r="Q328" i="4"/>
  <c r="P328" i="4"/>
  <c r="O328" i="4"/>
  <c r="N328" i="4"/>
  <c r="B328" i="4"/>
  <c r="A328" i="4"/>
  <c r="S327" i="4"/>
  <c r="R327" i="4"/>
  <c r="Q327" i="4"/>
  <c r="P327" i="4"/>
  <c r="O327" i="4"/>
  <c r="N327" i="4"/>
  <c r="B327" i="4"/>
  <c r="A327" i="4"/>
  <c r="S326" i="4"/>
  <c r="R326" i="4"/>
  <c r="Q326" i="4"/>
  <c r="P326" i="4"/>
  <c r="O326" i="4"/>
  <c r="N326" i="4"/>
  <c r="B326" i="4"/>
  <c r="A326" i="4"/>
  <c r="S325" i="4"/>
  <c r="R325" i="4"/>
  <c r="Q325" i="4"/>
  <c r="P325" i="4"/>
  <c r="O325" i="4"/>
  <c r="N325" i="4"/>
  <c r="B325" i="4"/>
  <c r="A325" i="4"/>
  <c r="S324" i="4"/>
  <c r="R324" i="4"/>
  <c r="Q324" i="4"/>
  <c r="P324" i="4"/>
  <c r="O324" i="4"/>
  <c r="N324" i="4"/>
  <c r="B324" i="4"/>
  <c r="A324" i="4"/>
  <c r="S323" i="4"/>
  <c r="R323" i="4"/>
  <c r="Q323" i="4"/>
  <c r="P323" i="4"/>
  <c r="O323" i="4"/>
  <c r="N323" i="4"/>
  <c r="B323" i="4"/>
  <c r="A323" i="4"/>
  <c r="S322" i="4"/>
  <c r="R322" i="4"/>
  <c r="Q322" i="4"/>
  <c r="P322" i="4"/>
  <c r="O322" i="4"/>
  <c r="N322" i="4"/>
  <c r="B322" i="4"/>
  <c r="A322" i="4"/>
  <c r="S321" i="4"/>
  <c r="R321" i="4"/>
  <c r="Q321" i="4"/>
  <c r="P321" i="4"/>
  <c r="O321" i="4"/>
  <c r="N321" i="4"/>
  <c r="B321" i="4"/>
  <c r="A321" i="4"/>
  <c r="S320" i="4"/>
  <c r="R320" i="4"/>
  <c r="Q320" i="4"/>
  <c r="P320" i="4"/>
  <c r="O320" i="4"/>
  <c r="N320" i="4"/>
  <c r="B320" i="4"/>
  <c r="A320" i="4"/>
  <c r="S319" i="4"/>
  <c r="R319" i="4"/>
  <c r="Q319" i="4"/>
  <c r="P319" i="4"/>
  <c r="O319" i="4"/>
  <c r="N319" i="4"/>
  <c r="B319" i="4"/>
  <c r="A319" i="4"/>
  <c r="S318" i="4"/>
  <c r="R318" i="4"/>
  <c r="Q318" i="4"/>
  <c r="P318" i="4"/>
  <c r="O318" i="4"/>
  <c r="N318" i="4"/>
  <c r="B318" i="4"/>
  <c r="A318" i="4"/>
  <c r="S317" i="4"/>
  <c r="R317" i="4"/>
  <c r="Q317" i="4"/>
  <c r="P317" i="4"/>
  <c r="O317" i="4"/>
  <c r="N317" i="4"/>
  <c r="B317" i="4"/>
  <c r="A317" i="4"/>
  <c r="S316" i="4"/>
  <c r="R316" i="4"/>
  <c r="Q316" i="4"/>
  <c r="P316" i="4"/>
  <c r="O316" i="4"/>
  <c r="N316" i="4"/>
  <c r="B316" i="4"/>
  <c r="A316" i="4"/>
  <c r="S315" i="4"/>
  <c r="R315" i="4"/>
  <c r="Q315" i="4"/>
  <c r="P315" i="4"/>
  <c r="O315" i="4"/>
  <c r="N315" i="4"/>
  <c r="B315" i="4"/>
  <c r="A315" i="4"/>
  <c r="S314" i="4"/>
  <c r="R314" i="4"/>
  <c r="Q314" i="4"/>
  <c r="P314" i="4"/>
  <c r="O314" i="4"/>
  <c r="N314" i="4"/>
  <c r="B314" i="4"/>
  <c r="A314" i="4"/>
  <c r="S313" i="4"/>
  <c r="R313" i="4"/>
  <c r="Q313" i="4"/>
  <c r="P313" i="4"/>
  <c r="O313" i="4"/>
  <c r="N313" i="4"/>
  <c r="B313" i="4"/>
  <c r="A313" i="4"/>
  <c r="S312" i="4"/>
  <c r="R312" i="4"/>
  <c r="Q312" i="4"/>
  <c r="P312" i="4"/>
  <c r="O312" i="4"/>
  <c r="N312" i="4"/>
  <c r="B312" i="4"/>
  <c r="A312" i="4"/>
  <c r="S311" i="4"/>
  <c r="R311" i="4"/>
  <c r="Q311" i="4"/>
  <c r="P311" i="4"/>
  <c r="O311" i="4"/>
  <c r="N311" i="4"/>
  <c r="B311" i="4"/>
  <c r="A311" i="4"/>
  <c r="S310" i="4"/>
  <c r="R310" i="4"/>
  <c r="Q310" i="4"/>
  <c r="P310" i="4"/>
  <c r="O310" i="4"/>
  <c r="N310" i="4"/>
  <c r="B310" i="4"/>
  <c r="A310" i="4"/>
  <c r="S309" i="4"/>
  <c r="R309" i="4"/>
  <c r="Q309" i="4"/>
  <c r="P309" i="4"/>
  <c r="O309" i="4"/>
  <c r="N309" i="4"/>
  <c r="B309" i="4"/>
  <c r="A309" i="4"/>
  <c r="S308" i="4"/>
  <c r="R308" i="4"/>
  <c r="Q308" i="4"/>
  <c r="P308" i="4"/>
  <c r="O308" i="4"/>
  <c r="N308" i="4"/>
  <c r="B308" i="4"/>
  <c r="A308" i="4"/>
  <c r="S307" i="4"/>
  <c r="R307" i="4"/>
  <c r="Q307" i="4"/>
  <c r="P307" i="4"/>
  <c r="O307" i="4"/>
  <c r="N307" i="4"/>
  <c r="B307" i="4"/>
  <c r="A307" i="4"/>
  <c r="S306" i="4"/>
  <c r="R306" i="4"/>
  <c r="Q306" i="4"/>
  <c r="P306" i="4"/>
  <c r="O306" i="4"/>
  <c r="N306" i="4"/>
  <c r="B306" i="4"/>
  <c r="A306" i="4"/>
  <c r="S305" i="4"/>
  <c r="R305" i="4"/>
  <c r="Q305" i="4"/>
  <c r="P305" i="4"/>
  <c r="O305" i="4"/>
  <c r="N305" i="4"/>
  <c r="B305" i="4"/>
  <c r="A305" i="4"/>
  <c r="S304" i="4"/>
  <c r="R304" i="4"/>
  <c r="Q304" i="4"/>
  <c r="P304" i="4"/>
  <c r="O304" i="4"/>
  <c r="N304" i="4"/>
  <c r="B304" i="4"/>
  <c r="A304" i="4"/>
  <c r="S303" i="4"/>
  <c r="R303" i="4"/>
  <c r="Q303" i="4"/>
  <c r="P303" i="4"/>
  <c r="O303" i="4"/>
  <c r="N303" i="4"/>
  <c r="B303" i="4"/>
  <c r="A303" i="4"/>
  <c r="S302" i="4"/>
  <c r="R302" i="4"/>
  <c r="Q302" i="4"/>
  <c r="P302" i="4"/>
  <c r="O302" i="4"/>
  <c r="N302" i="4"/>
  <c r="B302" i="4"/>
  <c r="A302" i="4"/>
  <c r="S301" i="4"/>
  <c r="R301" i="4"/>
  <c r="Q301" i="4"/>
  <c r="P301" i="4"/>
  <c r="O301" i="4"/>
  <c r="N301" i="4"/>
  <c r="B301" i="4"/>
  <c r="A301" i="4"/>
  <c r="S300" i="4"/>
  <c r="R300" i="4"/>
  <c r="Q300" i="4"/>
  <c r="P300" i="4"/>
  <c r="O300" i="4"/>
  <c r="N300" i="4"/>
  <c r="B300" i="4"/>
  <c r="A300" i="4"/>
  <c r="S299" i="4"/>
  <c r="R299" i="4"/>
  <c r="Q299" i="4"/>
  <c r="P299" i="4"/>
  <c r="O299" i="4"/>
  <c r="N299" i="4"/>
  <c r="B299" i="4"/>
  <c r="A299" i="4"/>
  <c r="S298" i="4"/>
  <c r="R298" i="4"/>
  <c r="Q298" i="4"/>
  <c r="P298" i="4"/>
  <c r="O298" i="4"/>
  <c r="N298" i="4"/>
  <c r="B298" i="4"/>
  <c r="A298" i="4"/>
  <c r="S297" i="4"/>
  <c r="R297" i="4"/>
  <c r="Q297" i="4"/>
  <c r="P297" i="4"/>
  <c r="O297" i="4"/>
  <c r="N297" i="4"/>
  <c r="B297" i="4"/>
  <c r="A297" i="4"/>
  <c r="S296" i="4"/>
  <c r="R296" i="4"/>
  <c r="Q296" i="4"/>
  <c r="P296" i="4"/>
  <c r="O296" i="4"/>
  <c r="N296" i="4"/>
  <c r="B296" i="4"/>
  <c r="A296" i="4"/>
  <c r="S295" i="4"/>
  <c r="R295" i="4"/>
  <c r="Q295" i="4"/>
  <c r="P295" i="4"/>
  <c r="O295" i="4"/>
  <c r="N295" i="4"/>
  <c r="B295" i="4"/>
  <c r="A295" i="4"/>
  <c r="S294" i="4"/>
  <c r="R294" i="4"/>
  <c r="Q294" i="4"/>
  <c r="P294" i="4"/>
  <c r="O294" i="4"/>
  <c r="N294" i="4"/>
  <c r="B294" i="4"/>
  <c r="A294" i="4"/>
  <c r="S293" i="4"/>
  <c r="R293" i="4"/>
  <c r="Q293" i="4"/>
  <c r="P293" i="4"/>
  <c r="O293" i="4"/>
  <c r="N293" i="4"/>
  <c r="B293" i="4"/>
  <c r="A293" i="4"/>
  <c r="S292" i="4"/>
  <c r="R292" i="4"/>
  <c r="Q292" i="4"/>
  <c r="P292" i="4"/>
  <c r="O292" i="4"/>
  <c r="N292" i="4"/>
  <c r="B292" i="4"/>
  <c r="A292" i="4"/>
  <c r="S291" i="4"/>
  <c r="R291" i="4"/>
  <c r="Q291" i="4"/>
  <c r="P291" i="4"/>
  <c r="O291" i="4"/>
  <c r="N291" i="4"/>
  <c r="B291" i="4"/>
  <c r="A291" i="4"/>
  <c r="S290" i="4"/>
  <c r="R290" i="4"/>
  <c r="Q290" i="4"/>
  <c r="P290" i="4"/>
  <c r="O290" i="4"/>
  <c r="N290" i="4"/>
  <c r="B290" i="4"/>
  <c r="A290" i="4"/>
  <c r="S289" i="4"/>
  <c r="R289" i="4"/>
  <c r="Q289" i="4"/>
  <c r="P289" i="4"/>
  <c r="O289" i="4"/>
  <c r="N289" i="4"/>
  <c r="B289" i="4"/>
  <c r="A289" i="4"/>
  <c r="S288" i="4"/>
  <c r="R288" i="4"/>
  <c r="Q288" i="4"/>
  <c r="P288" i="4"/>
  <c r="O288" i="4"/>
  <c r="N288" i="4"/>
  <c r="B288" i="4"/>
  <c r="A288" i="4"/>
  <c r="S287" i="4"/>
  <c r="R287" i="4"/>
  <c r="Q287" i="4"/>
  <c r="P287" i="4"/>
  <c r="O287" i="4"/>
  <c r="N287" i="4"/>
  <c r="B287" i="4"/>
  <c r="A287" i="4"/>
  <c r="S286" i="4"/>
  <c r="R286" i="4"/>
  <c r="Q286" i="4"/>
  <c r="P286" i="4"/>
  <c r="O286" i="4"/>
  <c r="N286" i="4"/>
  <c r="B286" i="4"/>
  <c r="A286" i="4"/>
  <c r="S285" i="4"/>
  <c r="R285" i="4"/>
  <c r="Q285" i="4"/>
  <c r="P285" i="4"/>
  <c r="O285" i="4"/>
  <c r="N285" i="4"/>
  <c r="B285" i="4"/>
  <c r="A285" i="4"/>
  <c r="S284" i="4"/>
  <c r="R284" i="4"/>
  <c r="Q284" i="4"/>
  <c r="P284" i="4"/>
  <c r="O284" i="4"/>
  <c r="N284" i="4"/>
  <c r="B284" i="4"/>
  <c r="A284" i="4"/>
  <c r="S283" i="4"/>
  <c r="R283" i="4"/>
  <c r="Q283" i="4"/>
  <c r="P283" i="4"/>
  <c r="O283" i="4"/>
  <c r="N283" i="4"/>
  <c r="B283" i="4"/>
  <c r="A283" i="4"/>
  <c r="S282" i="4"/>
  <c r="R282" i="4"/>
  <c r="Q282" i="4"/>
  <c r="P282" i="4"/>
  <c r="O282" i="4"/>
  <c r="N282" i="4"/>
  <c r="B282" i="4"/>
  <c r="A282" i="4"/>
  <c r="S281" i="4"/>
  <c r="R281" i="4"/>
  <c r="Q281" i="4"/>
  <c r="P281" i="4"/>
  <c r="O281" i="4"/>
  <c r="N281" i="4"/>
  <c r="B281" i="4"/>
  <c r="A281" i="4"/>
  <c r="S280" i="4"/>
  <c r="R280" i="4"/>
  <c r="Q280" i="4"/>
  <c r="P280" i="4"/>
  <c r="O280" i="4"/>
  <c r="N280" i="4"/>
  <c r="B280" i="4"/>
  <c r="A280" i="4"/>
  <c r="S279" i="4"/>
  <c r="R279" i="4"/>
  <c r="Q279" i="4"/>
  <c r="P279" i="4"/>
  <c r="O279" i="4"/>
  <c r="N279" i="4"/>
  <c r="B279" i="4"/>
  <c r="A279" i="4"/>
  <c r="S278" i="4"/>
  <c r="R278" i="4"/>
  <c r="Q278" i="4"/>
  <c r="P278" i="4"/>
  <c r="O278" i="4"/>
  <c r="N278" i="4"/>
  <c r="B278" i="4"/>
  <c r="A278" i="4"/>
  <c r="S277" i="4"/>
  <c r="R277" i="4"/>
  <c r="Q277" i="4"/>
  <c r="P277" i="4"/>
  <c r="O277" i="4"/>
  <c r="N277" i="4"/>
  <c r="B277" i="4"/>
  <c r="A277" i="4"/>
  <c r="S276" i="4"/>
  <c r="R276" i="4"/>
  <c r="Q276" i="4"/>
  <c r="P276" i="4"/>
  <c r="O276" i="4"/>
  <c r="N276" i="4"/>
  <c r="B276" i="4"/>
  <c r="A276" i="4"/>
  <c r="S275" i="4"/>
  <c r="R275" i="4"/>
  <c r="Q275" i="4"/>
  <c r="P275" i="4"/>
  <c r="O275" i="4"/>
  <c r="N275" i="4"/>
  <c r="B275" i="4"/>
  <c r="A275" i="4"/>
  <c r="S274" i="4"/>
  <c r="R274" i="4"/>
  <c r="Q274" i="4"/>
  <c r="P274" i="4"/>
  <c r="O274" i="4"/>
  <c r="N274" i="4"/>
  <c r="B274" i="4"/>
  <c r="A274" i="4"/>
  <c r="S273" i="4"/>
  <c r="R273" i="4"/>
  <c r="Q273" i="4"/>
  <c r="P273" i="4"/>
  <c r="O273" i="4"/>
  <c r="N273" i="4"/>
  <c r="B273" i="4"/>
  <c r="A273" i="4"/>
  <c r="S272" i="4"/>
  <c r="R272" i="4"/>
  <c r="Q272" i="4"/>
  <c r="P272" i="4"/>
  <c r="O272" i="4"/>
  <c r="N272" i="4"/>
  <c r="B272" i="4"/>
  <c r="A272" i="4"/>
  <c r="S271" i="4"/>
  <c r="R271" i="4"/>
  <c r="Q271" i="4"/>
  <c r="P271" i="4"/>
  <c r="O271" i="4"/>
  <c r="N271" i="4"/>
  <c r="B271" i="4"/>
  <c r="A271" i="4"/>
  <c r="S270" i="4"/>
  <c r="R270" i="4"/>
  <c r="Q270" i="4"/>
  <c r="P270" i="4"/>
  <c r="O270" i="4"/>
  <c r="N270" i="4"/>
  <c r="B270" i="4"/>
  <c r="A270" i="4"/>
  <c r="S269" i="4"/>
  <c r="R269" i="4"/>
  <c r="Q269" i="4"/>
  <c r="P269" i="4"/>
  <c r="O269" i="4"/>
  <c r="N269" i="4"/>
  <c r="B269" i="4"/>
  <c r="A269" i="4"/>
  <c r="S268" i="4"/>
  <c r="R268" i="4"/>
  <c r="Q268" i="4"/>
  <c r="P268" i="4"/>
  <c r="O268" i="4"/>
  <c r="N268" i="4"/>
  <c r="B268" i="4"/>
  <c r="A268" i="4"/>
  <c r="S267" i="4"/>
  <c r="R267" i="4"/>
  <c r="Q267" i="4"/>
  <c r="P267" i="4"/>
  <c r="O267" i="4"/>
  <c r="N267" i="4"/>
  <c r="B267" i="4"/>
  <c r="A267" i="4"/>
  <c r="S266" i="4"/>
  <c r="R266" i="4"/>
  <c r="Q266" i="4"/>
  <c r="P266" i="4"/>
  <c r="O266" i="4"/>
  <c r="N266" i="4"/>
  <c r="B266" i="4"/>
  <c r="A266" i="4"/>
  <c r="S265" i="4"/>
  <c r="R265" i="4"/>
  <c r="Q265" i="4"/>
  <c r="P265" i="4"/>
  <c r="O265" i="4"/>
  <c r="N265" i="4"/>
  <c r="B265" i="4"/>
  <c r="A265" i="4"/>
  <c r="S264" i="4"/>
  <c r="R264" i="4"/>
  <c r="Q264" i="4"/>
  <c r="P264" i="4"/>
  <c r="O264" i="4"/>
  <c r="N264" i="4"/>
  <c r="B264" i="4"/>
  <c r="A264" i="4"/>
  <c r="S263" i="4"/>
  <c r="R263" i="4"/>
  <c r="Q263" i="4"/>
  <c r="P263" i="4"/>
  <c r="O263" i="4"/>
  <c r="N263" i="4"/>
  <c r="B263" i="4"/>
  <c r="A263" i="4"/>
  <c r="S262" i="4"/>
  <c r="R262" i="4"/>
  <c r="Q262" i="4"/>
  <c r="P262" i="4"/>
  <c r="O262" i="4"/>
  <c r="N262" i="4"/>
  <c r="B262" i="4"/>
  <c r="A262" i="4"/>
  <c r="S261" i="4"/>
  <c r="R261" i="4"/>
  <c r="Q261" i="4"/>
  <c r="P261" i="4"/>
  <c r="O261" i="4"/>
  <c r="N261" i="4"/>
  <c r="B261" i="4"/>
  <c r="A261" i="4"/>
  <c r="S260" i="4"/>
  <c r="R260" i="4"/>
  <c r="Q260" i="4"/>
  <c r="P260" i="4"/>
  <c r="O260" i="4"/>
  <c r="N260" i="4"/>
  <c r="B260" i="4"/>
  <c r="A260" i="4"/>
  <c r="S259" i="4"/>
  <c r="R259" i="4"/>
  <c r="Q259" i="4"/>
  <c r="P259" i="4"/>
  <c r="O259" i="4"/>
  <c r="N259" i="4"/>
  <c r="B259" i="4"/>
  <c r="A259" i="4"/>
  <c r="S258" i="4"/>
  <c r="R258" i="4"/>
  <c r="Q258" i="4"/>
  <c r="P258" i="4"/>
  <c r="O258" i="4"/>
  <c r="N258" i="4"/>
  <c r="B258" i="4"/>
  <c r="A258" i="4"/>
  <c r="S257" i="4"/>
  <c r="R257" i="4"/>
  <c r="Q257" i="4"/>
  <c r="P257" i="4"/>
  <c r="O257" i="4"/>
  <c r="N257" i="4"/>
  <c r="B257" i="4"/>
  <c r="A257" i="4"/>
  <c r="S256" i="4"/>
  <c r="R256" i="4"/>
  <c r="Q256" i="4"/>
  <c r="P256" i="4"/>
  <c r="O256" i="4"/>
  <c r="N256" i="4"/>
  <c r="B256" i="4"/>
  <c r="A256" i="4"/>
  <c r="S255" i="4"/>
  <c r="R255" i="4"/>
  <c r="Q255" i="4"/>
  <c r="P255" i="4"/>
  <c r="O255" i="4"/>
  <c r="N255" i="4"/>
  <c r="B255" i="4"/>
  <c r="A255" i="4"/>
  <c r="S254" i="4"/>
  <c r="R254" i="4"/>
  <c r="Q254" i="4"/>
  <c r="P254" i="4"/>
  <c r="O254" i="4"/>
  <c r="N254" i="4"/>
  <c r="B254" i="4"/>
  <c r="A254" i="4"/>
  <c r="S253" i="4"/>
  <c r="R253" i="4"/>
  <c r="Q253" i="4"/>
  <c r="P253" i="4"/>
  <c r="O253" i="4"/>
  <c r="N253" i="4"/>
  <c r="B253" i="4"/>
  <c r="A253" i="4"/>
  <c r="S252" i="4"/>
  <c r="R252" i="4"/>
  <c r="Q252" i="4"/>
  <c r="P252" i="4"/>
  <c r="O252" i="4"/>
  <c r="N252" i="4"/>
  <c r="B252" i="4"/>
  <c r="A252" i="4"/>
  <c r="S251" i="4"/>
  <c r="R251" i="4"/>
  <c r="Q251" i="4"/>
  <c r="P251" i="4"/>
  <c r="O251" i="4"/>
  <c r="N251" i="4"/>
  <c r="B251" i="4"/>
  <c r="A251" i="4"/>
  <c r="S250" i="4"/>
  <c r="R250" i="4"/>
  <c r="Q250" i="4"/>
  <c r="P250" i="4"/>
  <c r="O250" i="4"/>
  <c r="N250" i="4"/>
  <c r="B250" i="4"/>
  <c r="A250" i="4"/>
  <c r="S249" i="4"/>
  <c r="R249" i="4"/>
  <c r="Q249" i="4"/>
  <c r="P249" i="4"/>
  <c r="O249" i="4"/>
  <c r="N249" i="4"/>
  <c r="B249" i="4"/>
  <c r="A249" i="4"/>
  <c r="S248" i="4"/>
  <c r="R248" i="4"/>
  <c r="Q248" i="4"/>
  <c r="P248" i="4"/>
  <c r="O248" i="4"/>
  <c r="N248" i="4"/>
  <c r="B248" i="4"/>
  <c r="A248" i="4"/>
  <c r="S247" i="4"/>
  <c r="R247" i="4"/>
  <c r="Q247" i="4"/>
  <c r="P247" i="4"/>
  <c r="O247" i="4"/>
  <c r="N247" i="4"/>
  <c r="B247" i="4"/>
  <c r="A247" i="4"/>
  <c r="S246" i="4"/>
  <c r="R246" i="4"/>
  <c r="Q246" i="4"/>
  <c r="P246" i="4"/>
  <c r="O246" i="4"/>
  <c r="N246" i="4"/>
  <c r="B246" i="4"/>
  <c r="A246" i="4"/>
  <c r="S245" i="4"/>
  <c r="R245" i="4"/>
  <c r="Q245" i="4"/>
  <c r="P245" i="4"/>
  <c r="O245" i="4"/>
  <c r="N245" i="4"/>
  <c r="B245" i="4"/>
  <c r="A245" i="4"/>
  <c r="S244" i="4"/>
  <c r="R244" i="4"/>
  <c r="Q244" i="4"/>
  <c r="P244" i="4"/>
  <c r="O244" i="4"/>
  <c r="N244" i="4"/>
  <c r="B244" i="4"/>
  <c r="A244" i="4"/>
  <c r="S243" i="4"/>
  <c r="R243" i="4"/>
  <c r="Q243" i="4"/>
  <c r="P243" i="4"/>
  <c r="O243" i="4"/>
  <c r="N243" i="4"/>
  <c r="B243" i="4"/>
  <c r="A243" i="4"/>
  <c r="S242" i="4"/>
  <c r="R242" i="4"/>
  <c r="Q242" i="4"/>
  <c r="P242" i="4"/>
  <c r="O242" i="4"/>
  <c r="N242" i="4"/>
  <c r="B242" i="4"/>
  <c r="A242" i="4"/>
  <c r="S241" i="4"/>
  <c r="R241" i="4"/>
  <c r="Q241" i="4"/>
  <c r="P241" i="4"/>
  <c r="O241" i="4"/>
  <c r="N241" i="4"/>
  <c r="B241" i="4"/>
  <c r="A241" i="4"/>
  <c r="S240" i="4"/>
  <c r="R240" i="4"/>
  <c r="Q240" i="4"/>
  <c r="P240" i="4"/>
  <c r="O240" i="4"/>
  <c r="N240" i="4"/>
  <c r="B240" i="4"/>
  <c r="A240" i="4"/>
  <c r="S239" i="4"/>
  <c r="R239" i="4"/>
  <c r="Q239" i="4"/>
  <c r="P239" i="4"/>
  <c r="O239" i="4"/>
  <c r="N239" i="4"/>
  <c r="B239" i="4"/>
  <c r="A239" i="4"/>
  <c r="S238" i="4"/>
  <c r="R238" i="4"/>
  <c r="Q238" i="4"/>
  <c r="P238" i="4"/>
  <c r="O238" i="4"/>
  <c r="N238" i="4"/>
  <c r="B238" i="4"/>
  <c r="A238" i="4"/>
  <c r="S237" i="4"/>
  <c r="R237" i="4"/>
  <c r="Q237" i="4"/>
  <c r="P237" i="4"/>
  <c r="O237" i="4"/>
  <c r="N237" i="4"/>
  <c r="B237" i="4"/>
  <c r="A237" i="4"/>
  <c r="S236" i="4"/>
  <c r="R236" i="4"/>
  <c r="Q236" i="4"/>
  <c r="P236" i="4"/>
  <c r="O236" i="4"/>
  <c r="N236" i="4"/>
  <c r="B236" i="4"/>
  <c r="A236" i="4"/>
  <c r="S235" i="4"/>
  <c r="R235" i="4"/>
  <c r="Q235" i="4"/>
  <c r="P235" i="4"/>
  <c r="O235" i="4"/>
  <c r="N235" i="4"/>
  <c r="B235" i="4"/>
  <c r="A235" i="4"/>
  <c r="S234" i="4"/>
  <c r="R234" i="4"/>
  <c r="Q234" i="4"/>
  <c r="P234" i="4"/>
  <c r="O234" i="4"/>
  <c r="N234" i="4"/>
  <c r="B234" i="4"/>
  <c r="A234" i="4"/>
  <c r="S233" i="4"/>
  <c r="R233" i="4"/>
  <c r="Q233" i="4"/>
  <c r="P233" i="4"/>
  <c r="O233" i="4"/>
  <c r="N233" i="4"/>
  <c r="B233" i="4"/>
  <c r="A233" i="4"/>
  <c r="S232" i="4"/>
  <c r="R232" i="4"/>
  <c r="Q232" i="4"/>
  <c r="P232" i="4"/>
  <c r="O232" i="4"/>
  <c r="N232" i="4"/>
  <c r="B232" i="4"/>
  <c r="A232" i="4"/>
  <c r="S231" i="4"/>
  <c r="R231" i="4"/>
  <c r="Q231" i="4"/>
  <c r="P231" i="4"/>
  <c r="O231" i="4"/>
  <c r="N231" i="4"/>
  <c r="B231" i="4"/>
  <c r="A231" i="4"/>
  <c r="S230" i="4"/>
  <c r="R230" i="4"/>
  <c r="Q230" i="4"/>
  <c r="P230" i="4"/>
  <c r="O230" i="4"/>
  <c r="N230" i="4"/>
  <c r="B230" i="4"/>
  <c r="A230" i="4"/>
  <c r="S229" i="4"/>
  <c r="R229" i="4"/>
  <c r="Q229" i="4"/>
  <c r="P229" i="4"/>
  <c r="O229" i="4"/>
  <c r="N229" i="4"/>
  <c r="B229" i="4"/>
  <c r="A229" i="4"/>
  <c r="S228" i="4"/>
  <c r="R228" i="4"/>
  <c r="Q228" i="4"/>
  <c r="P228" i="4"/>
  <c r="O228" i="4"/>
  <c r="N228" i="4"/>
  <c r="B228" i="4"/>
  <c r="A228" i="4"/>
  <c r="S227" i="4"/>
  <c r="R227" i="4"/>
  <c r="Q227" i="4"/>
  <c r="P227" i="4"/>
  <c r="O227" i="4"/>
  <c r="N227" i="4"/>
  <c r="B227" i="4"/>
  <c r="A227" i="4"/>
  <c r="S226" i="4"/>
  <c r="R226" i="4"/>
  <c r="Q226" i="4"/>
  <c r="P226" i="4"/>
  <c r="O226" i="4"/>
  <c r="N226" i="4"/>
  <c r="B226" i="4"/>
  <c r="A226" i="4"/>
  <c r="S225" i="4"/>
  <c r="R225" i="4"/>
  <c r="Q225" i="4"/>
  <c r="P225" i="4"/>
  <c r="O225" i="4"/>
  <c r="N225" i="4"/>
  <c r="B225" i="4"/>
  <c r="A225" i="4"/>
  <c r="S224" i="4"/>
  <c r="R224" i="4"/>
  <c r="Q224" i="4"/>
  <c r="P224" i="4"/>
  <c r="O224" i="4"/>
  <c r="N224" i="4"/>
  <c r="B224" i="4"/>
  <c r="A224" i="4"/>
  <c r="S223" i="4"/>
  <c r="R223" i="4"/>
  <c r="Q223" i="4"/>
  <c r="P223" i="4"/>
  <c r="O223" i="4"/>
  <c r="N223" i="4"/>
  <c r="B223" i="4"/>
  <c r="A223" i="4"/>
  <c r="S222" i="4"/>
  <c r="R222" i="4"/>
  <c r="Q222" i="4"/>
  <c r="P222" i="4"/>
  <c r="O222" i="4"/>
  <c r="N222" i="4"/>
  <c r="B222" i="4"/>
  <c r="A222" i="4"/>
  <c r="S221" i="4"/>
  <c r="R221" i="4"/>
  <c r="Q221" i="4"/>
  <c r="P221" i="4"/>
  <c r="O221" i="4"/>
  <c r="N221" i="4"/>
  <c r="B221" i="4"/>
  <c r="A221" i="4"/>
  <c r="S220" i="4"/>
  <c r="R220" i="4"/>
  <c r="Q220" i="4"/>
  <c r="P220" i="4"/>
  <c r="O220" i="4"/>
  <c r="N220" i="4"/>
  <c r="B220" i="4"/>
  <c r="A220" i="4"/>
  <c r="S219" i="4"/>
  <c r="R219" i="4"/>
  <c r="Q219" i="4"/>
  <c r="P219" i="4"/>
  <c r="O219" i="4"/>
  <c r="N219" i="4"/>
  <c r="B219" i="4"/>
  <c r="A219" i="4"/>
  <c r="S218" i="4"/>
  <c r="R218" i="4"/>
  <c r="Q218" i="4"/>
  <c r="P218" i="4"/>
  <c r="O218" i="4"/>
  <c r="N218" i="4"/>
  <c r="B218" i="4"/>
  <c r="A218" i="4"/>
  <c r="S217" i="4"/>
  <c r="R217" i="4"/>
  <c r="Q217" i="4"/>
  <c r="P217" i="4"/>
  <c r="O217" i="4"/>
  <c r="N217" i="4"/>
  <c r="B217" i="4"/>
  <c r="A217" i="4"/>
  <c r="S216" i="4"/>
  <c r="R216" i="4"/>
  <c r="Q216" i="4"/>
  <c r="P216" i="4"/>
  <c r="O216" i="4"/>
  <c r="N216" i="4"/>
  <c r="B216" i="4"/>
  <c r="A216" i="4"/>
  <c r="S215" i="4"/>
  <c r="R215" i="4"/>
  <c r="Q215" i="4"/>
  <c r="P215" i="4"/>
  <c r="O215" i="4"/>
  <c r="N215" i="4"/>
  <c r="B215" i="4"/>
  <c r="A215" i="4"/>
  <c r="S214" i="4"/>
  <c r="R214" i="4"/>
  <c r="Q214" i="4"/>
  <c r="P214" i="4"/>
  <c r="O214" i="4"/>
  <c r="N214" i="4"/>
  <c r="B214" i="4"/>
  <c r="A214" i="4"/>
  <c r="S213" i="4"/>
  <c r="R213" i="4"/>
  <c r="Q213" i="4"/>
  <c r="P213" i="4"/>
  <c r="O213" i="4"/>
  <c r="N213" i="4"/>
  <c r="B213" i="4"/>
  <c r="A213" i="4"/>
  <c r="S212" i="4"/>
  <c r="R212" i="4"/>
  <c r="Q212" i="4"/>
  <c r="P212" i="4"/>
  <c r="O212" i="4"/>
  <c r="N212" i="4"/>
  <c r="B212" i="4"/>
  <c r="A212" i="4"/>
  <c r="S211" i="4"/>
  <c r="R211" i="4"/>
  <c r="Q211" i="4"/>
  <c r="P211" i="4"/>
  <c r="O211" i="4"/>
  <c r="N211" i="4"/>
  <c r="B211" i="4"/>
  <c r="A211" i="4"/>
  <c r="S210" i="4"/>
  <c r="R210" i="4"/>
  <c r="Q210" i="4"/>
  <c r="P210" i="4"/>
  <c r="O210" i="4"/>
  <c r="N210" i="4"/>
  <c r="B210" i="4"/>
  <c r="A210" i="4"/>
  <c r="S209" i="4"/>
  <c r="R209" i="4"/>
  <c r="Q209" i="4"/>
  <c r="P209" i="4"/>
  <c r="O209" i="4"/>
  <c r="N209" i="4"/>
  <c r="B209" i="4"/>
  <c r="A209" i="4"/>
  <c r="S208" i="4"/>
  <c r="R208" i="4"/>
  <c r="Q208" i="4"/>
  <c r="P208" i="4"/>
  <c r="O208" i="4"/>
  <c r="N208" i="4"/>
  <c r="B208" i="4"/>
  <c r="A208" i="4"/>
  <c r="S207" i="4"/>
  <c r="R207" i="4"/>
  <c r="Q207" i="4"/>
  <c r="P207" i="4"/>
  <c r="O207" i="4"/>
  <c r="N207" i="4"/>
  <c r="B207" i="4"/>
  <c r="A207" i="4"/>
  <c r="S206" i="4"/>
  <c r="R206" i="4"/>
  <c r="Q206" i="4"/>
  <c r="P206" i="4"/>
  <c r="O206" i="4"/>
  <c r="N206" i="4"/>
  <c r="B206" i="4"/>
  <c r="A206" i="4"/>
  <c r="S205" i="4"/>
  <c r="R205" i="4"/>
  <c r="Q205" i="4"/>
  <c r="P205" i="4"/>
  <c r="O205" i="4"/>
  <c r="N205" i="4"/>
  <c r="B205" i="4"/>
  <c r="A205" i="4"/>
  <c r="S204" i="4"/>
  <c r="R204" i="4"/>
  <c r="Q204" i="4"/>
  <c r="P204" i="4"/>
  <c r="O204" i="4"/>
  <c r="N204" i="4"/>
  <c r="B204" i="4"/>
  <c r="A204" i="4"/>
  <c r="S203" i="4"/>
  <c r="R203" i="4"/>
  <c r="Q203" i="4"/>
  <c r="P203" i="4"/>
  <c r="O203" i="4"/>
  <c r="N203" i="4"/>
  <c r="B203" i="4"/>
  <c r="A203" i="4"/>
  <c r="S202" i="4"/>
  <c r="R202" i="4"/>
  <c r="Q202" i="4"/>
  <c r="P202" i="4"/>
  <c r="O202" i="4"/>
  <c r="N202" i="4"/>
  <c r="B202" i="4"/>
  <c r="A202" i="4"/>
  <c r="S201" i="4"/>
  <c r="R201" i="4"/>
  <c r="Q201" i="4"/>
  <c r="P201" i="4"/>
  <c r="O201" i="4"/>
  <c r="N201" i="4"/>
  <c r="B201" i="4"/>
  <c r="A201" i="4"/>
  <c r="S200" i="4"/>
  <c r="R200" i="4"/>
  <c r="Q200" i="4"/>
  <c r="P200" i="4"/>
  <c r="O200" i="4"/>
  <c r="N200" i="4"/>
  <c r="B200" i="4"/>
  <c r="A200" i="4"/>
  <c r="S199" i="4"/>
  <c r="R199" i="4"/>
  <c r="Q199" i="4"/>
  <c r="P199" i="4"/>
  <c r="O199" i="4"/>
  <c r="N199" i="4"/>
  <c r="B199" i="4"/>
  <c r="A199" i="4"/>
  <c r="S198" i="4"/>
  <c r="R198" i="4"/>
  <c r="Q198" i="4"/>
  <c r="P198" i="4"/>
  <c r="O198" i="4"/>
  <c r="N198" i="4"/>
  <c r="B198" i="4"/>
  <c r="A198" i="4"/>
  <c r="S197" i="4"/>
  <c r="R197" i="4"/>
  <c r="Q197" i="4"/>
  <c r="P197" i="4"/>
  <c r="O197" i="4"/>
  <c r="N197" i="4"/>
  <c r="B197" i="4"/>
  <c r="A197" i="4"/>
  <c r="S196" i="4"/>
  <c r="R196" i="4"/>
  <c r="Q196" i="4"/>
  <c r="P196" i="4"/>
  <c r="O196" i="4"/>
  <c r="N196" i="4"/>
  <c r="B196" i="4"/>
  <c r="A196" i="4"/>
  <c r="S195" i="4"/>
  <c r="R195" i="4"/>
  <c r="Q195" i="4"/>
  <c r="P195" i="4"/>
  <c r="O195" i="4"/>
  <c r="N195" i="4"/>
  <c r="B195" i="4"/>
  <c r="A195" i="4"/>
  <c r="S194" i="4"/>
  <c r="R194" i="4"/>
  <c r="Q194" i="4"/>
  <c r="P194" i="4"/>
  <c r="O194" i="4"/>
  <c r="N194" i="4"/>
  <c r="B194" i="4"/>
  <c r="A194" i="4"/>
  <c r="S193" i="4"/>
  <c r="R193" i="4"/>
  <c r="Q193" i="4"/>
  <c r="P193" i="4"/>
  <c r="O193" i="4"/>
  <c r="N193" i="4"/>
  <c r="B193" i="4"/>
  <c r="A193" i="4"/>
  <c r="S192" i="4"/>
  <c r="R192" i="4"/>
  <c r="Q192" i="4"/>
  <c r="P192" i="4"/>
  <c r="O192" i="4"/>
  <c r="N192" i="4"/>
  <c r="B192" i="4"/>
  <c r="A192" i="4"/>
  <c r="S191" i="4"/>
  <c r="R191" i="4"/>
  <c r="Q191" i="4"/>
  <c r="P191" i="4"/>
  <c r="O191" i="4"/>
  <c r="N191" i="4"/>
  <c r="B191" i="4"/>
  <c r="A191" i="4"/>
  <c r="S190" i="4"/>
  <c r="R190" i="4"/>
  <c r="Q190" i="4"/>
  <c r="P190" i="4"/>
  <c r="O190" i="4"/>
  <c r="N190" i="4"/>
  <c r="B190" i="4"/>
  <c r="A190" i="4"/>
  <c r="S189" i="4"/>
  <c r="R189" i="4"/>
  <c r="Q189" i="4"/>
  <c r="P189" i="4"/>
  <c r="O189" i="4"/>
  <c r="N189" i="4"/>
  <c r="B189" i="4"/>
  <c r="A189" i="4"/>
  <c r="S188" i="4"/>
  <c r="R188" i="4"/>
  <c r="Q188" i="4"/>
  <c r="P188" i="4"/>
  <c r="O188" i="4"/>
  <c r="N188" i="4"/>
  <c r="B188" i="4"/>
  <c r="A188" i="4"/>
  <c r="S187" i="4"/>
  <c r="R187" i="4"/>
  <c r="Q187" i="4"/>
  <c r="P187" i="4"/>
  <c r="O187" i="4"/>
  <c r="N187" i="4"/>
  <c r="B187" i="4"/>
  <c r="A187" i="4"/>
  <c r="S186" i="4"/>
  <c r="R186" i="4"/>
  <c r="Q186" i="4"/>
  <c r="P186" i="4"/>
  <c r="O186" i="4"/>
  <c r="N186" i="4"/>
  <c r="B186" i="4"/>
  <c r="A186" i="4"/>
  <c r="S185" i="4"/>
  <c r="R185" i="4"/>
  <c r="Q185" i="4"/>
  <c r="P185" i="4"/>
  <c r="O185" i="4"/>
  <c r="N185" i="4"/>
  <c r="B185" i="4"/>
  <c r="A185" i="4"/>
  <c r="S184" i="4"/>
  <c r="R184" i="4"/>
  <c r="Q184" i="4"/>
  <c r="P184" i="4"/>
  <c r="O184" i="4"/>
  <c r="N184" i="4"/>
  <c r="B184" i="4"/>
  <c r="A184" i="4"/>
  <c r="S183" i="4"/>
  <c r="R183" i="4"/>
  <c r="Q183" i="4"/>
  <c r="P183" i="4"/>
  <c r="O183" i="4"/>
  <c r="N183" i="4"/>
  <c r="B183" i="4"/>
  <c r="A183" i="4"/>
  <c r="S182" i="4"/>
  <c r="R182" i="4"/>
  <c r="Q182" i="4"/>
  <c r="P182" i="4"/>
  <c r="O182" i="4"/>
  <c r="N182" i="4"/>
  <c r="B182" i="4"/>
  <c r="A182" i="4"/>
  <c r="S181" i="4"/>
  <c r="R181" i="4"/>
  <c r="Q181" i="4"/>
  <c r="P181" i="4"/>
  <c r="O181" i="4"/>
  <c r="N181" i="4"/>
  <c r="B181" i="4"/>
  <c r="A181" i="4"/>
  <c r="S180" i="4"/>
  <c r="R180" i="4"/>
  <c r="Q180" i="4"/>
  <c r="P180" i="4"/>
  <c r="O180" i="4"/>
  <c r="N180" i="4"/>
  <c r="B180" i="4"/>
  <c r="A180" i="4"/>
  <c r="S179" i="4"/>
  <c r="R179" i="4"/>
  <c r="Q179" i="4"/>
  <c r="P179" i="4"/>
  <c r="O179" i="4"/>
  <c r="N179" i="4"/>
  <c r="B179" i="4"/>
  <c r="A179" i="4"/>
  <c r="S178" i="4"/>
  <c r="R178" i="4"/>
  <c r="Q178" i="4"/>
  <c r="P178" i="4"/>
  <c r="O178" i="4"/>
  <c r="N178" i="4"/>
  <c r="B178" i="4"/>
  <c r="A178" i="4"/>
  <c r="S177" i="4"/>
  <c r="R177" i="4"/>
  <c r="Q177" i="4"/>
  <c r="P177" i="4"/>
  <c r="O177" i="4"/>
  <c r="N177" i="4"/>
  <c r="B177" i="4"/>
  <c r="A177" i="4"/>
  <c r="S176" i="4"/>
  <c r="R176" i="4"/>
  <c r="Q176" i="4"/>
  <c r="P176" i="4"/>
  <c r="O176" i="4"/>
  <c r="N176" i="4"/>
  <c r="B176" i="4"/>
  <c r="A176" i="4"/>
  <c r="S175" i="4"/>
  <c r="R175" i="4"/>
  <c r="Q175" i="4"/>
  <c r="P175" i="4"/>
  <c r="O175" i="4"/>
  <c r="N175" i="4"/>
  <c r="B175" i="4"/>
  <c r="A175" i="4"/>
  <c r="S174" i="4"/>
  <c r="R174" i="4"/>
  <c r="Q174" i="4"/>
  <c r="P174" i="4"/>
  <c r="O174" i="4"/>
  <c r="N174" i="4"/>
  <c r="B174" i="4"/>
  <c r="A174" i="4"/>
  <c r="S173" i="4"/>
  <c r="R173" i="4"/>
  <c r="Q173" i="4"/>
  <c r="P173" i="4"/>
  <c r="O173" i="4"/>
  <c r="N173" i="4"/>
  <c r="B173" i="4"/>
  <c r="A173" i="4"/>
  <c r="S172" i="4"/>
  <c r="R172" i="4"/>
  <c r="Q172" i="4"/>
  <c r="P172" i="4"/>
  <c r="O172" i="4"/>
  <c r="N172" i="4"/>
  <c r="B172" i="4"/>
  <c r="A172" i="4"/>
  <c r="S171" i="4"/>
  <c r="R171" i="4"/>
  <c r="Q171" i="4"/>
  <c r="P171" i="4"/>
  <c r="O171" i="4"/>
  <c r="N171" i="4"/>
  <c r="B171" i="4"/>
  <c r="A171" i="4"/>
  <c r="S170" i="4"/>
  <c r="R170" i="4"/>
  <c r="Q170" i="4"/>
  <c r="P170" i="4"/>
  <c r="O170" i="4"/>
  <c r="N170" i="4"/>
  <c r="B170" i="4"/>
  <c r="A170" i="4"/>
  <c r="S169" i="4"/>
  <c r="R169" i="4"/>
  <c r="Q169" i="4"/>
  <c r="P169" i="4"/>
  <c r="O169" i="4"/>
  <c r="N169" i="4"/>
  <c r="B169" i="4"/>
  <c r="A169" i="4"/>
  <c r="S168" i="4"/>
  <c r="R168" i="4"/>
  <c r="Q168" i="4"/>
  <c r="P168" i="4"/>
  <c r="O168" i="4"/>
  <c r="N168" i="4"/>
  <c r="B168" i="4"/>
  <c r="A168" i="4"/>
  <c r="S167" i="4"/>
  <c r="R167" i="4"/>
  <c r="Q167" i="4"/>
  <c r="P167" i="4"/>
  <c r="O167" i="4"/>
  <c r="N167" i="4"/>
  <c r="B167" i="4"/>
  <c r="A167" i="4"/>
  <c r="S166" i="4"/>
  <c r="R166" i="4"/>
  <c r="Q166" i="4"/>
  <c r="P166" i="4"/>
  <c r="O166" i="4"/>
  <c r="N166" i="4"/>
  <c r="B166" i="4"/>
  <c r="A166" i="4"/>
  <c r="S165" i="4"/>
  <c r="R165" i="4"/>
  <c r="Q165" i="4"/>
  <c r="P165" i="4"/>
  <c r="O165" i="4"/>
  <c r="N165" i="4"/>
  <c r="B165" i="4"/>
  <c r="A165" i="4"/>
  <c r="S164" i="4"/>
  <c r="R164" i="4"/>
  <c r="Q164" i="4"/>
  <c r="P164" i="4"/>
  <c r="O164" i="4"/>
  <c r="N164" i="4"/>
  <c r="B164" i="4"/>
  <c r="A164" i="4"/>
  <c r="S163" i="4"/>
  <c r="R163" i="4"/>
  <c r="Q163" i="4"/>
  <c r="P163" i="4"/>
  <c r="O163" i="4"/>
  <c r="N163" i="4"/>
  <c r="B163" i="4"/>
  <c r="A163" i="4"/>
  <c r="S162" i="4"/>
  <c r="R162" i="4"/>
  <c r="Q162" i="4"/>
  <c r="P162" i="4"/>
  <c r="O162" i="4"/>
  <c r="N162" i="4"/>
  <c r="B162" i="4"/>
  <c r="A162" i="4"/>
  <c r="S161" i="4"/>
  <c r="R161" i="4"/>
  <c r="Q161" i="4"/>
  <c r="P161" i="4"/>
  <c r="O161" i="4"/>
  <c r="N161" i="4"/>
  <c r="B161" i="4"/>
  <c r="A161" i="4"/>
  <c r="S160" i="4"/>
  <c r="R160" i="4"/>
  <c r="Q160" i="4"/>
  <c r="P160" i="4"/>
  <c r="O160" i="4"/>
  <c r="N160" i="4"/>
  <c r="B160" i="4"/>
  <c r="A160" i="4"/>
  <c r="S159" i="4"/>
  <c r="R159" i="4"/>
  <c r="Q159" i="4"/>
  <c r="P159" i="4"/>
  <c r="O159" i="4"/>
  <c r="N159" i="4"/>
  <c r="B159" i="4"/>
  <c r="A159" i="4"/>
  <c r="S158" i="4"/>
  <c r="R158" i="4"/>
  <c r="Q158" i="4"/>
  <c r="P158" i="4"/>
  <c r="O158" i="4"/>
  <c r="N158" i="4"/>
  <c r="B158" i="4"/>
  <c r="A158" i="4"/>
  <c r="S157" i="4"/>
  <c r="R157" i="4"/>
  <c r="Q157" i="4"/>
  <c r="P157" i="4"/>
  <c r="O157" i="4"/>
  <c r="N157" i="4"/>
  <c r="B157" i="4"/>
  <c r="A157" i="4"/>
  <c r="S156" i="4"/>
  <c r="R156" i="4"/>
  <c r="Q156" i="4"/>
  <c r="P156" i="4"/>
  <c r="O156" i="4"/>
  <c r="N156" i="4"/>
  <c r="B156" i="4"/>
  <c r="A156" i="4"/>
  <c r="S155" i="4"/>
  <c r="R155" i="4"/>
  <c r="Q155" i="4"/>
  <c r="P155" i="4"/>
  <c r="O155" i="4"/>
  <c r="N155" i="4"/>
  <c r="B155" i="4"/>
  <c r="A155" i="4"/>
  <c r="S154" i="4"/>
  <c r="R154" i="4"/>
  <c r="Q154" i="4"/>
  <c r="P154" i="4"/>
  <c r="O154" i="4"/>
  <c r="N154" i="4"/>
  <c r="B154" i="4"/>
  <c r="A154" i="4"/>
  <c r="S153" i="4"/>
  <c r="R153" i="4"/>
  <c r="Q153" i="4"/>
  <c r="P153" i="4"/>
  <c r="O153" i="4"/>
  <c r="N153" i="4"/>
  <c r="B153" i="4"/>
  <c r="A153" i="4"/>
  <c r="S152" i="4"/>
  <c r="R152" i="4"/>
  <c r="Q152" i="4"/>
  <c r="P152" i="4"/>
  <c r="O152" i="4"/>
  <c r="N152" i="4"/>
  <c r="B152" i="4"/>
  <c r="A152" i="4"/>
  <c r="S151" i="4"/>
  <c r="R151" i="4"/>
  <c r="Q151" i="4"/>
  <c r="P151" i="4"/>
  <c r="O151" i="4"/>
  <c r="N151" i="4"/>
  <c r="B151" i="4"/>
  <c r="A151" i="4"/>
  <c r="S150" i="4"/>
  <c r="R150" i="4"/>
  <c r="Q150" i="4"/>
  <c r="P150" i="4"/>
  <c r="O150" i="4"/>
  <c r="N150" i="4"/>
  <c r="B150" i="4"/>
  <c r="A150" i="4"/>
  <c r="S149" i="4"/>
  <c r="R149" i="4"/>
  <c r="Q149" i="4"/>
  <c r="P149" i="4"/>
  <c r="O149" i="4"/>
  <c r="N149" i="4"/>
  <c r="B149" i="4"/>
  <c r="A149" i="4"/>
  <c r="S148" i="4"/>
  <c r="R148" i="4"/>
  <c r="Q148" i="4"/>
  <c r="P148" i="4"/>
  <c r="O148" i="4"/>
  <c r="N148" i="4"/>
  <c r="B148" i="4"/>
  <c r="A148" i="4"/>
  <c r="S147" i="4"/>
  <c r="R147" i="4"/>
  <c r="Q147" i="4"/>
  <c r="P147" i="4"/>
  <c r="O147" i="4"/>
  <c r="N147" i="4"/>
  <c r="B147" i="4"/>
  <c r="A147" i="4"/>
  <c r="S146" i="4"/>
  <c r="R146" i="4"/>
  <c r="Q146" i="4"/>
  <c r="P146" i="4"/>
  <c r="O146" i="4"/>
  <c r="N146" i="4"/>
  <c r="B146" i="4"/>
  <c r="A146" i="4"/>
  <c r="S145" i="4"/>
  <c r="R145" i="4"/>
  <c r="Q145" i="4"/>
  <c r="P145" i="4"/>
  <c r="O145" i="4"/>
  <c r="N145" i="4"/>
  <c r="B145" i="4"/>
  <c r="A145" i="4"/>
  <c r="S144" i="4"/>
  <c r="R144" i="4"/>
  <c r="Q144" i="4"/>
  <c r="P144" i="4"/>
  <c r="O144" i="4"/>
  <c r="N144" i="4"/>
  <c r="B144" i="4"/>
  <c r="A144" i="4"/>
  <c r="S143" i="4"/>
  <c r="R143" i="4"/>
  <c r="Q143" i="4"/>
  <c r="P143" i="4"/>
  <c r="O143" i="4"/>
  <c r="N143" i="4"/>
  <c r="B143" i="4"/>
  <c r="A143" i="4"/>
  <c r="S142" i="4"/>
  <c r="R142" i="4"/>
  <c r="Q142" i="4"/>
  <c r="P142" i="4"/>
  <c r="O142" i="4"/>
  <c r="N142" i="4"/>
  <c r="B142" i="4"/>
  <c r="A142" i="4"/>
  <c r="S141" i="4"/>
  <c r="R141" i="4"/>
  <c r="Q141" i="4"/>
  <c r="P141" i="4"/>
  <c r="O141" i="4"/>
  <c r="N141" i="4"/>
  <c r="B141" i="4"/>
  <c r="A141" i="4"/>
  <c r="S140" i="4"/>
  <c r="R140" i="4"/>
  <c r="Q140" i="4"/>
  <c r="P140" i="4"/>
  <c r="O140" i="4"/>
  <c r="N140" i="4"/>
  <c r="B140" i="4"/>
  <c r="A140" i="4"/>
  <c r="S139" i="4"/>
  <c r="R139" i="4"/>
  <c r="Q139" i="4"/>
  <c r="P139" i="4"/>
  <c r="O139" i="4"/>
  <c r="N139" i="4"/>
  <c r="B139" i="4"/>
  <c r="A139" i="4"/>
  <c r="S138" i="4"/>
  <c r="R138" i="4"/>
  <c r="Q138" i="4"/>
  <c r="P138" i="4"/>
  <c r="O138" i="4"/>
  <c r="N138" i="4"/>
  <c r="B138" i="4"/>
  <c r="A138" i="4"/>
  <c r="S137" i="4"/>
  <c r="R137" i="4"/>
  <c r="Q137" i="4"/>
  <c r="P137" i="4"/>
  <c r="O137" i="4"/>
  <c r="N137" i="4"/>
  <c r="B137" i="4"/>
  <c r="A137" i="4"/>
  <c r="S136" i="4"/>
  <c r="R136" i="4"/>
  <c r="Q136" i="4"/>
  <c r="P136" i="4"/>
  <c r="O136" i="4"/>
  <c r="N136" i="4"/>
  <c r="B136" i="4"/>
  <c r="A136" i="4"/>
  <c r="S135" i="4"/>
  <c r="R135" i="4"/>
  <c r="Q135" i="4"/>
  <c r="P135" i="4"/>
  <c r="O135" i="4"/>
  <c r="N135" i="4"/>
  <c r="B135" i="4"/>
  <c r="A135" i="4"/>
  <c r="S134" i="4"/>
  <c r="R134" i="4"/>
  <c r="Q134" i="4"/>
  <c r="P134" i="4"/>
  <c r="O134" i="4"/>
  <c r="N134" i="4"/>
  <c r="B134" i="4"/>
  <c r="A134" i="4"/>
  <c r="S133" i="4"/>
  <c r="R133" i="4"/>
  <c r="Q133" i="4"/>
  <c r="P133" i="4"/>
  <c r="O133" i="4"/>
  <c r="N133" i="4"/>
  <c r="B133" i="4"/>
  <c r="A133" i="4"/>
  <c r="S132" i="4"/>
  <c r="R132" i="4"/>
  <c r="Q132" i="4"/>
  <c r="P132" i="4"/>
  <c r="O132" i="4"/>
  <c r="N132" i="4"/>
  <c r="B132" i="4"/>
  <c r="A132" i="4"/>
  <c r="S131" i="4"/>
  <c r="R131" i="4"/>
  <c r="Q131" i="4"/>
  <c r="P131" i="4"/>
  <c r="O131" i="4"/>
  <c r="N131" i="4"/>
  <c r="B131" i="4"/>
  <c r="A131" i="4"/>
  <c r="S130" i="4"/>
  <c r="R130" i="4"/>
  <c r="Q130" i="4"/>
  <c r="P130" i="4"/>
  <c r="O130" i="4"/>
  <c r="N130" i="4"/>
  <c r="B130" i="4"/>
  <c r="A130" i="4"/>
  <c r="S129" i="4"/>
  <c r="R129" i="4"/>
  <c r="Q129" i="4"/>
  <c r="P129" i="4"/>
  <c r="O129" i="4"/>
  <c r="N129" i="4"/>
  <c r="B129" i="4"/>
  <c r="A129" i="4"/>
  <c r="S128" i="4"/>
  <c r="R128" i="4"/>
  <c r="Q128" i="4"/>
  <c r="P128" i="4"/>
  <c r="O128" i="4"/>
  <c r="N128" i="4"/>
  <c r="B128" i="4"/>
  <c r="A128" i="4"/>
  <c r="S127" i="4"/>
  <c r="R127" i="4"/>
  <c r="Q127" i="4"/>
  <c r="P127" i="4"/>
  <c r="O127" i="4"/>
  <c r="N127" i="4"/>
  <c r="B127" i="4"/>
  <c r="A127" i="4"/>
  <c r="S126" i="4"/>
  <c r="R126" i="4"/>
  <c r="Q126" i="4"/>
  <c r="P126" i="4"/>
  <c r="O126" i="4"/>
  <c r="N126" i="4"/>
  <c r="B126" i="4"/>
  <c r="A126" i="4"/>
  <c r="S125" i="4"/>
  <c r="R125" i="4"/>
  <c r="Q125" i="4"/>
  <c r="P125" i="4"/>
  <c r="O125" i="4"/>
  <c r="N125" i="4"/>
  <c r="B125" i="4"/>
  <c r="A125" i="4"/>
  <c r="S124" i="4"/>
  <c r="R124" i="4"/>
  <c r="Q124" i="4"/>
  <c r="P124" i="4"/>
  <c r="O124" i="4"/>
  <c r="N124" i="4"/>
  <c r="B124" i="4"/>
  <c r="A124" i="4"/>
  <c r="S123" i="4"/>
  <c r="R123" i="4"/>
  <c r="Q123" i="4"/>
  <c r="P123" i="4"/>
  <c r="O123" i="4"/>
  <c r="N123" i="4"/>
  <c r="B123" i="4"/>
  <c r="A123" i="4"/>
  <c r="S122" i="4"/>
  <c r="R122" i="4"/>
  <c r="Q122" i="4"/>
  <c r="P122" i="4"/>
  <c r="O122" i="4"/>
  <c r="N122" i="4"/>
  <c r="B122" i="4"/>
  <c r="A122" i="4"/>
  <c r="S121" i="4"/>
  <c r="R121" i="4"/>
  <c r="Q121" i="4"/>
  <c r="P121" i="4"/>
  <c r="O121" i="4"/>
  <c r="N121" i="4"/>
  <c r="B121" i="4"/>
  <c r="A121" i="4"/>
  <c r="S120" i="4"/>
  <c r="R120" i="4"/>
  <c r="Q120" i="4"/>
  <c r="P120" i="4"/>
  <c r="O120" i="4"/>
  <c r="N120" i="4"/>
  <c r="B120" i="4"/>
  <c r="A120" i="4"/>
  <c r="S119" i="4"/>
  <c r="R119" i="4"/>
  <c r="Q119" i="4"/>
  <c r="P119" i="4"/>
  <c r="O119" i="4"/>
  <c r="N119" i="4"/>
  <c r="B119" i="4"/>
  <c r="A119" i="4"/>
  <c r="S118" i="4"/>
  <c r="R118" i="4"/>
  <c r="Q118" i="4"/>
  <c r="P118" i="4"/>
  <c r="O118" i="4"/>
  <c r="N118" i="4"/>
  <c r="B118" i="4"/>
  <c r="A118" i="4"/>
  <c r="S117" i="4"/>
  <c r="R117" i="4"/>
  <c r="Q117" i="4"/>
  <c r="P117" i="4"/>
  <c r="O117" i="4"/>
  <c r="N117" i="4"/>
  <c r="B117" i="4"/>
  <c r="A117" i="4"/>
  <c r="S116" i="4"/>
  <c r="R116" i="4"/>
  <c r="Q116" i="4"/>
  <c r="P116" i="4"/>
  <c r="O116" i="4"/>
  <c r="N116" i="4"/>
  <c r="B116" i="4"/>
  <c r="A116" i="4"/>
  <c r="S115" i="4"/>
  <c r="R115" i="4"/>
  <c r="Q115" i="4"/>
  <c r="P115" i="4"/>
  <c r="O115" i="4"/>
  <c r="N115" i="4"/>
  <c r="B115" i="4"/>
  <c r="A115" i="4"/>
  <c r="S114" i="4"/>
  <c r="R114" i="4"/>
  <c r="Q114" i="4"/>
  <c r="P114" i="4"/>
  <c r="O114" i="4"/>
  <c r="N114" i="4"/>
  <c r="B114" i="4"/>
  <c r="A114" i="4"/>
  <c r="S113" i="4"/>
  <c r="R113" i="4"/>
  <c r="Q113" i="4"/>
  <c r="P113" i="4"/>
  <c r="O113" i="4"/>
  <c r="N113" i="4"/>
  <c r="B113" i="4"/>
  <c r="A113" i="4"/>
  <c r="S112" i="4"/>
  <c r="R112" i="4"/>
  <c r="Q112" i="4"/>
  <c r="P112" i="4"/>
  <c r="O112" i="4"/>
  <c r="N112" i="4"/>
  <c r="B112" i="4"/>
  <c r="A112" i="4"/>
  <c r="S111" i="4"/>
  <c r="R111" i="4"/>
  <c r="Q111" i="4"/>
  <c r="P111" i="4"/>
  <c r="O111" i="4"/>
  <c r="N111" i="4"/>
  <c r="B111" i="4"/>
  <c r="A111" i="4"/>
  <c r="S110" i="4"/>
  <c r="R110" i="4"/>
  <c r="Q110" i="4"/>
  <c r="P110" i="4"/>
  <c r="O110" i="4"/>
  <c r="N110" i="4"/>
  <c r="B110" i="4"/>
  <c r="A110" i="4"/>
  <c r="S109" i="4"/>
  <c r="R109" i="4"/>
  <c r="Q109" i="4"/>
  <c r="P109" i="4"/>
  <c r="O109" i="4"/>
  <c r="N109" i="4"/>
  <c r="B109" i="4"/>
  <c r="A109" i="4"/>
  <c r="S108" i="4"/>
  <c r="R108" i="4"/>
  <c r="Q108" i="4"/>
  <c r="P108" i="4"/>
  <c r="O108" i="4"/>
  <c r="N108" i="4"/>
  <c r="B108" i="4"/>
  <c r="A108" i="4"/>
  <c r="S107" i="4"/>
  <c r="R107" i="4"/>
  <c r="Q107" i="4"/>
  <c r="P107" i="4"/>
  <c r="O107" i="4"/>
  <c r="N107" i="4"/>
  <c r="B107" i="4"/>
  <c r="A107" i="4"/>
  <c r="S106" i="4"/>
  <c r="R106" i="4"/>
  <c r="Q106" i="4"/>
  <c r="P106" i="4"/>
  <c r="O106" i="4"/>
  <c r="N106" i="4"/>
  <c r="B106" i="4"/>
  <c r="A106" i="4"/>
  <c r="S105" i="4"/>
  <c r="R105" i="4"/>
  <c r="Q105" i="4"/>
  <c r="P105" i="4"/>
  <c r="O105" i="4"/>
  <c r="N105" i="4"/>
  <c r="B105" i="4"/>
  <c r="A105" i="4"/>
  <c r="S104" i="4"/>
  <c r="R104" i="4"/>
  <c r="Q104" i="4"/>
  <c r="P104" i="4"/>
  <c r="O104" i="4"/>
  <c r="N104" i="4"/>
  <c r="B104" i="4"/>
  <c r="A104" i="4"/>
  <c r="S103" i="4"/>
  <c r="R103" i="4"/>
  <c r="Q103" i="4"/>
  <c r="P103" i="4"/>
  <c r="O103" i="4"/>
  <c r="N103" i="4"/>
  <c r="B103" i="4"/>
  <c r="A103" i="4"/>
  <c r="S102" i="4"/>
  <c r="R102" i="4"/>
  <c r="Q102" i="4"/>
  <c r="P102" i="4"/>
  <c r="O102" i="4"/>
  <c r="N102" i="4"/>
  <c r="B102" i="4"/>
  <c r="A102" i="4"/>
  <c r="S101" i="4"/>
  <c r="R101" i="4"/>
  <c r="Q101" i="4"/>
  <c r="P101" i="4"/>
  <c r="O101" i="4"/>
  <c r="N101" i="4"/>
  <c r="B101" i="4"/>
  <c r="A101" i="4"/>
  <c r="S100" i="4"/>
  <c r="R100" i="4"/>
  <c r="Q100" i="4"/>
  <c r="P100" i="4"/>
  <c r="O100" i="4"/>
  <c r="N100" i="4"/>
  <c r="B100" i="4"/>
  <c r="A100" i="4"/>
  <c r="S99" i="4"/>
  <c r="R99" i="4"/>
  <c r="Q99" i="4"/>
  <c r="P99" i="4"/>
  <c r="O99" i="4"/>
  <c r="N99" i="4"/>
  <c r="B99" i="4"/>
  <c r="A99" i="4"/>
  <c r="S98" i="4"/>
  <c r="R98" i="4"/>
  <c r="Q98" i="4"/>
  <c r="P98" i="4"/>
  <c r="O98" i="4"/>
  <c r="N98" i="4"/>
  <c r="B98" i="4"/>
  <c r="A98" i="4"/>
  <c r="S97" i="4"/>
  <c r="R97" i="4"/>
  <c r="Q97" i="4"/>
  <c r="P97" i="4"/>
  <c r="O97" i="4"/>
  <c r="N97" i="4"/>
  <c r="B97" i="4"/>
  <c r="A97" i="4"/>
  <c r="S96" i="4"/>
  <c r="R96" i="4"/>
  <c r="Q96" i="4"/>
  <c r="P96" i="4"/>
  <c r="O96" i="4"/>
  <c r="N96" i="4"/>
  <c r="B96" i="4"/>
  <c r="A96" i="4"/>
  <c r="S95" i="4"/>
  <c r="R95" i="4"/>
  <c r="Q95" i="4"/>
  <c r="P95" i="4"/>
  <c r="O95" i="4"/>
  <c r="N95" i="4"/>
  <c r="B95" i="4"/>
  <c r="A95" i="4"/>
  <c r="S94" i="4"/>
  <c r="R94" i="4"/>
  <c r="Q94" i="4"/>
  <c r="P94" i="4"/>
  <c r="O94" i="4"/>
  <c r="N94" i="4"/>
  <c r="B94" i="4"/>
  <c r="A94" i="4"/>
  <c r="S93" i="4"/>
  <c r="R93" i="4"/>
  <c r="Q93" i="4"/>
  <c r="P93" i="4"/>
  <c r="O93" i="4"/>
  <c r="N93" i="4"/>
  <c r="B93" i="4"/>
  <c r="A93" i="4"/>
  <c r="S92" i="4"/>
  <c r="R92" i="4"/>
  <c r="Q92" i="4"/>
  <c r="P92" i="4"/>
  <c r="O92" i="4"/>
  <c r="N92" i="4"/>
  <c r="B92" i="4"/>
  <c r="A92" i="4"/>
  <c r="S91" i="4"/>
  <c r="R91" i="4"/>
  <c r="Q91" i="4"/>
  <c r="P91" i="4"/>
  <c r="O91" i="4"/>
  <c r="N91" i="4"/>
  <c r="B91" i="4"/>
  <c r="A91" i="4"/>
  <c r="S90" i="4"/>
  <c r="R90" i="4"/>
  <c r="Q90" i="4"/>
  <c r="P90" i="4"/>
  <c r="O90" i="4"/>
  <c r="N90" i="4"/>
  <c r="B90" i="4"/>
  <c r="A90" i="4"/>
  <c r="S89" i="4"/>
  <c r="R89" i="4"/>
  <c r="Q89" i="4"/>
  <c r="P89" i="4"/>
  <c r="O89" i="4"/>
  <c r="N89" i="4"/>
  <c r="B89" i="4"/>
  <c r="A89" i="4"/>
  <c r="S88" i="4"/>
  <c r="R88" i="4"/>
  <c r="Q88" i="4"/>
  <c r="P88" i="4"/>
  <c r="O88" i="4"/>
  <c r="N88" i="4"/>
  <c r="B88" i="4"/>
  <c r="A88" i="4"/>
  <c r="S87" i="4"/>
  <c r="R87" i="4"/>
  <c r="Q87" i="4"/>
  <c r="P87" i="4"/>
  <c r="O87" i="4"/>
  <c r="N87" i="4"/>
  <c r="B87" i="4"/>
  <c r="A87" i="4"/>
  <c r="Y86" i="4"/>
  <c r="S86" i="4"/>
  <c r="R86" i="4"/>
  <c r="Q86" i="4"/>
  <c r="P86" i="4"/>
  <c r="O86" i="4"/>
  <c r="N86" i="4"/>
  <c r="I86" i="4"/>
  <c r="E86" i="4"/>
  <c r="B86" i="4"/>
  <c r="A86" i="4"/>
  <c r="Y85" i="4"/>
  <c r="S85" i="4"/>
  <c r="R85" i="4"/>
  <c r="Q85" i="4"/>
  <c r="P85" i="4"/>
  <c r="O85" i="4"/>
  <c r="N85" i="4"/>
  <c r="I85" i="4"/>
  <c r="E85" i="4"/>
  <c r="B85" i="4"/>
  <c r="A85" i="4"/>
  <c r="Y84" i="4"/>
  <c r="S84" i="4"/>
  <c r="R84" i="4"/>
  <c r="Q84" i="4"/>
  <c r="P84" i="4"/>
  <c r="O84" i="4"/>
  <c r="N84" i="4"/>
  <c r="I84" i="4"/>
  <c r="B84" i="4"/>
  <c r="A84" i="4"/>
  <c r="Z83" i="4"/>
  <c r="Y83" i="4"/>
  <c r="W83" i="4"/>
  <c r="T83" i="4"/>
  <c r="S83" i="4"/>
  <c r="R83" i="4"/>
  <c r="Q83" i="4"/>
  <c r="P83" i="4"/>
  <c r="O83" i="4"/>
  <c r="N83" i="4"/>
  <c r="M83" i="4"/>
  <c r="L83" i="4"/>
  <c r="J83" i="4"/>
  <c r="D83" i="4"/>
  <c r="C83" i="4"/>
  <c r="Z82" i="4"/>
  <c r="Y82" i="4"/>
  <c r="W82" i="4"/>
  <c r="T82" i="4"/>
  <c r="S82" i="4"/>
  <c r="R82" i="4"/>
  <c r="Q82" i="4"/>
  <c r="P82" i="4"/>
  <c r="O82" i="4"/>
  <c r="N82" i="4"/>
  <c r="M82" i="4"/>
  <c r="L82" i="4"/>
  <c r="J82" i="4"/>
  <c r="D82" i="4"/>
  <c r="C82" i="4"/>
  <c r="Z81" i="4"/>
  <c r="Y81" i="4"/>
  <c r="X81" i="4"/>
  <c r="W81" i="4"/>
  <c r="T81" i="4"/>
  <c r="S81" i="4"/>
  <c r="R81" i="4"/>
  <c r="Q81" i="4"/>
  <c r="P81" i="4"/>
  <c r="O81" i="4"/>
  <c r="N81" i="4"/>
  <c r="M81" i="4"/>
  <c r="L81" i="4"/>
  <c r="K81" i="4"/>
  <c r="J81" i="4"/>
  <c r="I81" i="4"/>
  <c r="H81" i="4"/>
  <c r="G81" i="4"/>
  <c r="F81" i="4"/>
  <c r="E81" i="4"/>
  <c r="D81" i="4"/>
  <c r="C81" i="4"/>
  <c r="B81" i="4"/>
  <c r="A81" i="4"/>
  <c r="Z80" i="4"/>
  <c r="Y80" i="4"/>
  <c r="X80" i="4"/>
  <c r="W80" i="4"/>
  <c r="T80" i="4"/>
  <c r="S80" i="4"/>
  <c r="R80" i="4"/>
  <c r="Q80" i="4"/>
  <c r="P80" i="4"/>
  <c r="O80" i="4"/>
  <c r="N80" i="4"/>
  <c r="M80" i="4"/>
  <c r="L80" i="4"/>
  <c r="K80" i="4"/>
  <c r="J80" i="4"/>
  <c r="I80" i="4"/>
  <c r="H80" i="4"/>
  <c r="G80" i="4"/>
  <c r="F80" i="4"/>
  <c r="E80" i="4"/>
  <c r="D80" i="4"/>
  <c r="C80" i="4"/>
  <c r="B80" i="4"/>
  <c r="A80" i="4"/>
  <c r="Z79" i="4"/>
  <c r="Y79" i="4"/>
  <c r="W79" i="4"/>
  <c r="V79" i="4"/>
  <c r="U79" i="4"/>
  <c r="T79" i="4"/>
  <c r="S79" i="4"/>
  <c r="R79" i="4"/>
  <c r="Q79" i="4"/>
  <c r="P79" i="4"/>
  <c r="O79" i="4"/>
  <c r="N79" i="4"/>
  <c r="M79" i="4"/>
  <c r="L79" i="4"/>
  <c r="J79" i="4"/>
  <c r="D79" i="4"/>
  <c r="C79" i="4"/>
  <c r="B79" i="4"/>
  <c r="A79" i="4"/>
  <c r="Y78" i="4"/>
  <c r="T78" i="4"/>
  <c r="S78" i="4"/>
  <c r="R78" i="4"/>
  <c r="Q78" i="4"/>
  <c r="P78" i="4"/>
  <c r="O78" i="4"/>
  <c r="N78" i="4"/>
  <c r="M78" i="4"/>
  <c r="L78" i="4"/>
  <c r="J78" i="4"/>
  <c r="C78" i="4"/>
  <c r="B78" i="4"/>
  <c r="A78" i="4"/>
  <c r="Y77" i="4"/>
  <c r="V77" i="4"/>
  <c r="U77" i="4"/>
  <c r="T77" i="4"/>
  <c r="S77" i="4"/>
  <c r="R77" i="4"/>
  <c r="Q77" i="4"/>
  <c r="P77" i="4"/>
  <c r="O77" i="4"/>
  <c r="N77" i="4"/>
  <c r="M77" i="4"/>
  <c r="L77" i="4"/>
  <c r="J77" i="4"/>
  <c r="C77" i="4"/>
  <c r="B77" i="4"/>
  <c r="A77" i="4"/>
  <c r="Z76" i="4"/>
  <c r="Y76" i="4"/>
  <c r="W76" i="4"/>
  <c r="T76" i="4"/>
  <c r="S76" i="4"/>
  <c r="R76" i="4"/>
  <c r="Q76" i="4"/>
  <c r="P76" i="4"/>
  <c r="O76" i="4"/>
  <c r="N76" i="4"/>
  <c r="M76" i="4"/>
  <c r="L76" i="4"/>
  <c r="J76" i="4"/>
  <c r="D76" i="4"/>
  <c r="C76" i="4"/>
  <c r="B76" i="4"/>
  <c r="A76" i="4"/>
  <c r="Z75" i="4"/>
  <c r="Y75" i="4"/>
  <c r="W75" i="4"/>
  <c r="V75" i="4"/>
  <c r="U75" i="4"/>
  <c r="T75" i="4"/>
  <c r="S75" i="4"/>
  <c r="R75" i="4"/>
  <c r="Q75" i="4"/>
  <c r="P75" i="4"/>
  <c r="O75" i="4"/>
  <c r="N75" i="4"/>
  <c r="M75" i="4"/>
  <c r="L75" i="4"/>
  <c r="J75" i="4"/>
  <c r="E75" i="4"/>
  <c r="D75" i="4"/>
  <c r="C75" i="4"/>
  <c r="B75" i="4"/>
  <c r="A75" i="4"/>
  <c r="Z74" i="4"/>
  <c r="Y74" i="4"/>
  <c r="W74" i="4"/>
  <c r="V74" i="4"/>
  <c r="U74" i="4"/>
  <c r="T74" i="4"/>
  <c r="S74" i="4"/>
  <c r="R74" i="4"/>
  <c r="Q74" i="4"/>
  <c r="P74" i="4"/>
  <c r="O74" i="4"/>
  <c r="N74" i="4"/>
  <c r="M74" i="4"/>
  <c r="L74" i="4"/>
  <c r="I74" i="4"/>
  <c r="H74" i="4"/>
  <c r="E74" i="4"/>
  <c r="D74" i="4"/>
  <c r="B74" i="4" s="1"/>
  <c r="A74" i="4"/>
  <c r="Z73" i="4"/>
  <c r="Y73" i="4"/>
  <c r="W73" i="4"/>
  <c r="T73" i="4"/>
  <c r="S73" i="4"/>
  <c r="R73" i="4"/>
  <c r="Q73" i="4"/>
  <c r="P73" i="4"/>
  <c r="O73" i="4"/>
  <c r="N73" i="4"/>
  <c r="M73" i="4"/>
  <c r="L73" i="4"/>
  <c r="J73" i="4"/>
  <c r="I73" i="4"/>
  <c r="D73" i="4"/>
  <c r="B73" i="4" s="1"/>
  <c r="A73" i="4"/>
  <c r="Z72" i="4"/>
  <c r="Y72" i="4"/>
  <c r="W72" i="4"/>
  <c r="V72" i="4"/>
  <c r="U72" i="4"/>
  <c r="T72" i="4"/>
  <c r="S72" i="4"/>
  <c r="R72" i="4"/>
  <c r="Q72" i="4"/>
  <c r="P72" i="4"/>
  <c r="O72" i="4"/>
  <c r="N72" i="4"/>
  <c r="M72" i="4"/>
  <c r="L72" i="4"/>
  <c r="J72" i="4"/>
  <c r="I72" i="4"/>
  <c r="E72" i="4"/>
  <c r="D72" i="4"/>
  <c r="Z71" i="4"/>
  <c r="Y71" i="4"/>
  <c r="W71" i="4"/>
  <c r="V71" i="4"/>
  <c r="U71" i="4"/>
  <c r="T71" i="4"/>
  <c r="S71" i="4"/>
  <c r="R71" i="4"/>
  <c r="Q71" i="4"/>
  <c r="P71" i="4"/>
  <c r="O71" i="4"/>
  <c r="N71" i="4"/>
  <c r="M71" i="4"/>
  <c r="L71" i="4"/>
  <c r="J71" i="4"/>
  <c r="I71" i="4"/>
  <c r="E71" i="4"/>
  <c r="D71" i="4"/>
  <c r="Z70" i="4"/>
  <c r="Y70" i="4"/>
  <c r="W70" i="4"/>
  <c r="T70" i="4"/>
  <c r="S70" i="4"/>
  <c r="R70" i="4"/>
  <c r="Q70" i="4"/>
  <c r="P70" i="4"/>
  <c r="O70" i="4"/>
  <c r="N70" i="4"/>
  <c r="M70" i="4"/>
  <c r="L70" i="4"/>
  <c r="J70" i="4"/>
  <c r="I70" i="4"/>
  <c r="D70" i="4"/>
  <c r="Z69" i="4"/>
  <c r="Y69" i="4"/>
  <c r="W69" i="4"/>
  <c r="V69" i="4"/>
  <c r="U69" i="4"/>
  <c r="T69" i="4"/>
  <c r="S69" i="4"/>
  <c r="R69" i="4"/>
  <c r="Q69" i="4"/>
  <c r="P69" i="4"/>
  <c r="O69" i="4"/>
  <c r="N69" i="4"/>
  <c r="M69" i="4"/>
  <c r="L69" i="4"/>
  <c r="J69" i="4"/>
  <c r="I69" i="4"/>
  <c r="E69" i="4"/>
  <c r="D69" i="4"/>
  <c r="Z68" i="4"/>
  <c r="Y68" i="4"/>
  <c r="X68" i="4"/>
  <c r="W68" i="4"/>
  <c r="V68" i="4"/>
  <c r="U68" i="4"/>
  <c r="T68" i="4"/>
  <c r="S68" i="4"/>
  <c r="R68" i="4"/>
  <c r="Q68" i="4"/>
  <c r="P68" i="4"/>
  <c r="O68" i="4"/>
  <c r="N68" i="4"/>
  <c r="M68" i="4"/>
  <c r="L68" i="4"/>
  <c r="K68" i="4"/>
  <c r="J68" i="4"/>
  <c r="I68" i="4"/>
  <c r="H68" i="4"/>
  <c r="G68" i="4"/>
  <c r="F68" i="4"/>
  <c r="E68" i="4"/>
  <c r="D68" i="4"/>
  <c r="C68" i="4"/>
  <c r="B68" i="4"/>
  <c r="A68" i="4"/>
  <c r="Z67" i="4"/>
  <c r="Y67" i="4"/>
  <c r="W67" i="4"/>
  <c r="T67" i="4"/>
  <c r="S67" i="4"/>
  <c r="R67" i="4"/>
  <c r="Q67" i="4"/>
  <c r="P67" i="4"/>
  <c r="O67" i="4"/>
  <c r="N67" i="4"/>
  <c r="M67" i="4"/>
  <c r="L67" i="4"/>
  <c r="J67" i="4"/>
  <c r="I67" i="4"/>
  <c r="D67" i="4"/>
  <c r="B67" i="4"/>
  <c r="A67" i="4"/>
  <c r="Z66" i="4"/>
  <c r="Y66" i="4"/>
  <c r="W66" i="4"/>
  <c r="V66" i="4"/>
  <c r="U66" i="4"/>
  <c r="T66" i="4"/>
  <c r="S66" i="4"/>
  <c r="R66" i="4"/>
  <c r="Q66" i="4"/>
  <c r="P66" i="4"/>
  <c r="O66" i="4"/>
  <c r="N66" i="4"/>
  <c r="M66" i="4"/>
  <c r="L66" i="4"/>
  <c r="J66" i="4"/>
  <c r="I66" i="4"/>
  <c r="H66" i="4"/>
  <c r="E66" i="4"/>
  <c r="D66" i="4"/>
  <c r="C66" i="4"/>
  <c r="B66" i="4"/>
  <c r="A66" i="4"/>
  <c r="Z65" i="4"/>
  <c r="Y65" i="4"/>
  <c r="W65" i="4"/>
  <c r="V65" i="4"/>
  <c r="U65" i="4"/>
  <c r="T65" i="4"/>
  <c r="S65" i="4"/>
  <c r="R65" i="4"/>
  <c r="Q65" i="4"/>
  <c r="P65" i="4"/>
  <c r="O65" i="4"/>
  <c r="N65" i="4"/>
  <c r="M65" i="4"/>
  <c r="L65" i="4"/>
  <c r="J65" i="4"/>
  <c r="I65" i="4"/>
  <c r="H65" i="4"/>
  <c r="E65" i="4"/>
  <c r="D65" i="4"/>
  <c r="C65" i="4"/>
  <c r="B65" i="4"/>
  <c r="A65" i="4"/>
  <c r="Z64" i="4"/>
  <c r="Y64" i="4"/>
  <c r="S64" i="4"/>
  <c r="R64" i="4"/>
  <c r="Q64" i="4"/>
  <c r="P64" i="4"/>
  <c r="O64" i="4"/>
  <c r="N64" i="4"/>
  <c r="M64" i="4"/>
  <c r="L64" i="4"/>
  <c r="J64" i="4"/>
  <c r="C64" i="4"/>
  <c r="B64" i="4"/>
  <c r="A64" i="4"/>
  <c r="Z63" i="4"/>
  <c r="Y63" i="4"/>
  <c r="W63" i="4"/>
  <c r="T63" i="4"/>
  <c r="S63" i="4"/>
  <c r="R63" i="4"/>
  <c r="Q63" i="4"/>
  <c r="P63" i="4"/>
  <c r="O63" i="4"/>
  <c r="N63" i="4"/>
  <c r="M63" i="4"/>
  <c r="L63" i="4"/>
  <c r="J63" i="4"/>
  <c r="I63" i="4"/>
  <c r="H63" i="4"/>
  <c r="G63" i="4"/>
  <c r="F63" i="4"/>
  <c r="E63" i="4"/>
  <c r="D63" i="4"/>
  <c r="C63" i="4"/>
  <c r="B63" i="4"/>
  <c r="A63" i="4"/>
  <c r="Z62" i="4"/>
  <c r="Y62" i="4"/>
  <c r="W62" i="4"/>
  <c r="V62" i="4"/>
  <c r="U62" i="4"/>
  <c r="T62" i="4"/>
  <c r="S62" i="4"/>
  <c r="R62" i="4"/>
  <c r="Q62" i="4"/>
  <c r="P62" i="4"/>
  <c r="O62" i="4"/>
  <c r="N62" i="4"/>
  <c r="M62" i="4"/>
  <c r="L62" i="4"/>
  <c r="J62" i="4"/>
  <c r="D62" i="4"/>
  <c r="C62" i="4"/>
  <c r="B62" i="4"/>
  <c r="A62" i="4"/>
  <c r="Z61" i="4"/>
  <c r="Y61" i="4"/>
  <c r="X61" i="4"/>
  <c r="W61" i="4"/>
  <c r="V61" i="4"/>
  <c r="U61" i="4"/>
  <c r="T61" i="4"/>
  <c r="S61" i="4"/>
  <c r="R61" i="4"/>
  <c r="Q61" i="4"/>
  <c r="P61" i="4"/>
  <c r="O61" i="4"/>
  <c r="N61" i="4"/>
  <c r="M61" i="4"/>
  <c r="L61" i="4"/>
  <c r="J61" i="4"/>
  <c r="I61" i="4"/>
  <c r="E61" i="4"/>
  <c r="D61" i="4"/>
  <c r="B61" i="4" s="1"/>
  <c r="C61" i="4"/>
  <c r="A61" i="4"/>
  <c r="Z60" i="4"/>
  <c r="Y60" i="4"/>
  <c r="X60" i="4"/>
  <c r="W60" i="4"/>
  <c r="V60" i="4"/>
  <c r="U60" i="4"/>
  <c r="T60" i="4"/>
  <c r="S60" i="4"/>
  <c r="R60" i="4"/>
  <c r="Q60" i="4"/>
  <c r="P60" i="4"/>
  <c r="O60" i="4"/>
  <c r="N60" i="4"/>
  <c r="M60" i="4"/>
  <c r="L60" i="4"/>
  <c r="J60" i="4"/>
  <c r="I60" i="4"/>
  <c r="H60" i="4"/>
  <c r="G60" i="4"/>
  <c r="F60" i="4"/>
  <c r="E60" i="4"/>
  <c r="D60" i="4"/>
  <c r="B60" i="4" s="1"/>
  <c r="C60" i="4"/>
  <c r="A60" i="4"/>
  <c r="Z59" i="4"/>
  <c r="Y59" i="4"/>
  <c r="X59" i="4"/>
  <c r="W59" i="4"/>
  <c r="V59" i="4"/>
  <c r="U59" i="4"/>
  <c r="T59" i="4"/>
  <c r="S59" i="4"/>
  <c r="R59" i="4"/>
  <c r="Q59" i="4"/>
  <c r="P59" i="4"/>
  <c r="O59" i="4"/>
  <c r="N59" i="4"/>
  <c r="M59" i="4"/>
  <c r="L59" i="4"/>
  <c r="J59" i="4"/>
  <c r="I59" i="4"/>
  <c r="D59" i="4"/>
  <c r="C59" i="4"/>
  <c r="B59" i="4"/>
  <c r="A59" i="4"/>
  <c r="Z58" i="4"/>
  <c r="Y58" i="4"/>
  <c r="X58" i="4"/>
  <c r="W58" i="4"/>
  <c r="T58" i="4"/>
  <c r="S58" i="4"/>
  <c r="R58" i="4"/>
  <c r="Q58" i="4"/>
  <c r="P58" i="4"/>
  <c r="O58" i="4"/>
  <c r="N58" i="4"/>
  <c r="M58" i="4"/>
  <c r="L58" i="4"/>
  <c r="J58" i="4"/>
  <c r="I58" i="4"/>
  <c r="E58" i="4"/>
  <c r="D58" i="4"/>
  <c r="B58" i="4" s="1"/>
  <c r="C58" i="4"/>
  <c r="A58" i="4"/>
  <c r="Z57" i="4"/>
  <c r="Y57" i="4"/>
  <c r="X57" i="4"/>
  <c r="W57" i="4"/>
  <c r="V57" i="4"/>
  <c r="U57" i="4"/>
  <c r="T57" i="4"/>
  <c r="S57" i="4"/>
  <c r="R57" i="4"/>
  <c r="Q57" i="4"/>
  <c r="P57" i="4"/>
  <c r="O57" i="4"/>
  <c r="N57" i="4"/>
  <c r="M57" i="4"/>
  <c r="L57" i="4"/>
  <c r="J57" i="4"/>
  <c r="I57" i="4"/>
  <c r="G57" i="4"/>
  <c r="F57" i="4"/>
  <c r="E57" i="4"/>
  <c r="D57" i="4"/>
  <c r="C57" i="4"/>
  <c r="B57" i="4"/>
  <c r="A57" i="4"/>
  <c r="Z56" i="4"/>
  <c r="Y56" i="4"/>
  <c r="X56" i="4"/>
  <c r="W56" i="4"/>
  <c r="V56" i="4"/>
  <c r="U56" i="4"/>
  <c r="T56" i="4"/>
  <c r="S56" i="4"/>
  <c r="R56" i="4"/>
  <c r="Q56" i="4"/>
  <c r="P56" i="4"/>
  <c r="O56" i="4"/>
  <c r="N56" i="4"/>
  <c r="M56" i="4"/>
  <c r="L56" i="4"/>
  <c r="J56" i="4"/>
  <c r="I56" i="4"/>
  <c r="H56" i="4"/>
  <c r="G56" i="4"/>
  <c r="F56" i="4"/>
  <c r="E56" i="4"/>
  <c r="D56" i="4"/>
  <c r="B56" i="4" s="1"/>
  <c r="C56" i="4"/>
  <c r="A56" i="4"/>
  <c r="Z55" i="4"/>
  <c r="Y55" i="4"/>
  <c r="X55" i="4"/>
  <c r="W55" i="4"/>
  <c r="V55" i="4"/>
  <c r="U55" i="4"/>
  <c r="T55" i="4"/>
  <c r="S55" i="4"/>
  <c r="R55" i="4"/>
  <c r="Q55" i="4"/>
  <c r="P55" i="4"/>
  <c r="O55" i="4"/>
  <c r="N55" i="4"/>
  <c r="M55" i="4"/>
  <c r="L55" i="4"/>
  <c r="J55" i="4"/>
  <c r="E55" i="4"/>
  <c r="D55" i="4"/>
  <c r="C55" i="4"/>
  <c r="B55" i="4"/>
  <c r="A55" i="4"/>
  <c r="Z54" i="4"/>
  <c r="Y54" i="4"/>
  <c r="X54" i="4"/>
  <c r="W54" i="4"/>
  <c r="V54" i="4"/>
  <c r="U54" i="4"/>
  <c r="T54" i="4"/>
  <c r="S54" i="4"/>
  <c r="R54" i="4"/>
  <c r="Q54" i="4"/>
  <c r="P54" i="4"/>
  <c r="O54" i="4"/>
  <c r="N54" i="4"/>
  <c r="M54" i="4"/>
  <c r="L54" i="4"/>
  <c r="J54" i="4"/>
  <c r="I54" i="4"/>
  <c r="H54" i="4"/>
  <c r="E54" i="4"/>
  <c r="D54" i="4"/>
  <c r="C54" i="4"/>
  <c r="B54" i="4"/>
  <c r="A54" i="4"/>
  <c r="Z53" i="4"/>
  <c r="Y53" i="4"/>
  <c r="X53" i="4"/>
  <c r="W53" i="4"/>
  <c r="V53" i="4"/>
  <c r="U53" i="4"/>
  <c r="T53" i="4"/>
  <c r="S53" i="4"/>
  <c r="R53" i="4"/>
  <c r="Q53" i="4"/>
  <c r="P53" i="4"/>
  <c r="O53" i="4"/>
  <c r="N53" i="4"/>
  <c r="M53" i="4"/>
  <c r="L53" i="4"/>
  <c r="J53" i="4"/>
  <c r="I53" i="4"/>
  <c r="H53" i="4"/>
  <c r="G53" i="4"/>
  <c r="F53" i="4"/>
  <c r="E53" i="4"/>
  <c r="D53" i="4"/>
  <c r="C53" i="4"/>
  <c r="B53" i="4"/>
  <c r="A53" i="4"/>
  <c r="Z52" i="4"/>
  <c r="Y52" i="4"/>
  <c r="X52" i="4"/>
  <c r="W52" i="4"/>
  <c r="V52" i="4"/>
  <c r="U52" i="4"/>
  <c r="T52" i="4"/>
  <c r="S52" i="4"/>
  <c r="R52" i="4"/>
  <c r="Q52" i="4"/>
  <c r="P52" i="4"/>
  <c r="O52" i="4"/>
  <c r="N52" i="4"/>
  <c r="M52" i="4"/>
  <c r="L52" i="4"/>
  <c r="J52" i="4"/>
  <c r="I52" i="4"/>
  <c r="H52" i="4"/>
  <c r="G52" i="4"/>
  <c r="F52" i="4"/>
  <c r="E52" i="4"/>
  <c r="D52" i="4"/>
  <c r="B52" i="4" s="1"/>
  <c r="C52" i="4"/>
  <c r="A52" i="4"/>
  <c r="Z51" i="4"/>
  <c r="Y51" i="4"/>
  <c r="X51" i="4"/>
  <c r="W51" i="4"/>
  <c r="T51" i="4"/>
  <c r="S51" i="4"/>
  <c r="R51" i="4"/>
  <c r="Q51" i="4"/>
  <c r="P51" i="4"/>
  <c r="O51" i="4"/>
  <c r="N51" i="4"/>
  <c r="M51" i="4"/>
  <c r="L51" i="4"/>
  <c r="J51" i="4"/>
  <c r="I51" i="4"/>
  <c r="H51" i="4"/>
  <c r="G51" i="4"/>
  <c r="F51" i="4"/>
  <c r="E51" i="4"/>
  <c r="D51" i="4"/>
  <c r="C51" i="4"/>
  <c r="Z50" i="4"/>
  <c r="Y50" i="4"/>
  <c r="X50" i="4"/>
  <c r="W50" i="4"/>
  <c r="T50" i="4"/>
  <c r="S50" i="4"/>
  <c r="R50" i="4"/>
  <c r="Q50" i="4"/>
  <c r="P50" i="4"/>
  <c r="O50" i="4"/>
  <c r="N50" i="4"/>
  <c r="M50" i="4"/>
  <c r="L50" i="4"/>
  <c r="J50" i="4"/>
  <c r="I50" i="4"/>
  <c r="D50" i="4"/>
  <c r="C50" i="4"/>
  <c r="B50" i="4"/>
  <c r="A50" i="4"/>
  <c r="Z49" i="4"/>
  <c r="Y49" i="4"/>
  <c r="W49" i="4"/>
  <c r="V49" i="4"/>
  <c r="U49" i="4"/>
  <c r="T49" i="4"/>
  <c r="S49" i="4"/>
  <c r="R49" i="4"/>
  <c r="Q49" i="4"/>
  <c r="P49" i="4"/>
  <c r="O49" i="4"/>
  <c r="N49" i="4"/>
  <c r="M49" i="4"/>
  <c r="L49" i="4"/>
  <c r="J49" i="4"/>
  <c r="I49" i="4"/>
  <c r="H49" i="4"/>
  <c r="E49" i="4"/>
  <c r="D49" i="4"/>
  <c r="C49" i="4"/>
  <c r="B49" i="4"/>
  <c r="A49" i="4"/>
  <c r="Z48" i="4"/>
  <c r="Y48" i="4"/>
  <c r="W48" i="4"/>
  <c r="V48" i="4"/>
  <c r="U48" i="4"/>
  <c r="T48" i="4"/>
  <c r="S48" i="4"/>
  <c r="R48" i="4"/>
  <c r="Q48" i="4"/>
  <c r="P48" i="4"/>
  <c r="O48" i="4"/>
  <c r="N48" i="4"/>
  <c r="M48" i="4"/>
  <c r="L48" i="4"/>
  <c r="J48" i="4"/>
  <c r="I48" i="4"/>
  <c r="H48" i="4"/>
  <c r="E48" i="4"/>
  <c r="D48" i="4"/>
  <c r="C48" i="4"/>
  <c r="B48" i="4"/>
  <c r="A48" i="4"/>
  <c r="Z47" i="4"/>
  <c r="Y47" i="4"/>
  <c r="X47" i="4"/>
  <c r="W47" i="4"/>
  <c r="T47" i="4"/>
  <c r="S47" i="4"/>
  <c r="R47" i="4"/>
  <c r="Q47" i="4"/>
  <c r="P47" i="4"/>
  <c r="O47" i="4"/>
  <c r="N47" i="4"/>
  <c r="M47" i="4"/>
  <c r="L47" i="4"/>
  <c r="J47" i="4"/>
  <c r="I47" i="4"/>
  <c r="E47" i="4"/>
  <c r="D47" i="4"/>
  <c r="B47" i="4" s="1"/>
  <c r="C47" i="4"/>
  <c r="A47" i="4"/>
  <c r="Z46" i="4"/>
  <c r="Y46" i="4"/>
  <c r="W46" i="4"/>
  <c r="T46" i="4"/>
  <c r="S46" i="4"/>
  <c r="R46" i="4"/>
  <c r="Q46" i="4"/>
  <c r="P46" i="4"/>
  <c r="O46" i="4"/>
  <c r="N46" i="4"/>
  <c r="M46" i="4"/>
  <c r="L46" i="4"/>
  <c r="J46" i="4"/>
  <c r="I46" i="4"/>
  <c r="D46" i="4"/>
  <c r="Z45" i="4"/>
  <c r="Y45" i="4"/>
  <c r="W45" i="4"/>
  <c r="V45" i="4"/>
  <c r="U45" i="4"/>
  <c r="T45" i="4"/>
  <c r="S45" i="4"/>
  <c r="R45" i="4"/>
  <c r="Q45" i="4"/>
  <c r="P45" i="4"/>
  <c r="O45" i="4"/>
  <c r="N45" i="4"/>
  <c r="M45" i="4"/>
  <c r="L45" i="4"/>
  <c r="J45" i="4"/>
  <c r="I45" i="4"/>
  <c r="H45" i="4"/>
  <c r="D45" i="4"/>
  <c r="C45" i="4"/>
  <c r="Z44" i="4"/>
  <c r="Y44" i="4"/>
  <c r="X44" i="4"/>
  <c r="W44" i="4"/>
  <c r="V44" i="4"/>
  <c r="U44" i="4"/>
  <c r="T44" i="4"/>
  <c r="S44" i="4"/>
  <c r="R44" i="4"/>
  <c r="Q44" i="4"/>
  <c r="P44" i="4"/>
  <c r="O44" i="4"/>
  <c r="N44" i="4"/>
  <c r="M44" i="4"/>
  <c r="L44" i="4"/>
  <c r="J44" i="4"/>
  <c r="I44" i="4"/>
  <c r="E44" i="4"/>
  <c r="D44" i="4"/>
  <c r="C44" i="4"/>
  <c r="Z43" i="4"/>
  <c r="Y43" i="4"/>
  <c r="W43" i="4"/>
  <c r="T43" i="4"/>
  <c r="S43" i="4"/>
  <c r="R43" i="4"/>
  <c r="Q43" i="4"/>
  <c r="P43" i="4"/>
  <c r="O43" i="4"/>
  <c r="N43" i="4"/>
  <c r="M43" i="4"/>
  <c r="L43" i="4"/>
  <c r="J43" i="4"/>
  <c r="I43" i="4"/>
  <c r="E43" i="4"/>
  <c r="D43" i="4"/>
  <c r="Z42" i="4"/>
  <c r="Y42" i="4"/>
  <c r="X42" i="4"/>
  <c r="W42" i="4"/>
  <c r="V42" i="4"/>
  <c r="U42" i="4"/>
  <c r="T42" i="4"/>
  <c r="S42" i="4"/>
  <c r="R42" i="4"/>
  <c r="Q42" i="4"/>
  <c r="P42" i="4"/>
  <c r="O42" i="4"/>
  <c r="N42" i="4"/>
  <c r="M42" i="4"/>
  <c r="L42" i="4"/>
  <c r="J42" i="4"/>
  <c r="I42" i="4"/>
  <c r="F42" i="4"/>
  <c r="D42" i="4"/>
  <c r="C42" i="4"/>
  <c r="Z41" i="4"/>
  <c r="Y41" i="4"/>
  <c r="X41" i="4"/>
  <c r="W41" i="4"/>
  <c r="V41" i="4"/>
  <c r="U41" i="4"/>
  <c r="T41" i="4"/>
  <c r="S41" i="4"/>
  <c r="R41" i="4"/>
  <c r="Q41" i="4"/>
  <c r="P41" i="4"/>
  <c r="O41" i="4"/>
  <c r="N41" i="4"/>
  <c r="M41" i="4"/>
  <c r="L41" i="4"/>
  <c r="J41" i="4"/>
  <c r="I41" i="4"/>
  <c r="H41" i="4"/>
  <c r="F41" i="4"/>
  <c r="D41" i="4"/>
  <c r="C41" i="4"/>
  <c r="Z40" i="4"/>
  <c r="Y40" i="4"/>
  <c r="X40" i="4"/>
  <c r="W40" i="4"/>
  <c r="V40" i="4"/>
  <c r="U40" i="4"/>
  <c r="T40" i="4"/>
  <c r="S40" i="4"/>
  <c r="R40" i="4"/>
  <c r="Q40" i="4"/>
  <c r="P40" i="4"/>
  <c r="O40" i="4"/>
  <c r="N40" i="4"/>
  <c r="M40" i="4"/>
  <c r="L40" i="4"/>
  <c r="J40" i="4"/>
  <c r="I40" i="4"/>
  <c r="H40" i="4"/>
  <c r="G40" i="4"/>
  <c r="F40" i="4"/>
  <c r="E40" i="4"/>
  <c r="D40" i="4"/>
  <c r="C40" i="4"/>
  <c r="Z39" i="4"/>
  <c r="Y39" i="4"/>
  <c r="W39" i="4"/>
  <c r="V39" i="4"/>
  <c r="U39" i="4"/>
  <c r="T39" i="4"/>
  <c r="S39" i="4"/>
  <c r="R39" i="4"/>
  <c r="Q39" i="4"/>
  <c r="P39" i="4"/>
  <c r="O39" i="4"/>
  <c r="N39" i="4"/>
  <c r="M39" i="4"/>
  <c r="L39" i="4"/>
  <c r="J39" i="4"/>
  <c r="I39" i="4"/>
  <c r="F39" i="4"/>
  <c r="E39" i="4"/>
  <c r="D39" i="4"/>
  <c r="C39" i="4"/>
  <c r="Z38" i="4"/>
  <c r="Y38" i="4"/>
  <c r="W38" i="4"/>
  <c r="T38" i="4"/>
  <c r="S38" i="4"/>
  <c r="R38" i="4"/>
  <c r="Q38" i="4"/>
  <c r="P38" i="4"/>
  <c r="O38" i="4"/>
  <c r="N38" i="4"/>
  <c r="M38" i="4"/>
  <c r="L38" i="4"/>
  <c r="J38" i="4"/>
  <c r="I38" i="4"/>
  <c r="E38" i="4"/>
  <c r="D38" i="4"/>
  <c r="Z37" i="4"/>
  <c r="Y37" i="4"/>
  <c r="W37" i="4"/>
  <c r="T37" i="4"/>
  <c r="S37" i="4"/>
  <c r="R37" i="4"/>
  <c r="Q37" i="4"/>
  <c r="P37" i="4"/>
  <c r="O37" i="4"/>
  <c r="N37" i="4"/>
  <c r="M37" i="4"/>
  <c r="L37" i="4"/>
  <c r="J37" i="4"/>
  <c r="I37" i="4"/>
  <c r="D37" i="4"/>
  <c r="C37" i="4"/>
  <c r="Z36" i="4"/>
  <c r="Y36" i="4"/>
  <c r="X36" i="4"/>
  <c r="W36" i="4"/>
  <c r="V36" i="4"/>
  <c r="U36" i="4"/>
  <c r="T36" i="4"/>
  <c r="S36" i="4"/>
  <c r="R36" i="4"/>
  <c r="Q36" i="4"/>
  <c r="P36" i="4"/>
  <c r="O36" i="4"/>
  <c r="N36" i="4"/>
  <c r="M36" i="4"/>
  <c r="L36" i="4"/>
  <c r="K36" i="4"/>
  <c r="J36" i="4"/>
  <c r="I36" i="4"/>
  <c r="H36" i="4"/>
  <c r="G36" i="4"/>
  <c r="F36" i="4"/>
  <c r="E36" i="4"/>
  <c r="D36" i="4"/>
  <c r="C36" i="4"/>
  <c r="Z35" i="4"/>
  <c r="Y35" i="4"/>
  <c r="X35" i="4"/>
  <c r="W35" i="4"/>
  <c r="V35" i="4"/>
  <c r="U35" i="4"/>
  <c r="T35" i="4"/>
  <c r="S35" i="4"/>
  <c r="R35" i="4"/>
  <c r="Q35" i="4"/>
  <c r="P35" i="4"/>
  <c r="O35" i="4"/>
  <c r="N35" i="4"/>
  <c r="M35" i="4"/>
  <c r="L35" i="4"/>
  <c r="J35" i="4"/>
  <c r="I35" i="4"/>
  <c r="H35" i="4"/>
  <c r="G35" i="4"/>
  <c r="F35" i="4"/>
  <c r="D35" i="4"/>
  <c r="C35" i="4"/>
  <c r="Z34" i="4"/>
  <c r="Y34" i="4"/>
  <c r="X34" i="4"/>
  <c r="W34" i="4"/>
  <c r="V34" i="4"/>
  <c r="U34" i="4"/>
  <c r="T34" i="4"/>
  <c r="S34" i="4"/>
  <c r="R34" i="4"/>
  <c r="Q34" i="4"/>
  <c r="P34" i="4"/>
  <c r="O34" i="4"/>
  <c r="N34" i="4"/>
  <c r="M34" i="4"/>
  <c r="L34" i="4"/>
  <c r="J34" i="4"/>
  <c r="I34" i="4"/>
  <c r="H34" i="4"/>
  <c r="G34" i="4"/>
  <c r="F34" i="4"/>
  <c r="D34" i="4"/>
  <c r="C34" i="4"/>
  <c r="Z33" i="4"/>
  <c r="Y33" i="4"/>
  <c r="X33" i="4"/>
  <c r="W33" i="4"/>
  <c r="V33" i="4"/>
  <c r="U33" i="4"/>
  <c r="T33" i="4"/>
  <c r="S33" i="4"/>
  <c r="R33" i="4"/>
  <c r="Q33" i="4"/>
  <c r="P33" i="4"/>
  <c r="O33" i="4"/>
  <c r="N33" i="4"/>
  <c r="M33" i="4"/>
  <c r="L33" i="4"/>
  <c r="J33" i="4"/>
  <c r="I33" i="4"/>
  <c r="H33" i="4"/>
  <c r="F33" i="4"/>
  <c r="D33" i="4"/>
  <c r="C33" i="4"/>
  <c r="Z32" i="4"/>
  <c r="Y32" i="4"/>
  <c r="W32" i="4"/>
  <c r="V32" i="4"/>
  <c r="U32" i="4"/>
  <c r="T32" i="4"/>
  <c r="S32" i="4"/>
  <c r="R32" i="4"/>
  <c r="Q32" i="4"/>
  <c r="P32" i="4"/>
  <c r="O32" i="4"/>
  <c r="N32" i="4"/>
  <c r="M32" i="4"/>
  <c r="L32" i="4"/>
  <c r="J32" i="4"/>
  <c r="I32" i="4"/>
  <c r="H32" i="4"/>
  <c r="G32" i="4"/>
  <c r="F32" i="4"/>
  <c r="E32" i="4"/>
  <c r="D32" i="4"/>
  <c r="C32" i="4"/>
  <c r="Z31" i="4"/>
  <c r="Y31" i="4"/>
  <c r="X31" i="4"/>
  <c r="W31" i="4"/>
  <c r="V31" i="4"/>
  <c r="U31" i="4"/>
  <c r="T31" i="4"/>
  <c r="S31" i="4"/>
  <c r="R31" i="4"/>
  <c r="Q31" i="4"/>
  <c r="P31" i="4"/>
  <c r="O31" i="4"/>
  <c r="N31" i="4"/>
  <c r="M31" i="4"/>
  <c r="L31" i="4"/>
  <c r="J31" i="4"/>
  <c r="I31" i="4"/>
  <c r="H31" i="4"/>
  <c r="G31" i="4"/>
  <c r="F31" i="4"/>
  <c r="E31" i="4"/>
  <c r="D31" i="4"/>
  <c r="C31" i="4"/>
  <c r="Z30" i="4"/>
  <c r="Y30" i="4"/>
  <c r="X30" i="4"/>
  <c r="W30" i="4"/>
  <c r="V30" i="4"/>
  <c r="U30" i="4"/>
  <c r="T30" i="4"/>
  <c r="S30" i="4"/>
  <c r="R30" i="4"/>
  <c r="Q30" i="4"/>
  <c r="P30" i="4"/>
  <c r="O30" i="4"/>
  <c r="N30" i="4"/>
  <c r="M30" i="4"/>
  <c r="L30" i="4"/>
  <c r="J30" i="4"/>
  <c r="I30" i="4"/>
  <c r="H30" i="4"/>
  <c r="G30" i="4"/>
  <c r="F30" i="4"/>
  <c r="D30" i="4"/>
  <c r="C30" i="4"/>
  <c r="Z29" i="4"/>
  <c r="Y29" i="4"/>
  <c r="X29" i="4"/>
  <c r="W29" i="4"/>
  <c r="V29" i="4"/>
  <c r="U29" i="4"/>
  <c r="T29" i="4"/>
  <c r="S29" i="4"/>
  <c r="R29" i="4"/>
  <c r="Q29" i="4"/>
  <c r="P29" i="4"/>
  <c r="O29" i="4"/>
  <c r="N29" i="4"/>
  <c r="M29" i="4"/>
  <c r="L29" i="4"/>
  <c r="J29" i="4"/>
  <c r="I29" i="4"/>
  <c r="G29" i="4"/>
  <c r="F29" i="4"/>
  <c r="E29" i="4"/>
  <c r="D29" i="4"/>
  <c r="C29" i="4"/>
  <c r="Z28" i="4"/>
  <c r="Y28" i="4"/>
  <c r="X28" i="4"/>
  <c r="W28" i="4"/>
  <c r="V28" i="4"/>
  <c r="U28" i="4"/>
  <c r="T28" i="4"/>
  <c r="S28" i="4"/>
  <c r="R28" i="4"/>
  <c r="Q28" i="4"/>
  <c r="P28" i="4"/>
  <c r="O28" i="4"/>
  <c r="N28" i="4"/>
  <c r="M28" i="4"/>
  <c r="L28" i="4"/>
  <c r="J28" i="4"/>
  <c r="I28" i="4"/>
  <c r="G28" i="4"/>
  <c r="F28" i="4"/>
  <c r="E28" i="4"/>
  <c r="D28" i="4"/>
  <c r="B28" i="4" s="1"/>
  <c r="C28" i="4"/>
  <c r="A28" i="4"/>
  <c r="Z27" i="4"/>
  <c r="Y27" i="4"/>
  <c r="X27" i="4"/>
  <c r="W27" i="4"/>
  <c r="V27" i="4"/>
  <c r="U27" i="4"/>
  <c r="T27" i="4"/>
  <c r="S27" i="4"/>
  <c r="R27" i="4"/>
  <c r="Q27" i="4"/>
  <c r="P27" i="4"/>
  <c r="O27" i="4"/>
  <c r="N27" i="4"/>
  <c r="M27" i="4"/>
  <c r="L27" i="4"/>
  <c r="J27" i="4"/>
  <c r="I27" i="4"/>
  <c r="G27" i="4"/>
  <c r="F27" i="4"/>
  <c r="D27" i="4"/>
  <c r="C27" i="4"/>
  <c r="Z26" i="4"/>
  <c r="Y26" i="4"/>
  <c r="X26" i="4"/>
  <c r="W26" i="4"/>
  <c r="V26" i="4"/>
  <c r="U26" i="4"/>
  <c r="T26" i="4"/>
  <c r="S26" i="4"/>
  <c r="R26" i="4"/>
  <c r="Q26" i="4"/>
  <c r="P26" i="4"/>
  <c r="O26" i="4"/>
  <c r="N26" i="4"/>
  <c r="M26" i="4"/>
  <c r="L26" i="4"/>
  <c r="J26" i="4"/>
  <c r="I26" i="4"/>
  <c r="H26" i="4"/>
  <c r="G26" i="4"/>
  <c r="F26" i="4"/>
  <c r="E26" i="4"/>
  <c r="D26" i="4"/>
  <c r="C26" i="4"/>
  <c r="Z25" i="4"/>
  <c r="Y25" i="4"/>
  <c r="X25" i="4"/>
  <c r="W25" i="4"/>
  <c r="T25" i="4"/>
  <c r="S25" i="4"/>
  <c r="R25" i="4"/>
  <c r="Q25" i="4"/>
  <c r="P25" i="4"/>
  <c r="O25" i="4"/>
  <c r="N25" i="4"/>
  <c r="M25" i="4"/>
  <c r="L25" i="4"/>
  <c r="J25" i="4"/>
  <c r="I25" i="4"/>
  <c r="H25" i="4"/>
  <c r="G25" i="4"/>
  <c r="F25" i="4"/>
  <c r="D25" i="4"/>
  <c r="C25" i="4"/>
  <c r="Z24" i="4"/>
  <c r="Y24" i="4"/>
  <c r="X24" i="4"/>
  <c r="W24" i="4"/>
  <c r="V24" i="4"/>
  <c r="U24" i="4"/>
  <c r="T24" i="4"/>
  <c r="S24" i="4"/>
  <c r="R24" i="4"/>
  <c r="Q24" i="4"/>
  <c r="P24" i="4"/>
  <c r="O24" i="4"/>
  <c r="N24" i="4"/>
  <c r="M24" i="4"/>
  <c r="L24" i="4"/>
  <c r="J24" i="4"/>
  <c r="I24" i="4"/>
  <c r="H24" i="4"/>
  <c r="G24" i="4"/>
  <c r="F24" i="4"/>
  <c r="E24" i="4"/>
  <c r="D24" i="4"/>
  <c r="C24" i="4"/>
  <c r="Z23" i="4"/>
  <c r="Y23" i="4"/>
  <c r="X23" i="4"/>
  <c r="W23" i="4"/>
  <c r="V23" i="4"/>
  <c r="U23" i="4"/>
  <c r="T23" i="4"/>
  <c r="S23" i="4"/>
  <c r="R23" i="4"/>
  <c r="Q23" i="4"/>
  <c r="P23" i="4"/>
  <c r="O23" i="4"/>
  <c r="N23" i="4"/>
  <c r="M23" i="4"/>
  <c r="L23" i="4"/>
  <c r="J23" i="4"/>
  <c r="I23" i="4"/>
  <c r="H23" i="4"/>
  <c r="G23" i="4"/>
  <c r="F23" i="4"/>
  <c r="E23" i="4"/>
  <c r="D23" i="4"/>
  <c r="C23" i="4"/>
  <c r="B23" i="4"/>
  <c r="A23" i="4"/>
  <c r="Z22" i="4"/>
  <c r="Y22" i="4"/>
  <c r="X22" i="4"/>
  <c r="W22" i="4"/>
  <c r="V22" i="4"/>
  <c r="U22" i="4"/>
  <c r="T22" i="4"/>
  <c r="S22" i="4"/>
  <c r="R22" i="4"/>
  <c r="Q22" i="4"/>
  <c r="P22" i="4"/>
  <c r="O22" i="4"/>
  <c r="N22" i="4"/>
  <c r="M22" i="4"/>
  <c r="L22" i="4"/>
  <c r="J22" i="4"/>
  <c r="I22" i="4"/>
  <c r="H22" i="4"/>
  <c r="G22" i="4"/>
  <c r="F22" i="4"/>
  <c r="E22" i="4"/>
  <c r="D22" i="4"/>
  <c r="C22" i="4"/>
  <c r="B22" i="4"/>
  <c r="A22" i="4"/>
  <c r="Z21" i="4"/>
  <c r="Y21" i="4"/>
  <c r="X21" i="4"/>
  <c r="W21" i="4"/>
  <c r="V21" i="4"/>
  <c r="U21" i="4"/>
  <c r="T21" i="4"/>
  <c r="S21" i="4"/>
  <c r="R21" i="4"/>
  <c r="Q21" i="4"/>
  <c r="P21" i="4"/>
  <c r="O21" i="4"/>
  <c r="N21" i="4"/>
  <c r="M21" i="4"/>
  <c r="L21" i="4"/>
  <c r="K21" i="4"/>
  <c r="J21" i="4"/>
  <c r="I21" i="4"/>
  <c r="H21" i="4"/>
  <c r="G21" i="4"/>
  <c r="F21" i="4"/>
  <c r="E21" i="4"/>
  <c r="D21" i="4"/>
  <c r="C21" i="4"/>
  <c r="B21" i="4"/>
  <c r="A21" i="4"/>
  <c r="Z20" i="4"/>
  <c r="Y20" i="4"/>
  <c r="X20" i="4"/>
  <c r="W20" i="4"/>
  <c r="V20" i="4"/>
  <c r="U20" i="4"/>
  <c r="T20" i="4"/>
  <c r="S20" i="4"/>
  <c r="R20" i="4"/>
  <c r="Q20" i="4"/>
  <c r="P20" i="4"/>
  <c r="O20" i="4"/>
  <c r="N20" i="4"/>
  <c r="M20" i="4"/>
  <c r="L20" i="4"/>
  <c r="J20" i="4"/>
  <c r="I20" i="4"/>
  <c r="H20" i="4"/>
  <c r="G20" i="4"/>
  <c r="F20" i="4"/>
  <c r="D20" i="4"/>
  <c r="C20" i="4"/>
  <c r="B20" i="4"/>
  <c r="A20" i="4"/>
  <c r="Z19" i="4"/>
  <c r="Y19" i="4"/>
  <c r="X19" i="4"/>
  <c r="W19" i="4"/>
  <c r="V19" i="4"/>
  <c r="U19" i="4"/>
  <c r="T19" i="4"/>
  <c r="S19" i="4"/>
  <c r="R19" i="4"/>
  <c r="Q19" i="4"/>
  <c r="P19" i="4"/>
  <c r="O19" i="4"/>
  <c r="N19" i="4"/>
  <c r="M19" i="4"/>
  <c r="L19" i="4"/>
  <c r="J19" i="4"/>
  <c r="I19" i="4"/>
  <c r="H19" i="4"/>
  <c r="G19" i="4"/>
  <c r="F19" i="4"/>
  <c r="D19" i="4"/>
  <c r="C19" i="4"/>
  <c r="B19" i="4"/>
  <c r="A19" i="4"/>
  <c r="Z18" i="4"/>
  <c r="Y18" i="4"/>
  <c r="X18" i="4"/>
  <c r="W18" i="4"/>
  <c r="V18" i="4"/>
  <c r="U18" i="4"/>
  <c r="T18" i="4"/>
  <c r="S18" i="4"/>
  <c r="R18" i="4"/>
  <c r="Q18" i="4"/>
  <c r="P18" i="4"/>
  <c r="O18" i="4"/>
  <c r="N18" i="4"/>
  <c r="M18" i="4"/>
  <c r="L18" i="4"/>
  <c r="J18" i="4"/>
  <c r="I18" i="4"/>
  <c r="H18" i="4"/>
  <c r="G18" i="4"/>
  <c r="F18" i="4"/>
  <c r="D18" i="4"/>
  <c r="C18" i="4"/>
  <c r="B18" i="4"/>
  <c r="A18" i="4"/>
  <c r="Z17" i="4"/>
  <c r="Y17" i="4"/>
  <c r="X17" i="4"/>
  <c r="W17" i="4"/>
  <c r="V17" i="4"/>
  <c r="U17" i="4"/>
  <c r="T17" i="4"/>
  <c r="S17" i="4"/>
  <c r="R17" i="4"/>
  <c r="Q17" i="4"/>
  <c r="P17" i="4"/>
  <c r="O17" i="4"/>
  <c r="N17" i="4"/>
  <c r="M17" i="4"/>
  <c r="L17" i="4"/>
  <c r="J17" i="4"/>
  <c r="I17" i="4"/>
  <c r="H17" i="4"/>
  <c r="G17" i="4"/>
  <c r="F17" i="4"/>
  <c r="E17" i="4"/>
  <c r="D17" i="4"/>
  <c r="C17" i="4"/>
  <c r="B17" i="4"/>
  <c r="A17" i="4"/>
  <c r="Z16" i="4"/>
  <c r="Y16" i="4"/>
  <c r="X16" i="4"/>
  <c r="W16" i="4"/>
  <c r="V16" i="4"/>
  <c r="U16" i="4"/>
  <c r="T16" i="4"/>
  <c r="S16" i="4"/>
  <c r="R16" i="4"/>
  <c r="Q16" i="4"/>
  <c r="P16" i="4"/>
  <c r="O16" i="4"/>
  <c r="N16" i="4"/>
  <c r="M16" i="4"/>
  <c r="L16" i="4"/>
  <c r="J16" i="4"/>
  <c r="I16" i="4"/>
  <c r="H16" i="4"/>
  <c r="G16" i="4"/>
  <c r="F16" i="4"/>
  <c r="D16" i="4"/>
  <c r="C16" i="4"/>
  <c r="B16" i="4"/>
  <c r="A16" i="4"/>
  <c r="Z15" i="4"/>
  <c r="Y15" i="4"/>
  <c r="X15" i="4"/>
  <c r="W15" i="4"/>
  <c r="V15" i="4"/>
  <c r="U15" i="4"/>
  <c r="T15" i="4"/>
  <c r="S15" i="4"/>
  <c r="R15" i="4"/>
  <c r="Q15" i="4"/>
  <c r="P15" i="4"/>
  <c r="O15" i="4"/>
  <c r="N15" i="4"/>
  <c r="M15" i="4"/>
  <c r="L15" i="4"/>
  <c r="J15" i="4"/>
  <c r="I15" i="4"/>
  <c r="H15" i="4"/>
  <c r="G15" i="4"/>
  <c r="F15" i="4"/>
  <c r="E15" i="4"/>
  <c r="D15" i="4"/>
  <c r="C15" i="4"/>
  <c r="B15" i="4"/>
  <c r="A15" i="4"/>
  <c r="Z14" i="4"/>
  <c r="Y14" i="4"/>
  <c r="X14" i="4"/>
  <c r="W14" i="4"/>
  <c r="V14" i="4"/>
  <c r="U14" i="4"/>
  <c r="T14" i="4"/>
  <c r="S14" i="4"/>
  <c r="R14" i="4"/>
  <c r="Q14" i="4"/>
  <c r="P14" i="4"/>
  <c r="O14" i="4"/>
  <c r="N14" i="4"/>
  <c r="M14" i="4"/>
  <c r="L14" i="4"/>
  <c r="J14" i="4"/>
  <c r="I14" i="4"/>
  <c r="H14" i="4"/>
  <c r="G14" i="4"/>
  <c r="F14" i="4"/>
  <c r="E14" i="4"/>
  <c r="D14" i="4"/>
  <c r="C14" i="4"/>
  <c r="B14" i="4"/>
  <c r="A14" i="4"/>
  <c r="Z13" i="4"/>
  <c r="Y13" i="4"/>
  <c r="X13" i="4"/>
  <c r="W13" i="4"/>
  <c r="V13" i="4"/>
  <c r="U13" i="4"/>
  <c r="T13" i="4"/>
  <c r="S13" i="4"/>
  <c r="R13" i="4"/>
  <c r="Q13" i="4"/>
  <c r="P13" i="4"/>
  <c r="O13" i="4"/>
  <c r="N13" i="4"/>
  <c r="M13" i="4"/>
  <c r="L13" i="4"/>
  <c r="J13" i="4"/>
  <c r="I13" i="4"/>
  <c r="H13" i="4"/>
  <c r="G13" i="4"/>
  <c r="F13" i="4"/>
  <c r="E13" i="4"/>
  <c r="D13" i="4"/>
  <c r="C13" i="4"/>
  <c r="B13" i="4"/>
  <c r="A13" i="4"/>
  <c r="Z12" i="4"/>
  <c r="Y12" i="4"/>
  <c r="X12" i="4"/>
  <c r="W12" i="4"/>
  <c r="V12" i="4"/>
  <c r="U12" i="4"/>
  <c r="T12" i="4"/>
  <c r="S12" i="4"/>
  <c r="R12" i="4"/>
  <c r="Q12" i="4"/>
  <c r="P12" i="4"/>
  <c r="O12" i="4"/>
  <c r="N12" i="4"/>
  <c r="M12" i="4"/>
  <c r="L12" i="4"/>
  <c r="J12" i="4"/>
  <c r="I12" i="4"/>
  <c r="H12" i="4"/>
  <c r="G12" i="4"/>
  <c r="F12" i="4"/>
  <c r="D12" i="4"/>
  <c r="C12" i="4"/>
  <c r="B12" i="4"/>
  <c r="A12" i="4"/>
  <c r="Z11" i="4"/>
  <c r="Y11" i="4"/>
  <c r="X11" i="4"/>
  <c r="W11" i="4"/>
  <c r="T11" i="4"/>
  <c r="S11" i="4"/>
  <c r="R11" i="4"/>
  <c r="Q11" i="4"/>
  <c r="P11" i="4"/>
  <c r="O11" i="4"/>
  <c r="N11" i="4"/>
  <c r="M11" i="4"/>
  <c r="L11" i="4"/>
  <c r="J11" i="4"/>
  <c r="I11" i="4"/>
  <c r="H11" i="4"/>
  <c r="G11" i="4"/>
  <c r="F11" i="4"/>
  <c r="D11" i="4"/>
  <c r="C11" i="4"/>
  <c r="B11" i="4"/>
  <c r="A11" i="4"/>
  <c r="Z10" i="4"/>
  <c r="Y10" i="4"/>
  <c r="X10" i="4"/>
  <c r="W10" i="4"/>
  <c r="T10" i="4"/>
  <c r="S10" i="4"/>
  <c r="R10" i="4"/>
  <c r="Q10" i="4"/>
  <c r="P10" i="4"/>
  <c r="O10" i="4"/>
  <c r="N10" i="4"/>
  <c r="M10" i="4"/>
  <c r="L10" i="4"/>
  <c r="J10" i="4"/>
  <c r="I10" i="4"/>
  <c r="H10" i="4"/>
  <c r="G10" i="4"/>
  <c r="F10" i="4"/>
  <c r="D10" i="4"/>
  <c r="C10" i="4"/>
  <c r="B10" i="4"/>
  <c r="A10" i="4"/>
  <c r="Z9" i="4"/>
  <c r="Y9" i="4"/>
  <c r="X9" i="4"/>
  <c r="W9" i="4"/>
  <c r="V9" i="4"/>
  <c r="U9" i="4"/>
  <c r="T9" i="4"/>
  <c r="S9" i="4"/>
  <c r="R9" i="4"/>
  <c r="Q9" i="4"/>
  <c r="P9" i="4"/>
  <c r="O9" i="4"/>
  <c r="N9" i="4"/>
  <c r="M9" i="4"/>
  <c r="L9" i="4"/>
  <c r="J9" i="4"/>
  <c r="I9" i="4"/>
  <c r="H9" i="4"/>
  <c r="G9" i="4"/>
  <c r="F9" i="4"/>
  <c r="E9" i="4"/>
  <c r="D9" i="4"/>
  <c r="C9" i="4"/>
  <c r="B9" i="4"/>
  <c r="A9" i="4"/>
  <c r="Z8" i="4"/>
  <c r="Y8" i="4"/>
  <c r="X8" i="4"/>
  <c r="W8" i="4"/>
  <c r="T8" i="4"/>
  <c r="S8" i="4"/>
  <c r="R8" i="4"/>
  <c r="Q8" i="4"/>
  <c r="P8" i="4"/>
  <c r="O8" i="4"/>
  <c r="N8" i="4"/>
  <c r="M8" i="4"/>
  <c r="L8" i="4"/>
  <c r="J8" i="4"/>
  <c r="I8" i="4"/>
  <c r="H8" i="4"/>
  <c r="G8" i="4"/>
  <c r="F8" i="4"/>
  <c r="E8" i="4"/>
  <c r="D8" i="4"/>
  <c r="C8" i="4"/>
  <c r="Z7" i="4"/>
  <c r="Y7" i="4"/>
  <c r="X7" i="4"/>
  <c r="W7" i="4"/>
  <c r="V7" i="4"/>
  <c r="U7" i="4"/>
  <c r="T7" i="4"/>
  <c r="S7" i="4"/>
  <c r="R7" i="4"/>
  <c r="Q7" i="4"/>
  <c r="P7" i="4"/>
  <c r="O7" i="4"/>
  <c r="N7" i="4"/>
  <c r="M7" i="4"/>
  <c r="L7" i="4"/>
  <c r="J7" i="4"/>
  <c r="I7" i="4"/>
  <c r="H7" i="4"/>
  <c r="G7" i="4"/>
  <c r="F7" i="4"/>
  <c r="E7" i="4"/>
  <c r="D7" i="4"/>
  <c r="C7" i="4"/>
  <c r="B7" i="4"/>
  <c r="A7" i="4"/>
  <c r="Z6" i="4"/>
  <c r="Y6" i="4"/>
  <c r="X6" i="4"/>
  <c r="W6" i="4"/>
  <c r="T6" i="4"/>
  <c r="S6" i="4"/>
  <c r="R6" i="4"/>
  <c r="Q6" i="4"/>
  <c r="P6" i="4"/>
  <c r="O6" i="4"/>
  <c r="N6" i="4"/>
  <c r="M6" i="4"/>
  <c r="L6" i="4"/>
  <c r="J6" i="4"/>
  <c r="I6" i="4"/>
  <c r="H6" i="4"/>
  <c r="G6" i="4"/>
  <c r="F6" i="4"/>
  <c r="E6" i="4"/>
  <c r="D6" i="4"/>
  <c r="C6" i="4"/>
  <c r="B6" i="4"/>
  <c r="A6" i="4"/>
  <c r="Z5" i="4"/>
  <c r="Y5" i="4"/>
  <c r="X5" i="4"/>
  <c r="W5" i="4"/>
  <c r="V5" i="4"/>
  <c r="U5" i="4"/>
  <c r="T5" i="4"/>
  <c r="S5" i="4"/>
  <c r="R5" i="4"/>
  <c r="Q5" i="4"/>
  <c r="P5" i="4"/>
  <c r="O5" i="4"/>
  <c r="N5" i="4"/>
  <c r="M5" i="4"/>
  <c r="L5" i="4"/>
  <c r="J5" i="4"/>
  <c r="I5" i="4"/>
  <c r="H5" i="4"/>
  <c r="G5" i="4"/>
  <c r="F5" i="4"/>
  <c r="E5" i="4"/>
  <c r="D5" i="4"/>
  <c r="B5" i="4" s="1"/>
  <c r="C5" i="4"/>
  <c r="A5" i="4"/>
  <c r="Z4" i="4"/>
  <c r="Y4" i="4"/>
  <c r="X4" i="4"/>
  <c r="W4" i="4"/>
  <c r="T4" i="4"/>
  <c r="S4" i="4"/>
  <c r="R4" i="4"/>
  <c r="Q4" i="4"/>
  <c r="P4" i="4"/>
  <c r="O4" i="4"/>
  <c r="N4" i="4"/>
  <c r="M4" i="4"/>
  <c r="L4" i="4"/>
  <c r="J4" i="4"/>
  <c r="I4" i="4"/>
  <c r="H4" i="4"/>
  <c r="G4" i="4"/>
  <c r="F4" i="4"/>
  <c r="D4" i="4"/>
  <c r="C4" i="4"/>
  <c r="Z3" i="4"/>
  <c r="Y3" i="4"/>
  <c r="X3" i="4"/>
  <c r="W3" i="4"/>
  <c r="V3" i="4"/>
  <c r="U3" i="4"/>
  <c r="T3" i="4"/>
  <c r="S3" i="4"/>
  <c r="R3" i="4"/>
  <c r="Q3" i="4"/>
  <c r="P3" i="4"/>
  <c r="O3" i="4"/>
  <c r="N3" i="4"/>
  <c r="M3" i="4"/>
  <c r="L3" i="4"/>
  <c r="J3" i="4"/>
  <c r="I3" i="4"/>
  <c r="H3" i="4"/>
  <c r="G3" i="4"/>
  <c r="F3" i="4"/>
  <c r="E3" i="4"/>
  <c r="D3" i="4"/>
  <c r="C3" i="4"/>
  <c r="Z2" i="4"/>
  <c r="Y2" i="4"/>
  <c r="W2" i="4"/>
  <c r="T2" i="4"/>
  <c r="S2" i="4"/>
  <c r="R2" i="4"/>
  <c r="Q2" i="4"/>
  <c r="P2" i="4"/>
  <c r="O2" i="4"/>
  <c r="N2" i="4"/>
  <c r="M2" i="4"/>
  <c r="L2" i="4"/>
  <c r="J2" i="4"/>
  <c r="I2" i="4"/>
  <c r="H2" i="4"/>
  <c r="G2" i="4"/>
  <c r="F2" i="4"/>
  <c r="D2" i="4"/>
  <c r="C2" i="4"/>
  <c r="Z1" i="4"/>
  <c r="Y1" i="4"/>
  <c r="X1" i="4"/>
  <c r="W1" i="4"/>
  <c r="V1" i="4"/>
  <c r="U1" i="4"/>
  <c r="T1" i="4"/>
  <c r="S1" i="4"/>
  <c r="R1" i="4"/>
  <c r="Q1" i="4"/>
  <c r="P1" i="4"/>
  <c r="O1" i="4"/>
  <c r="N1" i="4"/>
  <c r="M1" i="4"/>
  <c r="L1" i="4"/>
  <c r="K1" i="4"/>
  <c r="J1" i="4"/>
  <c r="I1" i="4"/>
  <c r="H1" i="4"/>
  <c r="G1" i="4"/>
  <c r="F1" i="4"/>
  <c r="E1" i="4"/>
  <c r="D1" i="4"/>
  <c r="C1" i="4"/>
  <c r="Q585" i="3"/>
  <c r="P585" i="3"/>
  <c r="O585" i="3"/>
  <c r="N585" i="3"/>
  <c r="M585" i="3"/>
  <c r="L585" i="3"/>
  <c r="Q584" i="3"/>
  <c r="P584" i="3"/>
  <c r="O584" i="3"/>
  <c r="N584" i="3"/>
  <c r="M584" i="3"/>
  <c r="L584" i="3"/>
  <c r="Q583" i="3"/>
  <c r="P583" i="3"/>
  <c r="O583" i="3"/>
  <c r="N583" i="3"/>
  <c r="M583" i="3"/>
  <c r="L583" i="3"/>
  <c r="Q582" i="3"/>
  <c r="P582" i="3"/>
  <c r="O582" i="3"/>
  <c r="N582" i="3"/>
  <c r="M582" i="3"/>
  <c r="L582" i="3"/>
  <c r="Q581" i="3"/>
  <c r="P581" i="3"/>
  <c r="O581" i="3"/>
  <c r="N581" i="3"/>
  <c r="M581" i="3"/>
  <c r="L581" i="3"/>
  <c r="Q580" i="3"/>
  <c r="P580" i="3"/>
  <c r="O580" i="3"/>
  <c r="N580" i="3"/>
  <c r="M580" i="3"/>
  <c r="L580" i="3"/>
  <c r="Q579" i="3"/>
  <c r="P579" i="3"/>
  <c r="O579" i="3"/>
  <c r="N579" i="3"/>
  <c r="M579" i="3"/>
  <c r="L579" i="3"/>
  <c r="Q578" i="3"/>
  <c r="P578" i="3"/>
  <c r="O578" i="3"/>
  <c r="N578" i="3"/>
  <c r="M578" i="3"/>
  <c r="L578" i="3"/>
  <c r="Q577" i="3"/>
  <c r="P577" i="3"/>
  <c r="O577" i="3"/>
  <c r="N577" i="3"/>
  <c r="M577" i="3"/>
  <c r="L577" i="3"/>
  <c r="Q576" i="3"/>
  <c r="P576" i="3"/>
  <c r="O576" i="3"/>
  <c r="N576" i="3"/>
  <c r="M576" i="3"/>
  <c r="L576" i="3"/>
  <c r="Q575" i="3"/>
  <c r="P575" i="3"/>
  <c r="O575" i="3"/>
  <c r="N575" i="3"/>
  <c r="M575" i="3"/>
  <c r="L575" i="3"/>
  <c r="Q574" i="3"/>
  <c r="P574" i="3"/>
  <c r="O574" i="3"/>
  <c r="N574" i="3"/>
  <c r="M574" i="3"/>
  <c r="L574" i="3"/>
  <c r="Q573" i="3"/>
  <c r="P573" i="3"/>
  <c r="O573" i="3"/>
  <c r="N573" i="3"/>
  <c r="M573" i="3"/>
  <c r="L573" i="3"/>
  <c r="Q572" i="3"/>
  <c r="P572" i="3"/>
  <c r="O572" i="3"/>
  <c r="N572" i="3"/>
  <c r="M572" i="3"/>
  <c r="L572" i="3"/>
  <c r="Q571" i="3"/>
  <c r="P571" i="3"/>
  <c r="O571" i="3"/>
  <c r="N571" i="3"/>
  <c r="M571" i="3"/>
  <c r="L571" i="3"/>
  <c r="Q570" i="3"/>
  <c r="P570" i="3"/>
  <c r="O570" i="3"/>
  <c r="N570" i="3"/>
  <c r="M570" i="3"/>
  <c r="L570" i="3"/>
  <c r="Q569" i="3"/>
  <c r="P569" i="3"/>
  <c r="O569" i="3"/>
  <c r="N569" i="3"/>
  <c r="M569" i="3"/>
  <c r="L569" i="3"/>
  <c r="Q568" i="3"/>
  <c r="P568" i="3"/>
  <c r="O568" i="3"/>
  <c r="N568" i="3"/>
  <c r="M568" i="3"/>
  <c r="L568" i="3"/>
  <c r="Q567" i="3"/>
  <c r="P567" i="3"/>
  <c r="O567" i="3"/>
  <c r="N567" i="3"/>
  <c r="M567" i="3"/>
  <c r="L567" i="3"/>
  <c r="Q566" i="3"/>
  <c r="P566" i="3"/>
  <c r="O566" i="3"/>
  <c r="N566" i="3"/>
  <c r="M566" i="3"/>
  <c r="L566" i="3"/>
  <c r="Q565" i="3"/>
  <c r="P565" i="3"/>
  <c r="O565" i="3"/>
  <c r="N565" i="3"/>
  <c r="M565" i="3"/>
  <c r="L565" i="3"/>
  <c r="Q564" i="3"/>
  <c r="P564" i="3"/>
  <c r="O564" i="3"/>
  <c r="N564" i="3"/>
  <c r="M564" i="3"/>
  <c r="L564" i="3"/>
  <c r="Q563" i="3"/>
  <c r="P563" i="3"/>
  <c r="O563" i="3"/>
  <c r="N563" i="3"/>
  <c r="M563" i="3"/>
  <c r="L563" i="3"/>
  <c r="Q562" i="3"/>
  <c r="P562" i="3"/>
  <c r="O562" i="3"/>
  <c r="N562" i="3"/>
  <c r="M562" i="3"/>
  <c r="L562" i="3"/>
  <c r="Q561" i="3"/>
  <c r="P561" i="3"/>
  <c r="O561" i="3"/>
  <c r="N561" i="3"/>
  <c r="M561" i="3"/>
  <c r="L561" i="3"/>
  <c r="Q560" i="3"/>
  <c r="P560" i="3"/>
  <c r="O560" i="3"/>
  <c r="N560" i="3"/>
  <c r="M560" i="3"/>
  <c r="L560" i="3"/>
  <c r="Q559" i="3"/>
  <c r="P559" i="3"/>
  <c r="O559" i="3"/>
  <c r="N559" i="3"/>
  <c r="M559" i="3"/>
  <c r="L559" i="3"/>
  <c r="Q558" i="3"/>
  <c r="P558" i="3"/>
  <c r="O558" i="3"/>
  <c r="N558" i="3"/>
  <c r="M558" i="3"/>
  <c r="L558" i="3"/>
  <c r="Q557" i="3"/>
  <c r="P557" i="3"/>
  <c r="O557" i="3"/>
  <c r="N557" i="3"/>
  <c r="M557" i="3"/>
  <c r="L557" i="3"/>
  <c r="Q556" i="3"/>
  <c r="P556" i="3"/>
  <c r="O556" i="3"/>
  <c r="N556" i="3"/>
  <c r="M556" i="3"/>
  <c r="L556" i="3"/>
  <c r="Q555" i="3"/>
  <c r="P555" i="3"/>
  <c r="O555" i="3"/>
  <c r="N555" i="3"/>
  <c r="M555" i="3"/>
  <c r="L555" i="3"/>
  <c r="Q554" i="3"/>
  <c r="P554" i="3"/>
  <c r="O554" i="3"/>
  <c r="N554" i="3"/>
  <c r="M554" i="3"/>
  <c r="L554" i="3"/>
  <c r="Q553" i="3"/>
  <c r="P553" i="3"/>
  <c r="O553" i="3"/>
  <c r="N553" i="3"/>
  <c r="M553" i="3"/>
  <c r="L553" i="3"/>
  <c r="Q552" i="3"/>
  <c r="P552" i="3"/>
  <c r="O552" i="3"/>
  <c r="N552" i="3"/>
  <c r="M552" i="3"/>
  <c r="L552" i="3"/>
  <c r="Q551" i="3"/>
  <c r="P551" i="3"/>
  <c r="O551" i="3"/>
  <c r="N551" i="3"/>
  <c r="M551" i="3"/>
  <c r="L551" i="3"/>
  <c r="Q550" i="3"/>
  <c r="P550" i="3"/>
  <c r="O550" i="3"/>
  <c r="N550" i="3"/>
  <c r="M550" i="3"/>
  <c r="L550" i="3"/>
  <c r="Q549" i="3"/>
  <c r="P549" i="3"/>
  <c r="O549" i="3"/>
  <c r="N549" i="3"/>
  <c r="M549" i="3"/>
  <c r="L549" i="3"/>
  <c r="Q548" i="3"/>
  <c r="P548" i="3"/>
  <c r="O548" i="3"/>
  <c r="N548" i="3"/>
  <c r="M548" i="3"/>
  <c r="L548" i="3"/>
  <c r="Q547" i="3"/>
  <c r="P547" i="3"/>
  <c r="O547" i="3"/>
  <c r="N547" i="3"/>
  <c r="M547" i="3"/>
  <c r="L547" i="3"/>
  <c r="Q546" i="3"/>
  <c r="P546" i="3"/>
  <c r="O546" i="3"/>
  <c r="N546" i="3"/>
  <c r="M546" i="3"/>
  <c r="L546" i="3"/>
  <c r="Q545" i="3"/>
  <c r="P545" i="3"/>
  <c r="O545" i="3"/>
  <c r="N545" i="3"/>
  <c r="M545" i="3"/>
  <c r="L545" i="3"/>
  <c r="Q544" i="3"/>
  <c r="P544" i="3"/>
  <c r="O544" i="3"/>
  <c r="N544" i="3"/>
  <c r="M544" i="3"/>
  <c r="L544" i="3"/>
  <c r="Q543" i="3"/>
  <c r="P543" i="3"/>
  <c r="O543" i="3"/>
  <c r="N543" i="3"/>
  <c r="M543" i="3"/>
  <c r="L543" i="3"/>
  <c r="Q542" i="3"/>
  <c r="P542" i="3"/>
  <c r="O542" i="3"/>
  <c r="N542" i="3"/>
  <c r="M542" i="3"/>
  <c r="L542" i="3"/>
  <c r="Q541" i="3"/>
  <c r="P541" i="3"/>
  <c r="O541" i="3"/>
  <c r="N541" i="3"/>
  <c r="M541" i="3"/>
  <c r="L541" i="3"/>
  <c r="Q540" i="3"/>
  <c r="P540" i="3"/>
  <c r="O540" i="3"/>
  <c r="N540" i="3"/>
  <c r="M540" i="3"/>
  <c r="L540" i="3"/>
  <c r="Q539" i="3"/>
  <c r="P539" i="3"/>
  <c r="O539" i="3"/>
  <c r="N539" i="3"/>
  <c r="M539" i="3"/>
  <c r="L539" i="3"/>
  <c r="Q538" i="3"/>
  <c r="P538" i="3"/>
  <c r="O538" i="3"/>
  <c r="N538" i="3"/>
  <c r="M538" i="3"/>
  <c r="L538" i="3"/>
  <c r="Q537" i="3"/>
  <c r="P537" i="3"/>
  <c r="O537" i="3"/>
  <c r="N537" i="3"/>
  <c r="M537" i="3"/>
  <c r="L537" i="3"/>
  <c r="Q536" i="3"/>
  <c r="P536" i="3"/>
  <c r="O536" i="3"/>
  <c r="N536" i="3"/>
  <c r="M536" i="3"/>
  <c r="L536" i="3"/>
  <c r="Q535" i="3"/>
  <c r="P535" i="3"/>
  <c r="O535" i="3"/>
  <c r="N535" i="3"/>
  <c r="M535" i="3"/>
  <c r="L535" i="3"/>
  <c r="Q534" i="3"/>
  <c r="P534" i="3"/>
  <c r="O534" i="3"/>
  <c r="N534" i="3"/>
  <c r="M534" i="3"/>
  <c r="L534" i="3"/>
  <c r="Q533" i="3"/>
  <c r="P533" i="3"/>
  <c r="O533" i="3"/>
  <c r="N533" i="3"/>
  <c r="M533" i="3"/>
  <c r="L533" i="3"/>
  <c r="Q532" i="3"/>
  <c r="P532" i="3"/>
  <c r="O532" i="3"/>
  <c r="N532" i="3"/>
  <c r="M532" i="3"/>
  <c r="L532" i="3"/>
  <c r="Q531" i="3"/>
  <c r="P531" i="3"/>
  <c r="O531" i="3"/>
  <c r="N531" i="3"/>
  <c r="M531" i="3"/>
  <c r="L531" i="3"/>
  <c r="Q530" i="3"/>
  <c r="P530" i="3"/>
  <c r="O530" i="3"/>
  <c r="N530" i="3"/>
  <c r="M530" i="3"/>
  <c r="L530" i="3"/>
  <c r="Q529" i="3"/>
  <c r="P529" i="3"/>
  <c r="O529" i="3"/>
  <c r="N529" i="3"/>
  <c r="M529" i="3"/>
  <c r="L529" i="3"/>
  <c r="Q528" i="3"/>
  <c r="P528" i="3"/>
  <c r="O528" i="3"/>
  <c r="N528" i="3"/>
  <c r="M528" i="3"/>
  <c r="L528" i="3"/>
  <c r="Q527" i="3"/>
  <c r="P527" i="3"/>
  <c r="O527" i="3"/>
  <c r="N527" i="3"/>
  <c r="M527" i="3"/>
  <c r="L527" i="3"/>
  <c r="Q526" i="3"/>
  <c r="P526" i="3"/>
  <c r="O526" i="3"/>
  <c r="N526" i="3"/>
  <c r="M526" i="3"/>
  <c r="L526" i="3"/>
  <c r="Q525" i="3"/>
  <c r="P525" i="3"/>
  <c r="O525" i="3"/>
  <c r="N525" i="3"/>
  <c r="M525" i="3"/>
  <c r="L525" i="3"/>
  <c r="Q524" i="3"/>
  <c r="P524" i="3"/>
  <c r="O524" i="3"/>
  <c r="N524" i="3"/>
  <c r="M524" i="3"/>
  <c r="L524" i="3"/>
  <c r="Q523" i="3"/>
  <c r="P523" i="3"/>
  <c r="O523" i="3"/>
  <c r="N523" i="3"/>
  <c r="M523" i="3"/>
  <c r="L523" i="3"/>
  <c r="Q522" i="3"/>
  <c r="P522" i="3"/>
  <c r="O522" i="3"/>
  <c r="N522" i="3"/>
  <c r="M522" i="3"/>
  <c r="L522" i="3"/>
  <c r="Q521" i="3"/>
  <c r="P521" i="3"/>
  <c r="O521" i="3"/>
  <c r="N521" i="3"/>
  <c r="M521" i="3"/>
  <c r="L521" i="3"/>
  <c r="Q520" i="3"/>
  <c r="P520" i="3"/>
  <c r="O520" i="3"/>
  <c r="N520" i="3"/>
  <c r="M520" i="3"/>
  <c r="L520" i="3"/>
  <c r="Q519" i="3"/>
  <c r="P519" i="3"/>
  <c r="O519" i="3"/>
  <c r="N519" i="3"/>
  <c r="M519" i="3"/>
  <c r="L519" i="3"/>
  <c r="Q518" i="3"/>
  <c r="P518" i="3"/>
  <c r="O518" i="3"/>
  <c r="N518" i="3"/>
  <c r="M518" i="3"/>
  <c r="L518" i="3"/>
  <c r="Q517" i="3"/>
  <c r="P517" i="3"/>
  <c r="O517" i="3"/>
  <c r="N517" i="3"/>
  <c r="M517" i="3"/>
  <c r="L517" i="3"/>
  <c r="Q516" i="3"/>
  <c r="P516" i="3"/>
  <c r="O516" i="3"/>
  <c r="N516" i="3"/>
  <c r="M516" i="3"/>
  <c r="L516" i="3"/>
  <c r="Q515" i="3"/>
  <c r="P515" i="3"/>
  <c r="O515" i="3"/>
  <c r="N515" i="3"/>
  <c r="M515" i="3"/>
  <c r="L515" i="3"/>
  <c r="Q514" i="3"/>
  <c r="P514" i="3"/>
  <c r="O514" i="3"/>
  <c r="N514" i="3"/>
  <c r="M514" i="3"/>
  <c r="L514" i="3"/>
  <c r="Q513" i="3"/>
  <c r="P513" i="3"/>
  <c r="O513" i="3"/>
  <c r="N513" i="3"/>
  <c r="M513" i="3"/>
  <c r="L513" i="3"/>
  <c r="Q512" i="3"/>
  <c r="P512" i="3"/>
  <c r="O512" i="3"/>
  <c r="N512" i="3"/>
  <c r="M512" i="3"/>
  <c r="L512" i="3"/>
  <c r="Q511" i="3"/>
  <c r="P511" i="3"/>
  <c r="O511" i="3"/>
  <c r="N511" i="3"/>
  <c r="M511" i="3"/>
  <c r="L511" i="3"/>
  <c r="Q510" i="3"/>
  <c r="P510" i="3"/>
  <c r="O510" i="3"/>
  <c r="N510" i="3"/>
  <c r="M510" i="3"/>
  <c r="L510" i="3"/>
  <c r="Q509" i="3"/>
  <c r="P509" i="3"/>
  <c r="O509" i="3"/>
  <c r="N509" i="3"/>
  <c r="M509" i="3"/>
  <c r="L509" i="3"/>
  <c r="Q508" i="3"/>
  <c r="P508" i="3"/>
  <c r="O508" i="3"/>
  <c r="N508" i="3"/>
  <c r="M508" i="3"/>
  <c r="L508" i="3"/>
  <c r="Q507" i="3"/>
  <c r="P507" i="3"/>
  <c r="O507" i="3"/>
  <c r="N507" i="3"/>
  <c r="M507" i="3"/>
  <c r="L507" i="3"/>
  <c r="Q506" i="3"/>
  <c r="P506" i="3"/>
  <c r="O506" i="3"/>
  <c r="N506" i="3"/>
  <c r="M506" i="3"/>
  <c r="L506" i="3"/>
  <c r="Q505" i="3"/>
  <c r="P505" i="3"/>
  <c r="O505" i="3"/>
  <c r="N505" i="3"/>
  <c r="M505" i="3"/>
  <c r="L505" i="3"/>
  <c r="Q504" i="3"/>
  <c r="P504" i="3"/>
  <c r="O504" i="3"/>
  <c r="N504" i="3"/>
  <c r="M504" i="3"/>
  <c r="L504" i="3"/>
  <c r="Q503" i="3"/>
  <c r="P503" i="3"/>
  <c r="O503" i="3"/>
  <c r="N503" i="3"/>
  <c r="M503" i="3"/>
  <c r="L503" i="3"/>
  <c r="Q502" i="3"/>
  <c r="P502" i="3"/>
  <c r="O502" i="3"/>
  <c r="N502" i="3"/>
  <c r="M502" i="3"/>
  <c r="L502" i="3"/>
  <c r="Q501" i="3"/>
  <c r="P501" i="3"/>
  <c r="O501" i="3"/>
  <c r="N501" i="3"/>
  <c r="M501" i="3"/>
  <c r="L501" i="3"/>
  <c r="Q500" i="3"/>
  <c r="P500" i="3"/>
  <c r="O500" i="3"/>
  <c r="N500" i="3"/>
  <c r="M500" i="3"/>
  <c r="L500" i="3"/>
  <c r="Q499" i="3"/>
  <c r="P499" i="3"/>
  <c r="O499" i="3"/>
  <c r="N499" i="3"/>
  <c r="M499" i="3"/>
  <c r="L499" i="3"/>
  <c r="Q498" i="3"/>
  <c r="P498" i="3"/>
  <c r="O498" i="3"/>
  <c r="N498" i="3"/>
  <c r="M498" i="3"/>
  <c r="L498" i="3"/>
  <c r="Q497" i="3"/>
  <c r="P497" i="3"/>
  <c r="O497" i="3"/>
  <c r="N497" i="3"/>
  <c r="M497" i="3"/>
  <c r="L497" i="3"/>
  <c r="Q496" i="3"/>
  <c r="P496" i="3"/>
  <c r="O496" i="3"/>
  <c r="N496" i="3"/>
  <c r="M496" i="3"/>
  <c r="L496" i="3"/>
  <c r="Q495" i="3"/>
  <c r="P495" i="3"/>
  <c r="O495" i="3"/>
  <c r="N495" i="3"/>
  <c r="M495" i="3"/>
  <c r="L495" i="3"/>
  <c r="Q494" i="3"/>
  <c r="P494" i="3"/>
  <c r="O494" i="3"/>
  <c r="N494" i="3"/>
  <c r="M494" i="3"/>
  <c r="L494" i="3"/>
  <c r="Q493" i="3"/>
  <c r="P493" i="3"/>
  <c r="O493" i="3"/>
  <c r="N493" i="3"/>
  <c r="M493" i="3"/>
  <c r="L493" i="3"/>
  <c r="Q492" i="3"/>
  <c r="P492" i="3"/>
  <c r="O492" i="3"/>
  <c r="N492" i="3"/>
  <c r="M492" i="3"/>
  <c r="L492" i="3"/>
  <c r="Q491" i="3"/>
  <c r="P491" i="3"/>
  <c r="O491" i="3"/>
  <c r="N491" i="3"/>
  <c r="M491" i="3"/>
  <c r="L491" i="3"/>
  <c r="Q490" i="3"/>
  <c r="P490" i="3"/>
  <c r="O490" i="3"/>
  <c r="N490" i="3"/>
  <c r="M490" i="3"/>
  <c r="L490" i="3"/>
  <c r="Q489" i="3"/>
  <c r="P489" i="3"/>
  <c r="O489" i="3"/>
  <c r="N489" i="3"/>
  <c r="M489" i="3"/>
  <c r="L489" i="3"/>
  <c r="Q488" i="3"/>
  <c r="P488" i="3"/>
  <c r="O488" i="3"/>
  <c r="N488" i="3"/>
  <c r="M488" i="3"/>
  <c r="L488" i="3"/>
  <c r="Q487" i="3"/>
  <c r="P487" i="3"/>
  <c r="O487" i="3"/>
  <c r="N487" i="3"/>
  <c r="M487" i="3"/>
  <c r="L487" i="3"/>
  <c r="Q486" i="3"/>
  <c r="P486" i="3"/>
  <c r="O486" i="3"/>
  <c r="N486" i="3"/>
  <c r="M486" i="3"/>
  <c r="L486" i="3"/>
  <c r="Q485" i="3"/>
  <c r="P485" i="3"/>
  <c r="O485" i="3"/>
  <c r="N485" i="3"/>
  <c r="M485" i="3"/>
  <c r="L485" i="3"/>
  <c r="Q484" i="3"/>
  <c r="P484" i="3"/>
  <c r="O484" i="3"/>
  <c r="N484" i="3"/>
  <c r="M484" i="3"/>
  <c r="L484" i="3"/>
  <c r="Q483" i="3"/>
  <c r="P483" i="3"/>
  <c r="O483" i="3"/>
  <c r="N483" i="3"/>
  <c r="M483" i="3"/>
  <c r="L483" i="3"/>
  <c r="Q482" i="3"/>
  <c r="P482" i="3"/>
  <c r="O482" i="3"/>
  <c r="N482" i="3"/>
  <c r="M482" i="3"/>
  <c r="L482" i="3"/>
  <c r="Q481" i="3"/>
  <c r="P481" i="3"/>
  <c r="O481" i="3"/>
  <c r="N481" i="3"/>
  <c r="M481" i="3"/>
  <c r="L481" i="3"/>
  <c r="Q480" i="3"/>
  <c r="P480" i="3"/>
  <c r="O480" i="3"/>
  <c r="N480" i="3"/>
  <c r="M480" i="3"/>
  <c r="L480" i="3"/>
  <c r="Q479" i="3"/>
  <c r="P479" i="3"/>
  <c r="O479" i="3"/>
  <c r="N479" i="3"/>
  <c r="M479" i="3"/>
  <c r="L479" i="3"/>
  <c r="Q478" i="3"/>
  <c r="P478" i="3"/>
  <c r="O478" i="3"/>
  <c r="N478" i="3"/>
  <c r="M478" i="3"/>
  <c r="L478" i="3"/>
  <c r="Q477" i="3"/>
  <c r="P477" i="3"/>
  <c r="O477" i="3"/>
  <c r="N477" i="3"/>
  <c r="M477" i="3"/>
  <c r="L477" i="3"/>
  <c r="Q476" i="3"/>
  <c r="P476" i="3"/>
  <c r="O476" i="3"/>
  <c r="N476" i="3"/>
  <c r="M476" i="3"/>
  <c r="L476" i="3"/>
  <c r="Q475" i="3"/>
  <c r="P475" i="3"/>
  <c r="O475" i="3"/>
  <c r="N475" i="3"/>
  <c r="M475" i="3"/>
  <c r="L475" i="3"/>
  <c r="Q474" i="3"/>
  <c r="P474" i="3"/>
  <c r="O474" i="3"/>
  <c r="N474" i="3"/>
  <c r="M474" i="3"/>
  <c r="L474" i="3"/>
  <c r="Q473" i="3"/>
  <c r="P473" i="3"/>
  <c r="O473" i="3"/>
  <c r="N473" i="3"/>
  <c r="M473" i="3"/>
  <c r="L473" i="3"/>
  <c r="Q472" i="3"/>
  <c r="P472" i="3"/>
  <c r="O472" i="3"/>
  <c r="N472" i="3"/>
  <c r="M472" i="3"/>
  <c r="L472" i="3"/>
  <c r="Q471" i="3"/>
  <c r="P471" i="3"/>
  <c r="O471" i="3"/>
  <c r="N471" i="3"/>
  <c r="M471" i="3"/>
  <c r="L471" i="3"/>
  <c r="Q470" i="3"/>
  <c r="P470" i="3"/>
  <c r="O470" i="3"/>
  <c r="N470" i="3"/>
  <c r="M470" i="3"/>
  <c r="L470" i="3"/>
  <c r="Q469" i="3"/>
  <c r="P469" i="3"/>
  <c r="O469" i="3"/>
  <c r="N469" i="3"/>
  <c r="M469" i="3"/>
  <c r="L469" i="3"/>
  <c r="Q468" i="3"/>
  <c r="P468" i="3"/>
  <c r="O468" i="3"/>
  <c r="N468" i="3"/>
  <c r="M468" i="3"/>
  <c r="L468" i="3"/>
  <c r="Q467" i="3"/>
  <c r="P467" i="3"/>
  <c r="O467" i="3"/>
  <c r="N467" i="3"/>
  <c r="M467" i="3"/>
  <c r="L467" i="3"/>
  <c r="Q466" i="3"/>
  <c r="P466" i="3"/>
  <c r="O466" i="3"/>
  <c r="N466" i="3"/>
  <c r="M466" i="3"/>
  <c r="L466" i="3"/>
  <c r="Q465" i="3"/>
  <c r="P465" i="3"/>
  <c r="O465" i="3"/>
  <c r="N465" i="3"/>
  <c r="M465" i="3"/>
  <c r="L465" i="3"/>
  <c r="Q464" i="3"/>
  <c r="P464" i="3"/>
  <c r="O464" i="3"/>
  <c r="N464" i="3"/>
  <c r="M464" i="3"/>
  <c r="L464" i="3"/>
  <c r="Q463" i="3"/>
  <c r="P463" i="3"/>
  <c r="O463" i="3"/>
  <c r="N463" i="3"/>
  <c r="M463" i="3"/>
  <c r="L463" i="3"/>
  <c r="Q462" i="3"/>
  <c r="P462" i="3"/>
  <c r="O462" i="3"/>
  <c r="N462" i="3"/>
  <c r="M462" i="3"/>
  <c r="L462" i="3"/>
  <c r="Q461" i="3"/>
  <c r="P461" i="3"/>
  <c r="O461" i="3"/>
  <c r="N461" i="3"/>
  <c r="M461" i="3"/>
  <c r="L461" i="3"/>
  <c r="Q460" i="3"/>
  <c r="P460" i="3"/>
  <c r="O460" i="3"/>
  <c r="N460" i="3"/>
  <c r="M460" i="3"/>
  <c r="L460" i="3"/>
  <c r="Q459" i="3"/>
  <c r="P459" i="3"/>
  <c r="O459" i="3"/>
  <c r="N459" i="3"/>
  <c r="M459" i="3"/>
  <c r="L459" i="3"/>
  <c r="Q458" i="3"/>
  <c r="P458" i="3"/>
  <c r="O458" i="3"/>
  <c r="N458" i="3"/>
  <c r="M458" i="3"/>
  <c r="L458" i="3"/>
  <c r="Q457" i="3"/>
  <c r="P457" i="3"/>
  <c r="O457" i="3"/>
  <c r="N457" i="3"/>
  <c r="M457" i="3"/>
  <c r="L457" i="3"/>
  <c r="Q456" i="3"/>
  <c r="P456" i="3"/>
  <c r="O456" i="3"/>
  <c r="N456" i="3"/>
  <c r="M456" i="3"/>
  <c r="L456" i="3"/>
  <c r="Q455" i="3"/>
  <c r="P455" i="3"/>
  <c r="O455" i="3"/>
  <c r="N455" i="3"/>
  <c r="M455" i="3"/>
  <c r="L455" i="3"/>
  <c r="Q454" i="3"/>
  <c r="P454" i="3"/>
  <c r="O454" i="3"/>
  <c r="N454" i="3"/>
  <c r="M454" i="3"/>
  <c r="L454" i="3"/>
  <c r="Q453" i="3"/>
  <c r="P453" i="3"/>
  <c r="O453" i="3"/>
  <c r="N453" i="3"/>
  <c r="M453" i="3"/>
  <c r="L453" i="3"/>
  <c r="Q452" i="3"/>
  <c r="P452" i="3"/>
  <c r="O452" i="3"/>
  <c r="N452" i="3"/>
  <c r="M452" i="3"/>
  <c r="L452" i="3"/>
  <c r="Q451" i="3"/>
  <c r="P451" i="3"/>
  <c r="O451" i="3"/>
  <c r="N451" i="3"/>
  <c r="M451" i="3"/>
  <c r="L451" i="3"/>
  <c r="Q450" i="3"/>
  <c r="P450" i="3"/>
  <c r="O450" i="3"/>
  <c r="N450" i="3"/>
  <c r="M450" i="3"/>
  <c r="L450" i="3"/>
  <c r="Q449" i="3"/>
  <c r="P449" i="3"/>
  <c r="O449" i="3"/>
  <c r="N449" i="3"/>
  <c r="M449" i="3"/>
  <c r="L449" i="3"/>
  <c r="Q448" i="3"/>
  <c r="P448" i="3"/>
  <c r="O448" i="3"/>
  <c r="N448" i="3"/>
  <c r="M448" i="3"/>
  <c r="L448" i="3"/>
  <c r="Q447" i="3"/>
  <c r="P447" i="3"/>
  <c r="O447" i="3"/>
  <c r="N447" i="3"/>
  <c r="M447" i="3"/>
  <c r="L447" i="3"/>
  <c r="Q446" i="3"/>
  <c r="P446" i="3"/>
  <c r="O446" i="3"/>
  <c r="N446" i="3"/>
  <c r="M446" i="3"/>
  <c r="L446" i="3"/>
  <c r="Q445" i="3"/>
  <c r="P445" i="3"/>
  <c r="O445" i="3"/>
  <c r="N445" i="3"/>
  <c r="M445" i="3"/>
  <c r="L445" i="3"/>
  <c r="Q444" i="3"/>
  <c r="P444" i="3"/>
  <c r="O444" i="3"/>
  <c r="N444" i="3"/>
  <c r="M444" i="3"/>
  <c r="L444" i="3"/>
  <c r="Q443" i="3"/>
  <c r="P443" i="3"/>
  <c r="O443" i="3"/>
  <c r="N443" i="3"/>
  <c r="M443" i="3"/>
  <c r="L443" i="3"/>
  <c r="Q442" i="3"/>
  <c r="P442" i="3"/>
  <c r="O442" i="3"/>
  <c r="N442" i="3"/>
  <c r="M442" i="3"/>
  <c r="L442" i="3"/>
  <c r="Q441" i="3"/>
  <c r="P441" i="3"/>
  <c r="O441" i="3"/>
  <c r="N441" i="3"/>
  <c r="M441" i="3"/>
  <c r="L441" i="3"/>
  <c r="Q440" i="3"/>
  <c r="P440" i="3"/>
  <c r="O440" i="3"/>
  <c r="N440" i="3"/>
  <c r="M440" i="3"/>
  <c r="L440" i="3"/>
  <c r="Q439" i="3"/>
  <c r="P439" i="3"/>
  <c r="O439" i="3"/>
  <c r="N439" i="3"/>
  <c r="M439" i="3"/>
  <c r="L439" i="3"/>
  <c r="Q438" i="3"/>
  <c r="P438" i="3"/>
  <c r="O438" i="3"/>
  <c r="N438" i="3"/>
  <c r="M438" i="3"/>
  <c r="L438" i="3"/>
  <c r="Q437" i="3"/>
  <c r="P437" i="3"/>
  <c r="O437" i="3"/>
  <c r="N437" i="3"/>
  <c r="M437" i="3"/>
  <c r="L437" i="3"/>
  <c r="Q436" i="3"/>
  <c r="P436" i="3"/>
  <c r="O436" i="3"/>
  <c r="N436" i="3"/>
  <c r="M436" i="3"/>
  <c r="L436" i="3"/>
  <c r="Q435" i="3"/>
  <c r="P435" i="3"/>
  <c r="O435" i="3"/>
  <c r="N435" i="3"/>
  <c r="M435" i="3"/>
  <c r="L435" i="3"/>
  <c r="Q434" i="3"/>
  <c r="P434" i="3"/>
  <c r="O434" i="3"/>
  <c r="N434" i="3"/>
  <c r="M434" i="3"/>
  <c r="L434" i="3"/>
  <c r="Q433" i="3"/>
  <c r="P433" i="3"/>
  <c r="O433" i="3"/>
  <c r="N433" i="3"/>
  <c r="M433" i="3"/>
  <c r="L433" i="3"/>
  <c r="Q432" i="3"/>
  <c r="P432" i="3"/>
  <c r="O432" i="3"/>
  <c r="N432" i="3"/>
  <c r="M432" i="3"/>
  <c r="L432" i="3"/>
  <c r="Q431" i="3"/>
  <c r="P431" i="3"/>
  <c r="O431" i="3"/>
  <c r="N431" i="3"/>
  <c r="M431" i="3"/>
  <c r="L431" i="3"/>
  <c r="Q430" i="3"/>
  <c r="P430" i="3"/>
  <c r="O430" i="3"/>
  <c r="N430" i="3"/>
  <c r="M430" i="3"/>
  <c r="L430" i="3"/>
  <c r="Q429" i="3"/>
  <c r="P429" i="3"/>
  <c r="O429" i="3"/>
  <c r="N429" i="3"/>
  <c r="M429" i="3"/>
  <c r="L429" i="3"/>
  <c r="Q428" i="3"/>
  <c r="P428" i="3"/>
  <c r="O428" i="3"/>
  <c r="N428" i="3"/>
  <c r="M428" i="3"/>
  <c r="L428" i="3"/>
  <c r="Q427" i="3"/>
  <c r="P427" i="3"/>
  <c r="O427" i="3"/>
  <c r="N427" i="3"/>
  <c r="M427" i="3"/>
  <c r="L427" i="3"/>
  <c r="Q426" i="3"/>
  <c r="P426" i="3"/>
  <c r="O426" i="3"/>
  <c r="N426" i="3"/>
  <c r="M426" i="3"/>
  <c r="L426" i="3"/>
  <c r="Q425" i="3"/>
  <c r="P425" i="3"/>
  <c r="O425" i="3"/>
  <c r="N425" i="3"/>
  <c r="M425" i="3"/>
  <c r="L425" i="3"/>
  <c r="Q424" i="3"/>
  <c r="P424" i="3"/>
  <c r="O424" i="3"/>
  <c r="N424" i="3"/>
  <c r="M424" i="3"/>
  <c r="L424" i="3"/>
  <c r="Q423" i="3"/>
  <c r="P423" i="3"/>
  <c r="O423" i="3"/>
  <c r="N423" i="3"/>
  <c r="M423" i="3"/>
  <c r="L423" i="3"/>
  <c r="Q422" i="3"/>
  <c r="P422" i="3"/>
  <c r="O422" i="3"/>
  <c r="N422" i="3"/>
  <c r="M422" i="3"/>
  <c r="L422" i="3"/>
  <c r="Q421" i="3"/>
  <c r="P421" i="3"/>
  <c r="O421" i="3"/>
  <c r="N421" i="3"/>
  <c r="M421" i="3"/>
  <c r="L421" i="3"/>
  <c r="Q420" i="3"/>
  <c r="P420" i="3"/>
  <c r="O420" i="3"/>
  <c r="N420" i="3"/>
  <c r="M420" i="3"/>
  <c r="L420" i="3"/>
  <c r="Q419" i="3"/>
  <c r="P419" i="3"/>
  <c r="O419" i="3"/>
  <c r="N419" i="3"/>
  <c r="M419" i="3"/>
  <c r="L419" i="3"/>
  <c r="Q418" i="3"/>
  <c r="P418" i="3"/>
  <c r="O418" i="3"/>
  <c r="N418" i="3"/>
  <c r="M418" i="3"/>
  <c r="L418" i="3"/>
  <c r="Q417" i="3"/>
  <c r="P417" i="3"/>
  <c r="O417" i="3"/>
  <c r="N417" i="3"/>
  <c r="M417" i="3"/>
  <c r="L417" i="3"/>
  <c r="Q416" i="3"/>
  <c r="P416" i="3"/>
  <c r="O416" i="3"/>
  <c r="N416" i="3"/>
  <c r="M416" i="3"/>
  <c r="L416" i="3"/>
  <c r="Q415" i="3"/>
  <c r="P415" i="3"/>
  <c r="O415" i="3"/>
  <c r="N415" i="3"/>
  <c r="M415" i="3"/>
  <c r="L415" i="3"/>
  <c r="Q414" i="3"/>
  <c r="P414" i="3"/>
  <c r="O414" i="3"/>
  <c r="N414" i="3"/>
  <c r="M414" i="3"/>
  <c r="L414" i="3"/>
  <c r="Q413" i="3"/>
  <c r="P413" i="3"/>
  <c r="O413" i="3"/>
  <c r="N413" i="3"/>
  <c r="M413" i="3"/>
  <c r="L413" i="3"/>
  <c r="Q412" i="3"/>
  <c r="P412" i="3"/>
  <c r="O412" i="3"/>
  <c r="N412" i="3"/>
  <c r="M412" i="3"/>
  <c r="L412" i="3"/>
  <c r="Q411" i="3"/>
  <c r="P411" i="3"/>
  <c r="O411" i="3"/>
  <c r="N411" i="3"/>
  <c r="M411" i="3"/>
  <c r="L411" i="3"/>
  <c r="Q410" i="3"/>
  <c r="P410" i="3"/>
  <c r="O410" i="3"/>
  <c r="N410" i="3"/>
  <c r="M410" i="3"/>
  <c r="L410" i="3"/>
  <c r="Q409" i="3"/>
  <c r="P409" i="3"/>
  <c r="O409" i="3"/>
  <c r="N409" i="3"/>
  <c r="M409" i="3"/>
  <c r="L409" i="3"/>
  <c r="Q408" i="3"/>
  <c r="P408" i="3"/>
  <c r="O408" i="3"/>
  <c r="N408" i="3"/>
  <c r="M408" i="3"/>
  <c r="L408" i="3"/>
  <c r="Q407" i="3"/>
  <c r="P407" i="3"/>
  <c r="O407" i="3"/>
  <c r="N407" i="3"/>
  <c r="M407" i="3"/>
  <c r="L407" i="3"/>
  <c r="Q406" i="3"/>
  <c r="P406" i="3"/>
  <c r="O406" i="3"/>
  <c r="N406" i="3"/>
  <c r="M406" i="3"/>
  <c r="L406" i="3"/>
  <c r="Q405" i="3"/>
  <c r="P405" i="3"/>
  <c r="O405" i="3"/>
  <c r="N405" i="3"/>
  <c r="M405" i="3"/>
  <c r="L405" i="3"/>
  <c r="Q404" i="3"/>
  <c r="P404" i="3"/>
  <c r="O404" i="3"/>
  <c r="N404" i="3"/>
  <c r="M404" i="3"/>
  <c r="L404" i="3"/>
  <c r="Q403" i="3"/>
  <c r="P403" i="3"/>
  <c r="O403" i="3"/>
  <c r="N403" i="3"/>
  <c r="M403" i="3"/>
  <c r="L403" i="3"/>
  <c r="Q402" i="3"/>
  <c r="P402" i="3"/>
  <c r="O402" i="3"/>
  <c r="N402" i="3"/>
  <c r="M402" i="3"/>
  <c r="L402" i="3"/>
  <c r="Q401" i="3"/>
  <c r="P401" i="3"/>
  <c r="O401" i="3"/>
  <c r="N401" i="3"/>
  <c r="M401" i="3"/>
  <c r="L401" i="3"/>
  <c r="Q400" i="3"/>
  <c r="P400" i="3"/>
  <c r="O400" i="3"/>
  <c r="N400" i="3"/>
  <c r="M400" i="3"/>
  <c r="L400" i="3"/>
  <c r="Q399" i="3"/>
  <c r="P399" i="3"/>
  <c r="O399" i="3"/>
  <c r="N399" i="3"/>
  <c r="M399" i="3"/>
  <c r="L399" i="3"/>
  <c r="Q398" i="3"/>
  <c r="P398" i="3"/>
  <c r="O398" i="3"/>
  <c r="N398" i="3"/>
  <c r="M398" i="3"/>
  <c r="L398" i="3"/>
  <c r="Q397" i="3"/>
  <c r="P397" i="3"/>
  <c r="O397" i="3"/>
  <c r="N397" i="3"/>
  <c r="M397" i="3"/>
  <c r="L397" i="3"/>
  <c r="Q396" i="3"/>
  <c r="P396" i="3"/>
  <c r="O396" i="3"/>
  <c r="N396" i="3"/>
  <c r="M396" i="3"/>
  <c r="L396" i="3"/>
  <c r="Q395" i="3"/>
  <c r="P395" i="3"/>
  <c r="O395" i="3"/>
  <c r="N395" i="3"/>
  <c r="M395" i="3"/>
  <c r="L395" i="3"/>
  <c r="Q394" i="3"/>
  <c r="P394" i="3"/>
  <c r="O394" i="3"/>
  <c r="N394" i="3"/>
  <c r="M394" i="3"/>
  <c r="L394" i="3"/>
  <c r="Q393" i="3"/>
  <c r="P393" i="3"/>
  <c r="O393" i="3"/>
  <c r="N393" i="3"/>
  <c r="M393" i="3"/>
  <c r="L393" i="3"/>
  <c r="Q392" i="3"/>
  <c r="P392" i="3"/>
  <c r="O392" i="3"/>
  <c r="N392" i="3"/>
  <c r="M392" i="3"/>
  <c r="L392" i="3"/>
  <c r="Q391" i="3"/>
  <c r="P391" i="3"/>
  <c r="O391" i="3"/>
  <c r="N391" i="3"/>
  <c r="M391" i="3"/>
  <c r="L391" i="3"/>
  <c r="Q390" i="3"/>
  <c r="P390" i="3"/>
  <c r="O390" i="3"/>
  <c r="N390" i="3"/>
  <c r="M390" i="3"/>
  <c r="L390" i="3"/>
  <c r="Q389" i="3"/>
  <c r="P389" i="3"/>
  <c r="O389" i="3"/>
  <c r="N389" i="3"/>
  <c r="M389" i="3"/>
  <c r="L389" i="3"/>
  <c r="Q388" i="3"/>
  <c r="P388" i="3"/>
  <c r="O388" i="3"/>
  <c r="N388" i="3"/>
  <c r="M388" i="3"/>
  <c r="L388" i="3"/>
  <c r="Q387" i="3"/>
  <c r="P387" i="3"/>
  <c r="O387" i="3"/>
  <c r="N387" i="3"/>
  <c r="M387" i="3"/>
  <c r="L387" i="3"/>
  <c r="Q386" i="3"/>
  <c r="P386" i="3"/>
  <c r="O386" i="3"/>
  <c r="N386" i="3"/>
  <c r="M386" i="3"/>
  <c r="L386" i="3"/>
  <c r="Q385" i="3"/>
  <c r="P385" i="3"/>
  <c r="O385" i="3"/>
  <c r="N385" i="3"/>
  <c r="M385" i="3"/>
  <c r="L385" i="3"/>
  <c r="Q384" i="3"/>
  <c r="P384" i="3"/>
  <c r="O384" i="3"/>
  <c r="N384" i="3"/>
  <c r="M384" i="3"/>
  <c r="L384" i="3"/>
  <c r="Q383" i="3"/>
  <c r="P383" i="3"/>
  <c r="O383" i="3"/>
  <c r="N383" i="3"/>
  <c r="M383" i="3"/>
  <c r="L383" i="3"/>
  <c r="Q382" i="3"/>
  <c r="P382" i="3"/>
  <c r="O382" i="3"/>
  <c r="N382" i="3"/>
  <c r="M382" i="3"/>
  <c r="L382" i="3"/>
  <c r="Q381" i="3"/>
  <c r="P381" i="3"/>
  <c r="O381" i="3"/>
  <c r="N381" i="3"/>
  <c r="M381" i="3"/>
  <c r="L381" i="3"/>
  <c r="Q380" i="3"/>
  <c r="P380" i="3"/>
  <c r="O380" i="3"/>
  <c r="N380" i="3"/>
  <c r="M380" i="3"/>
  <c r="L380" i="3"/>
  <c r="Q379" i="3"/>
  <c r="P379" i="3"/>
  <c r="O379" i="3"/>
  <c r="N379" i="3"/>
  <c r="M379" i="3"/>
  <c r="L379" i="3"/>
  <c r="Q378" i="3"/>
  <c r="P378" i="3"/>
  <c r="O378" i="3"/>
  <c r="N378" i="3"/>
  <c r="M378" i="3"/>
  <c r="L378" i="3"/>
  <c r="Q377" i="3"/>
  <c r="P377" i="3"/>
  <c r="O377" i="3"/>
  <c r="N377" i="3"/>
  <c r="M377" i="3"/>
  <c r="L377" i="3"/>
  <c r="Q376" i="3"/>
  <c r="P376" i="3"/>
  <c r="O376" i="3"/>
  <c r="N376" i="3"/>
  <c r="M376" i="3"/>
  <c r="L376" i="3"/>
  <c r="Q375" i="3"/>
  <c r="P375" i="3"/>
  <c r="O375" i="3"/>
  <c r="N375" i="3"/>
  <c r="M375" i="3"/>
  <c r="L375" i="3"/>
  <c r="Q374" i="3"/>
  <c r="P374" i="3"/>
  <c r="O374" i="3"/>
  <c r="N374" i="3"/>
  <c r="M374" i="3"/>
  <c r="L374" i="3"/>
  <c r="Q373" i="3"/>
  <c r="P373" i="3"/>
  <c r="O373" i="3"/>
  <c r="N373" i="3"/>
  <c r="M373" i="3"/>
  <c r="L373" i="3"/>
  <c r="Q372" i="3"/>
  <c r="P372" i="3"/>
  <c r="O372" i="3"/>
  <c r="N372" i="3"/>
  <c r="M372" i="3"/>
  <c r="L372" i="3"/>
  <c r="Q371" i="3"/>
  <c r="P371" i="3"/>
  <c r="O371" i="3"/>
  <c r="N371" i="3"/>
  <c r="M371" i="3"/>
  <c r="L371" i="3"/>
  <c r="Q370" i="3"/>
  <c r="P370" i="3"/>
  <c r="O370" i="3"/>
  <c r="N370" i="3"/>
  <c r="M370" i="3"/>
  <c r="L370" i="3"/>
  <c r="Q369" i="3"/>
  <c r="P369" i="3"/>
  <c r="O369" i="3"/>
  <c r="N369" i="3"/>
  <c r="M369" i="3"/>
  <c r="L369" i="3"/>
  <c r="Q368" i="3"/>
  <c r="P368" i="3"/>
  <c r="O368" i="3"/>
  <c r="N368" i="3"/>
  <c r="M368" i="3"/>
  <c r="L368" i="3"/>
  <c r="Q367" i="3"/>
  <c r="P367" i="3"/>
  <c r="O367" i="3"/>
  <c r="N367" i="3"/>
  <c r="M367" i="3"/>
  <c r="L367" i="3"/>
  <c r="Q366" i="3"/>
  <c r="P366" i="3"/>
  <c r="O366" i="3"/>
  <c r="N366" i="3"/>
  <c r="M366" i="3"/>
  <c r="L366" i="3"/>
  <c r="Q365" i="3"/>
  <c r="P365" i="3"/>
  <c r="O365" i="3"/>
  <c r="N365" i="3"/>
  <c r="M365" i="3"/>
  <c r="L365" i="3"/>
  <c r="Q364" i="3"/>
  <c r="P364" i="3"/>
  <c r="O364" i="3"/>
  <c r="N364" i="3"/>
  <c r="M364" i="3"/>
  <c r="L364" i="3"/>
  <c r="Q363" i="3"/>
  <c r="P363" i="3"/>
  <c r="O363" i="3"/>
  <c r="N363" i="3"/>
  <c r="M363" i="3"/>
  <c r="L363" i="3"/>
  <c r="Q362" i="3"/>
  <c r="P362" i="3"/>
  <c r="O362" i="3"/>
  <c r="N362" i="3"/>
  <c r="M362" i="3"/>
  <c r="L362" i="3"/>
  <c r="Q361" i="3"/>
  <c r="P361" i="3"/>
  <c r="O361" i="3"/>
  <c r="N361" i="3"/>
  <c r="M361" i="3"/>
  <c r="L361" i="3"/>
  <c r="Q360" i="3"/>
  <c r="P360" i="3"/>
  <c r="O360" i="3"/>
  <c r="N360" i="3"/>
  <c r="M360" i="3"/>
  <c r="L360" i="3"/>
  <c r="Q359" i="3"/>
  <c r="P359" i="3"/>
  <c r="O359" i="3"/>
  <c r="N359" i="3"/>
  <c r="M359" i="3"/>
  <c r="L359" i="3"/>
  <c r="Q358" i="3"/>
  <c r="P358" i="3"/>
  <c r="O358" i="3"/>
  <c r="N358" i="3"/>
  <c r="M358" i="3"/>
  <c r="L358" i="3"/>
  <c r="Q357" i="3"/>
  <c r="P357" i="3"/>
  <c r="O357" i="3"/>
  <c r="N357" i="3"/>
  <c r="M357" i="3"/>
  <c r="L357" i="3"/>
  <c r="Q356" i="3"/>
  <c r="P356" i="3"/>
  <c r="O356" i="3"/>
  <c r="N356" i="3"/>
  <c r="M356" i="3"/>
  <c r="L356" i="3"/>
  <c r="Q355" i="3"/>
  <c r="P355" i="3"/>
  <c r="O355" i="3"/>
  <c r="N355" i="3"/>
  <c r="M355" i="3"/>
  <c r="L355" i="3"/>
  <c r="Q354" i="3"/>
  <c r="P354" i="3"/>
  <c r="O354" i="3"/>
  <c r="N354" i="3"/>
  <c r="M354" i="3"/>
  <c r="L354" i="3"/>
  <c r="Q353" i="3"/>
  <c r="P353" i="3"/>
  <c r="O353" i="3"/>
  <c r="N353" i="3"/>
  <c r="M353" i="3"/>
  <c r="L353" i="3"/>
  <c r="Q352" i="3"/>
  <c r="P352" i="3"/>
  <c r="O352" i="3"/>
  <c r="N352" i="3"/>
  <c r="M352" i="3"/>
  <c r="L352" i="3"/>
  <c r="Q351" i="3"/>
  <c r="P351" i="3"/>
  <c r="O351" i="3"/>
  <c r="N351" i="3"/>
  <c r="M351" i="3"/>
  <c r="L351" i="3"/>
  <c r="Q350" i="3"/>
  <c r="P350" i="3"/>
  <c r="O350" i="3"/>
  <c r="N350" i="3"/>
  <c r="M350" i="3"/>
  <c r="L350" i="3"/>
  <c r="Q349" i="3"/>
  <c r="P349" i="3"/>
  <c r="O349" i="3"/>
  <c r="N349" i="3"/>
  <c r="M349" i="3"/>
  <c r="L349" i="3"/>
  <c r="Q348" i="3"/>
  <c r="P348" i="3"/>
  <c r="O348" i="3"/>
  <c r="N348" i="3"/>
  <c r="M348" i="3"/>
  <c r="L348" i="3"/>
  <c r="Q347" i="3"/>
  <c r="P347" i="3"/>
  <c r="O347" i="3"/>
  <c r="N347" i="3"/>
  <c r="M347" i="3"/>
  <c r="L347" i="3"/>
  <c r="Q346" i="3"/>
  <c r="P346" i="3"/>
  <c r="O346" i="3"/>
  <c r="N346" i="3"/>
  <c r="M346" i="3"/>
  <c r="L346" i="3"/>
  <c r="Q345" i="3"/>
  <c r="P345" i="3"/>
  <c r="O345" i="3"/>
  <c r="N345" i="3"/>
  <c r="M345" i="3"/>
  <c r="L345" i="3"/>
  <c r="Q344" i="3"/>
  <c r="P344" i="3"/>
  <c r="O344" i="3"/>
  <c r="N344" i="3"/>
  <c r="M344" i="3"/>
  <c r="L344" i="3"/>
  <c r="Q343" i="3"/>
  <c r="P343" i="3"/>
  <c r="O343" i="3"/>
  <c r="N343" i="3"/>
  <c r="M343" i="3"/>
  <c r="L343" i="3"/>
  <c r="Q342" i="3"/>
  <c r="P342" i="3"/>
  <c r="O342" i="3"/>
  <c r="N342" i="3"/>
  <c r="M342" i="3"/>
  <c r="L342" i="3"/>
  <c r="Q341" i="3"/>
  <c r="P341" i="3"/>
  <c r="O341" i="3"/>
  <c r="N341" i="3"/>
  <c r="M341" i="3"/>
  <c r="L341" i="3"/>
  <c r="Q340" i="3"/>
  <c r="P340" i="3"/>
  <c r="O340" i="3"/>
  <c r="N340" i="3"/>
  <c r="M340" i="3"/>
  <c r="L340" i="3"/>
  <c r="Q339" i="3"/>
  <c r="P339" i="3"/>
  <c r="O339" i="3"/>
  <c r="N339" i="3"/>
  <c r="M339" i="3"/>
  <c r="L339" i="3"/>
  <c r="Q338" i="3"/>
  <c r="P338" i="3"/>
  <c r="O338" i="3"/>
  <c r="N338" i="3"/>
  <c r="M338" i="3"/>
  <c r="L338" i="3"/>
  <c r="Q337" i="3"/>
  <c r="P337" i="3"/>
  <c r="O337" i="3"/>
  <c r="N337" i="3"/>
  <c r="M337" i="3"/>
  <c r="L337" i="3"/>
  <c r="Q336" i="3"/>
  <c r="P336" i="3"/>
  <c r="O336" i="3"/>
  <c r="N336" i="3"/>
  <c r="M336" i="3"/>
  <c r="L336" i="3"/>
  <c r="Q335" i="3"/>
  <c r="P335" i="3"/>
  <c r="O335" i="3"/>
  <c r="N335" i="3"/>
  <c r="M335" i="3"/>
  <c r="L335" i="3"/>
  <c r="Q334" i="3"/>
  <c r="P334" i="3"/>
  <c r="O334" i="3"/>
  <c r="N334" i="3"/>
  <c r="M334" i="3"/>
  <c r="L334" i="3"/>
  <c r="Q333" i="3"/>
  <c r="P333" i="3"/>
  <c r="O333" i="3"/>
  <c r="N333" i="3"/>
  <c r="M333" i="3"/>
  <c r="L333" i="3"/>
  <c r="Q332" i="3"/>
  <c r="P332" i="3"/>
  <c r="O332" i="3"/>
  <c r="N332" i="3"/>
  <c r="M332" i="3"/>
  <c r="L332" i="3"/>
  <c r="Q331" i="3"/>
  <c r="P331" i="3"/>
  <c r="O331" i="3"/>
  <c r="N331" i="3"/>
  <c r="M331" i="3"/>
  <c r="L331" i="3"/>
  <c r="Q330" i="3"/>
  <c r="P330" i="3"/>
  <c r="O330" i="3"/>
  <c r="N330" i="3"/>
  <c r="M330" i="3"/>
  <c r="L330" i="3"/>
  <c r="Q329" i="3"/>
  <c r="P329" i="3"/>
  <c r="O329" i="3"/>
  <c r="N329" i="3"/>
  <c r="M329" i="3"/>
  <c r="L329" i="3"/>
  <c r="Q328" i="3"/>
  <c r="P328" i="3"/>
  <c r="O328" i="3"/>
  <c r="N328" i="3"/>
  <c r="M328" i="3"/>
  <c r="L328" i="3"/>
  <c r="Q327" i="3"/>
  <c r="P327" i="3"/>
  <c r="O327" i="3"/>
  <c r="N327" i="3"/>
  <c r="M327" i="3"/>
  <c r="L327" i="3"/>
  <c r="Q326" i="3"/>
  <c r="P326" i="3"/>
  <c r="O326" i="3"/>
  <c r="N326" i="3"/>
  <c r="M326" i="3"/>
  <c r="L326" i="3"/>
  <c r="Q325" i="3"/>
  <c r="P325" i="3"/>
  <c r="O325" i="3"/>
  <c r="N325" i="3"/>
  <c r="M325" i="3"/>
  <c r="L325" i="3"/>
  <c r="Q324" i="3"/>
  <c r="P324" i="3"/>
  <c r="O324" i="3"/>
  <c r="N324" i="3"/>
  <c r="M324" i="3"/>
  <c r="L324" i="3"/>
  <c r="Q323" i="3"/>
  <c r="P323" i="3"/>
  <c r="O323" i="3"/>
  <c r="N323" i="3"/>
  <c r="M323" i="3"/>
  <c r="L323" i="3"/>
  <c r="Q322" i="3"/>
  <c r="P322" i="3"/>
  <c r="O322" i="3"/>
  <c r="N322" i="3"/>
  <c r="M322" i="3"/>
  <c r="L322" i="3"/>
  <c r="Q321" i="3"/>
  <c r="P321" i="3"/>
  <c r="O321" i="3"/>
  <c r="N321" i="3"/>
  <c r="M321" i="3"/>
  <c r="L321" i="3"/>
  <c r="Q320" i="3"/>
  <c r="P320" i="3"/>
  <c r="O320" i="3"/>
  <c r="N320" i="3"/>
  <c r="M320" i="3"/>
  <c r="L320" i="3"/>
  <c r="Q319" i="3"/>
  <c r="P319" i="3"/>
  <c r="O319" i="3"/>
  <c r="N319" i="3"/>
  <c r="M319" i="3"/>
  <c r="L319" i="3"/>
  <c r="Q318" i="3"/>
  <c r="P318" i="3"/>
  <c r="O318" i="3"/>
  <c r="N318" i="3"/>
  <c r="M318" i="3"/>
  <c r="L318" i="3"/>
  <c r="Q317" i="3"/>
  <c r="P317" i="3"/>
  <c r="O317" i="3"/>
  <c r="N317" i="3"/>
  <c r="M317" i="3"/>
  <c r="L317" i="3"/>
  <c r="Q316" i="3"/>
  <c r="P316" i="3"/>
  <c r="O316" i="3"/>
  <c r="N316" i="3"/>
  <c r="M316" i="3"/>
  <c r="L316" i="3"/>
  <c r="Q315" i="3"/>
  <c r="P315" i="3"/>
  <c r="O315" i="3"/>
  <c r="N315" i="3"/>
  <c r="M315" i="3"/>
  <c r="L315" i="3"/>
  <c r="Q314" i="3"/>
  <c r="P314" i="3"/>
  <c r="O314" i="3"/>
  <c r="N314" i="3"/>
  <c r="M314" i="3"/>
  <c r="L314" i="3"/>
  <c r="Q313" i="3"/>
  <c r="P313" i="3"/>
  <c r="O313" i="3"/>
  <c r="N313" i="3"/>
  <c r="M313" i="3"/>
  <c r="L313" i="3"/>
  <c r="Q312" i="3"/>
  <c r="P312" i="3"/>
  <c r="O312" i="3"/>
  <c r="N312" i="3"/>
  <c r="M312" i="3"/>
  <c r="L312" i="3"/>
  <c r="Q311" i="3"/>
  <c r="P311" i="3"/>
  <c r="O311" i="3"/>
  <c r="N311" i="3"/>
  <c r="M311" i="3"/>
  <c r="L311" i="3"/>
  <c r="Q310" i="3"/>
  <c r="P310" i="3"/>
  <c r="O310" i="3"/>
  <c r="N310" i="3"/>
  <c r="M310" i="3"/>
  <c r="L310" i="3"/>
  <c r="Q309" i="3"/>
  <c r="P309" i="3"/>
  <c r="O309" i="3"/>
  <c r="N309" i="3"/>
  <c r="M309" i="3"/>
  <c r="L309" i="3"/>
  <c r="Q308" i="3"/>
  <c r="P308" i="3"/>
  <c r="O308" i="3"/>
  <c r="N308" i="3"/>
  <c r="M308" i="3"/>
  <c r="L308" i="3"/>
  <c r="Q307" i="3"/>
  <c r="P307" i="3"/>
  <c r="O307" i="3"/>
  <c r="N307" i="3"/>
  <c r="M307" i="3"/>
  <c r="L307" i="3"/>
  <c r="Q306" i="3"/>
  <c r="P306" i="3"/>
  <c r="O306" i="3"/>
  <c r="N306" i="3"/>
  <c r="M306" i="3"/>
  <c r="L306" i="3"/>
  <c r="Q305" i="3"/>
  <c r="P305" i="3"/>
  <c r="O305" i="3"/>
  <c r="N305" i="3"/>
  <c r="M305" i="3"/>
  <c r="L305" i="3"/>
  <c r="Q304" i="3"/>
  <c r="P304" i="3"/>
  <c r="O304" i="3"/>
  <c r="N304" i="3"/>
  <c r="M304" i="3"/>
  <c r="L304" i="3"/>
  <c r="Q303" i="3"/>
  <c r="P303" i="3"/>
  <c r="O303" i="3"/>
  <c r="N303" i="3"/>
  <c r="M303" i="3"/>
  <c r="L303" i="3"/>
  <c r="Q302" i="3"/>
  <c r="P302" i="3"/>
  <c r="O302" i="3"/>
  <c r="N302" i="3"/>
  <c r="M302" i="3"/>
  <c r="L302" i="3"/>
  <c r="Q301" i="3"/>
  <c r="P301" i="3"/>
  <c r="O301" i="3"/>
  <c r="N301" i="3"/>
  <c r="M301" i="3"/>
  <c r="L301" i="3"/>
  <c r="Q300" i="3"/>
  <c r="P300" i="3"/>
  <c r="O300" i="3"/>
  <c r="N300" i="3"/>
  <c r="M300" i="3"/>
  <c r="L300" i="3"/>
  <c r="Q299" i="3"/>
  <c r="P299" i="3"/>
  <c r="O299" i="3"/>
  <c r="N299" i="3"/>
  <c r="M299" i="3"/>
  <c r="L299" i="3"/>
  <c r="Q298" i="3"/>
  <c r="P298" i="3"/>
  <c r="O298" i="3"/>
  <c r="N298" i="3"/>
  <c r="M298" i="3"/>
  <c r="L298" i="3"/>
  <c r="Q297" i="3"/>
  <c r="P297" i="3"/>
  <c r="O297" i="3"/>
  <c r="N297" i="3"/>
  <c r="M297" i="3"/>
  <c r="L297" i="3"/>
  <c r="Q296" i="3"/>
  <c r="P296" i="3"/>
  <c r="O296" i="3"/>
  <c r="N296" i="3"/>
  <c r="M296" i="3"/>
  <c r="L296" i="3"/>
  <c r="Q295" i="3"/>
  <c r="P295" i="3"/>
  <c r="O295" i="3"/>
  <c r="N295" i="3"/>
  <c r="M295" i="3"/>
  <c r="L295" i="3"/>
  <c r="Q294" i="3"/>
  <c r="P294" i="3"/>
  <c r="O294" i="3"/>
  <c r="N294" i="3"/>
  <c r="M294" i="3"/>
  <c r="L294" i="3"/>
  <c r="Q293" i="3"/>
  <c r="P293" i="3"/>
  <c r="O293" i="3"/>
  <c r="N293" i="3"/>
  <c r="M293" i="3"/>
  <c r="L293" i="3"/>
  <c r="Q292" i="3"/>
  <c r="P292" i="3"/>
  <c r="O292" i="3"/>
  <c r="N292" i="3"/>
  <c r="M292" i="3"/>
  <c r="L292" i="3"/>
  <c r="Q291" i="3"/>
  <c r="P291" i="3"/>
  <c r="O291" i="3"/>
  <c r="N291" i="3"/>
  <c r="M291" i="3"/>
  <c r="L291" i="3"/>
  <c r="Q290" i="3"/>
  <c r="P290" i="3"/>
  <c r="O290" i="3"/>
  <c r="N290" i="3"/>
  <c r="M290" i="3"/>
  <c r="L290" i="3"/>
  <c r="Q289" i="3"/>
  <c r="P289" i="3"/>
  <c r="O289" i="3"/>
  <c r="N289" i="3"/>
  <c r="M289" i="3"/>
  <c r="L289" i="3"/>
  <c r="Q288" i="3"/>
  <c r="P288" i="3"/>
  <c r="O288" i="3"/>
  <c r="N288" i="3"/>
  <c r="M288" i="3"/>
  <c r="L288" i="3"/>
  <c r="Q287" i="3"/>
  <c r="P287" i="3"/>
  <c r="O287" i="3"/>
  <c r="N287" i="3"/>
  <c r="M287" i="3"/>
  <c r="L287" i="3"/>
  <c r="Q286" i="3"/>
  <c r="P286" i="3"/>
  <c r="O286" i="3"/>
  <c r="N286" i="3"/>
  <c r="M286" i="3"/>
  <c r="L286" i="3"/>
  <c r="Q285" i="3"/>
  <c r="P285" i="3"/>
  <c r="O285" i="3"/>
  <c r="N285" i="3"/>
  <c r="M285" i="3"/>
  <c r="L285" i="3"/>
  <c r="Q284" i="3"/>
  <c r="P284" i="3"/>
  <c r="O284" i="3"/>
  <c r="N284" i="3"/>
  <c r="M284" i="3"/>
  <c r="L284" i="3"/>
  <c r="Q283" i="3"/>
  <c r="P283" i="3"/>
  <c r="O283" i="3"/>
  <c r="N283" i="3"/>
  <c r="M283" i="3"/>
  <c r="L283" i="3"/>
  <c r="Q282" i="3"/>
  <c r="P282" i="3"/>
  <c r="O282" i="3"/>
  <c r="N282" i="3"/>
  <c r="M282" i="3"/>
  <c r="L282" i="3"/>
  <c r="Q281" i="3"/>
  <c r="P281" i="3"/>
  <c r="O281" i="3"/>
  <c r="N281" i="3"/>
  <c r="M281" i="3"/>
  <c r="L281" i="3"/>
  <c r="Q280" i="3"/>
  <c r="P280" i="3"/>
  <c r="O280" i="3"/>
  <c r="N280" i="3"/>
  <c r="M280" i="3"/>
  <c r="L280" i="3"/>
  <c r="Q279" i="3"/>
  <c r="P279" i="3"/>
  <c r="O279" i="3"/>
  <c r="N279" i="3"/>
  <c r="M279" i="3"/>
  <c r="L279" i="3"/>
  <c r="Q278" i="3"/>
  <c r="P278" i="3"/>
  <c r="O278" i="3"/>
  <c r="N278" i="3"/>
  <c r="M278" i="3"/>
  <c r="L278" i="3"/>
  <c r="Q277" i="3"/>
  <c r="P277" i="3"/>
  <c r="O277" i="3"/>
  <c r="N277" i="3"/>
  <c r="M277" i="3"/>
  <c r="L277" i="3"/>
  <c r="Q276" i="3"/>
  <c r="P276" i="3"/>
  <c r="O276" i="3"/>
  <c r="N276" i="3"/>
  <c r="M276" i="3"/>
  <c r="L276" i="3"/>
  <c r="Q275" i="3"/>
  <c r="P275" i="3"/>
  <c r="O275" i="3"/>
  <c r="N275" i="3"/>
  <c r="M275" i="3"/>
  <c r="L275" i="3"/>
  <c r="Q274" i="3"/>
  <c r="P274" i="3"/>
  <c r="O274" i="3"/>
  <c r="N274" i="3"/>
  <c r="M274" i="3"/>
  <c r="L274" i="3"/>
  <c r="Q273" i="3"/>
  <c r="P273" i="3"/>
  <c r="O273" i="3"/>
  <c r="N273" i="3"/>
  <c r="M273" i="3"/>
  <c r="L273" i="3"/>
  <c r="Q272" i="3"/>
  <c r="P272" i="3"/>
  <c r="O272" i="3"/>
  <c r="N272" i="3"/>
  <c r="M272" i="3"/>
  <c r="L272" i="3"/>
  <c r="Q271" i="3"/>
  <c r="P271" i="3"/>
  <c r="O271" i="3"/>
  <c r="N271" i="3"/>
  <c r="M271" i="3"/>
  <c r="L271" i="3"/>
  <c r="Q270" i="3"/>
  <c r="P270" i="3"/>
  <c r="O270" i="3"/>
  <c r="N270" i="3"/>
  <c r="M270" i="3"/>
  <c r="L270" i="3"/>
  <c r="Q269" i="3"/>
  <c r="P269" i="3"/>
  <c r="O269" i="3"/>
  <c r="N269" i="3"/>
  <c r="M269" i="3"/>
  <c r="L269" i="3"/>
  <c r="Q268" i="3"/>
  <c r="P268" i="3"/>
  <c r="O268" i="3"/>
  <c r="N268" i="3"/>
  <c r="M268" i="3"/>
  <c r="L268" i="3"/>
  <c r="Q267" i="3"/>
  <c r="P267" i="3"/>
  <c r="O267" i="3"/>
  <c r="N267" i="3"/>
  <c r="M267" i="3"/>
  <c r="L267" i="3"/>
  <c r="Q266" i="3"/>
  <c r="P266" i="3"/>
  <c r="O266" i="3"/>
  <c r="N266" i="3"/>
  <c r="M266" i="3"/>
  <c r="L266" i="3"/>
  <c r="Q265" i="3"/>
  <c r="P265" i="3"/>
  <c r="O265" i="3"/>
  <c r="N265" i="3"/>
  <c r="M265" i="3"/>
  <c r="L265" i="3"/>
  <c r="Q264" i="3"/>
  <c r="P264" i="3"/>
  <c r="O264" i="3"/>
  <c r="N264" i="3"/>
  <c r="M264" i="3"/>
  <c r="L264" i="3"/>
  <c r="Q263" i="3"/>
  <c r="P263" i="3"/>
  <c r="O263" i="3"/>
  <c r="N263" i="3"/>
  <c r="M263" i="3"/>
  <c r="L263" i="3"/>
  <c r="Q262" i="3"/>
  <c r="P262" i="3"/>
  <c r="O262" i="3"/>
  <c r="N262" i="3"/>
  <c r="M262" i="3"/>
  <c r="L262" i="3"/>
  <c r="Q261" i="3"/>
  <c r="P261" i="3"/>
  <c r="O261" i="3"/>
  <c r="N261" i="3"/>
  <c r="M261" i="3"/>
  <c r="L261" i="3"/>
  <c r="Q260" i="3"/>
  <c r="P260" i="3"/>
  <c r="O260" i="3"/>
  <c r="N260" i="3"/>
  <c r="M260" i="3"/>
  <c r="L260" i="3"/>
  <c r="Q259" i="3"/>
  <c r="P259" i="3"/>
  <c r="O259" i="3"/>
  <c r="N259" i="3"/>
  <c r="M259" i="3"/>
  <c r="L259" i="3"/>
  <c r="Q258" i="3"/>
  <c r="P258" i="3"/>
  <c r="O258" i="3"/>
  <c r="N258" i="3"/>
  <c r="M258" i="3"/>
  <c r="L258" i="3"/>
  <c r="Q257" i="3"/>
  <c r="P257" i="3"/>
  <c r="O257" i="3"/>
  <c r="N257" i="3"/>
  <c r="M257" i="3"/>
  <c r="L257" i="3"/>
  <c r="Q256" i="3"/>
  <c r="P256" i="3"/>
  <c r="O256" i="3"/>
  <c r="N256" i="3"/>
  <c r="M256" i="3"/>
  <c r="L256" i="3"/>
  <c r="Q255" i="3"/>
  <c r="P255" i="3"/>
  <c r="O255" i="3"/>
  <c r="N255" i="3"/>
  <c r="M255" i="3"/>
  <c r="L255" i="3"/>
  <c r="Q254" i="3"/>
  <c r="P254" i="3"/>
  <c r="O254" i="3"/>
  <c r="N254" i="3"/>
  <c r="M254" i="3"/>
  <c r="L254" i="3"/>
  <c r="Q253" i="3"/>
  <c r="P253" i="3"/>
  <c r="O253" i="3"/>
  <c r="N253" i="3"/>
  <c r="M253" i="3"/>
  <c r="L253" i="3"/>
  <c r="Q252" i="3"/>
  <c r="P252" i="3"/>
  <c r="O252" i="3"/>
  <c r="N252" i="3"/>
  <c r="M252" i="3"/>
  <c r="L252" i="3"/>
  <c r="Q251" i="3"/>
  <c r="P251" i="3"/>
  <c r="O251" i="3"/>
  <c r="N251" i="3"/>
  <c r="M251" i="3"/>
  <c r="L251" i="3"/>
  <c r="Q250" i="3"/>
  <c r="P250" i="3"/>
  <c r="O250" i="3"/>
  <c r="N250" i="3"/>
  <c r="M250" i="3"/>
  <c r="L250" i="3"/>
  <c r="Q249" i="3"/>
  <c r="P249" i="3"/>
  <c r="O249" i="3"/>
  <c r="N249" i="3"/>
  <c r="M249" i="3"/>
  <c r="L249" i="3"/>
  <c r="Q248" i="3"/>
  <c r="P248" i="3"/>
  <c r="O248" i="3"/>
  <c r="N248" i="3"/>
  <c r="M248" i="3"/>
  <c r="L248" i="3"/>
  <c r="Q247" i="3"/>
  <c r="P247" i="3"/>
  <c r="O247" i="3"/>
  <c r="N247" i="3"/>
  <c r="M247" i="3"/>
  <c r="L247" i="3"/>
  <c r="Q246" i="3"/>
  <c r="P246" i="3"/>
  <c r="O246" i="3"/>
  <c r="N246" i="3"/>
  <c r="M246" i="3"/>
  <c r="L246" i="3"/>
  <c r="Q245" i="3"/>
  <c r="P245" i="3"/>
  <c r="O245" i="3"/>
  <c r="N245" i="3"/>
  <c r="M245" i="3"/>
  <c r="L245" i="3"/>
  <c r="Q244" i="3"/>
  <c r="P244" i="3"/>
  <c r="O244" i="3"/>
  <c r="N244" i="3"/>
  <c r="M244" i="3"/>
  <c r="L244" i="3"/>
  <c r="Q243" i="3"/>
  <c r="P243" i="3"/>
  <c r="O243" i="3"/>
  <c r="N243" i="3"/>
  <c r="M243" i="3"/>
  <c r="L243" i="3"/>
  <c r="Q242" i="3"/>
  <c r="P242" i="3"/>
  <c r="O242" i="3"/>
  <c r="N242" i="3"/>
  <c r="M242" i="3"/>
  <c r="L242" i="3"/>
  <c r="Q241" i="3"/>
  <c r="P241" i="3"/>
  <c r="O241" i="3"/>
  <c r="N241" i="3"/>
  <c r="M241" i="3"/>
  <c r="L241" i="3"/>
  <c r="Q240" i="3"/>
  <c r="P240" i="3"/>
  <c r="O240" i="3"/>
  <c r="N240" i="3"/>
  <c r="M240" i="3"/>
  <c r="L240" i="3"/>
  <c r="Q239" i="3"/>
  <c r="P239" i="3"/>
  <c r="O239" i="3"/>
  <c r="N239" i="3"/>
  <c r="M239" i="3"/>
  <c r="L239" i="3"/>
  <c r="Q238" i="3"/>
  <c r="P238" i="3"/>
  <c r="O238" i="3"/>
  <c r="N238" i="3"/>
  <c r="M238" i="3"/>
  <c r="L238" i="3"/>
  <c r="Q237" i="3"/>
  <c r="P237" i="3"/>
  <c r="O237" i="3"/>
  <c r="N237" i="3"/>
  <c r="M237" i="3"/>
  <c r="L237" i="3"/>
  <c r="Q236" i="3"/>
  <c r="P236" i="3"/>
  <c r="O236" i="3"/>
  <c r="N236" i="3"/>
  <c r="M236" i="3"/>
  <c r="L236" i="3"/>
  <c r="Q235" i="3"/>
  <c r="P235" i="3"/>
  <c r="O235" i="3"/>
  <c r="N235" i="3"/>
  <c r="M235" i="3"/>
  <c r="L235" i="3"/>
  <c r="Q234" i="3"/>
  <c r="P234" i="3"/>
  <c r="O234" i="3"/>
  <c r="N234" i="3"/>
  <c r="M234" i="3"/>
  <c r="L234" i="3"/>
  <c r="Q233" i="3"/>
  <c r="P233" i="3"/>
  <c r="O233" i="3"/>
  <c r="N233" i="3"/>
  <c r="M233" i="3"/>
  <c r="L233" i="3"/>
  <c r="Q232" i="3"/>
  <c r="P232" i="3"/>
  <c r="O232" i="3"/>
  <c r="N232" i="3"/>
  <c r="M232" i="3"/>
  <c r="L232" i="3"/>
  <c r="X231" i="3"/>
  <c r="W231" i="3"/>
  <c r="Q231" i="3"/>
  <c r="P231" i="3"/>
  <c r="O231" i="3"/>
  <c r="N231" i="3"/>
  <c r="M231" i="3"/>
  <c r="L231" i="3"/>
  <c r="K231" i="3"/>
  <c r="J231" i="3"/>
  <c r="H231" i="3"/>
  <c r="C231" i="3"/>
  <c r="X230" i="3"/>
  <c r="W230" i="3"/>
  <c r="U230" i="3"/>
  <c r="T230" i="3"/>
  <c r="S230" i="3"/>
  <c r="R230" i="3"/>
  <c r="Q230" i="3"/>
  <c r="P230" i="3"/>
  <c r="O230" i="3"/>
  <c r="N230" i="3"/>
  <c r="M230" i="3"/>
  <c r="L230" i="3"/>
  <c r="K230" i="3"/>
  <c r="J230" i="3"/>
  <c r="H230" i="3"/>
  <c r="C230" i="3"/>
  <c r="B230" i="3"/>
  <c r="A230" i="3"/>
  <c r="X229" i="3"/>
  <c r="W229" i="3"/>
  <c r="V229" i="3"/>
  <c r="U229" i="3"/>
  <c r="T229" i="3"/>
  <c r="S229" i="3"/>
  <c r="R229" i="3"/>
  <c r="Q229" i="3"/>
  <c r="P229" i="3"/>
  <c r="O229" i="3"/>
  <c r="N229" i="3"/>
  <c r="M229" i="3"/>
  <c r="L229" i="3"/>
  <c r="K229" i="3"/>
  <c r="J229" i="3"/>
  <c r="I229" i="3"/>
  <c r="H229" i="3"/>
  <c r="G229" i="3"/>
  <c r="F229" i="3"/>
  <c r="E229" i="3"/>
  <c r="D229" i="3"/>
  <c r="C229" i="3"/>
  <c r="B229" i="3"/>
  <c r="A229" i="3"/>
  <c r="X228" i="3"/>
  <c r="W228" i="3"/>
  <c r="U228" i="3"/>
  <c r="T228" i="3"/>
  <c r="S228" i="3"/>
  <c r="R228" i="3"/>
  <c r="Q228" i="3"/>
  <c r="P228" i="3"/>
  <c r="O228" i="3"/>
  <c r="N228" i="3"/>
  <c r="M228" i="3"/>
  <c r="L228" i="3"/>
  <c r="K228" i="3"/>
  <c r="J228" i="3"/>
  <c r="H228" i="3"/>
  <c r="C228" i="3"/>
  <c r="B228" i="3"/>
  <c r="A228" i="3"/>
  <c r="X227" i="3"/>
  <c r="W227" i="3"/>
  <c r="V227" i="3"/>
  <c r="U227" i="3"/>
  <c r="T227" i="3"/>
  <c r="S227" i="3"/>
  <c r="R227" i="3"/>
  <c r="Q227" i="3"/>
  <c r="P227" i="3"/>
  <c r="O227" i="3"/>
  <c r="N227" i="3"/>
  <c r="M227" i="3"/>
  <c r="L227" i="3"/>
  <c r="K227" i="3"/>
  <c r="J227" i="3"/>
  <c r="I227" i="3"/>
  <c r="H227" i="3"/>
  <c r="G227" i="3"/>
  <c r="F227" i="3"/>
  <c r="E227" i="3"/>
  <c r="D227" i="3"/>
  <c r="C227" i="3"/>
  <c r="B227" i="3"/>
  <c r="A227" i="3"/>
  <c r="X226" i="3"/>
  <c r="W226" i="3"/>
  <c r="V226" i="3"/>
  <c r="U226" i="3"/>
  <c r="T226" i="3"/>
  <c r="S226" i="3"/>
  <c r="R226" i="3"/>
  <c r="Q226" i="3"/>
  <c r="P226" i="3"/>
  <c r="O226" i="3"/>
  <c r="N226" i="3"/>
  <c r="M226" i="3"/>
  <c r="L226" i="3"/>
  <c r="K226" i="3"/>
  <c r="J226" i="3"/>
  <c r="I226" i="3"/>
  <c r="H226" i="3"/>
  <c r="G226" i="3"/>
  <c r="F226" i="3"/>
  <c r="E226" i="3"/>
  <c r="D226" i="3"/>
  <c r="C226" i="3"/>
  <c r="B226" i="3"/>
  <c r="A226" i="3"/>
  <c r="X225" i="3"/>
  <c r="W225" i="3"/>
  <c r="V225" i="3"/>
  <c r="U225" i="3"/>
  <c r="T225" i="3"/>
  <c r="S225" i="3"/>
  <c r="R225" i="3"/>
  <c r="Q225" i="3"/>
  <c r="P225" i="3"/>
  <c r="O225" i="3"/>
  <c r="N225" i="3"/>
  <c r="M225" i="3"/>
  <c r="L225" i="3"/>
  <c r="K225" i="3"/>
  <c r="J225" i="3"/>
  <c r="H225" i="3"/>
  <c r="G225" i="3"/>
  <c r="F225" i="3"/>
  <c r="E225" i="3"/>
  <c r="D225" i="3"/>
  <c r="C225" i="3"/>
  <c r="B225" i="3"/>
  <c r="A225" i="3"/>
  <c r="X224" i="3"/>
  <c r="W224" i="3"/>
  <c r="V224" i="3"/>
  <c r="U224" i="3"/>
  <c r="T224" i="3"/>
  <c r="S224" i="3"/>
  <c r="R224" i="3"/>
  <c r="Q224" i="3"/>
  <c r="P224" i="3"/>
  <c r="O224" i="3"/>
  <c r="N224" i="3"/>
  <c r="M224" i="3"/>
  <c r="L224" i="3"/>
  <c r="K224" i="3"/>
  <c r="J224" i="3"/>
  <c r="H224" i="3"/>
  <c r="G224" i="3"/>
  <c r="F224" i="3"/>
  <c r="E224" i="3"/>
  <c r="D224" i="3"/>
  <c r="C224" i="3"/>
  <c r="B224" i="3"/>
  <c r="A224" i="3"/>
  <c r="X223" i="3"/>
  <c r="W223" i="3"/>
  <c r="V223" i="3"/>
  <c r="U223" i="3"/>
  <c r="T223" i="3"/>
  <c r="S223" i="3"/>
  <c r="R223" i="3"/>
  <c r="Q223" i="3"/>
  <c r="P223" i="3"/>
  <c r="O223" i="3"/>
  <c r="N223" i="3"/>
  <c r="M223" i="3"/>
  <c r="L223" i="3"/>
  <c r="K223" i="3"/>
  <c r="J223" i="3"/>
  <c r="I223" i="3"/>
  <c r="H223" i="3"/>
  <c r="G223" i="3"/>
  <c r="F223" i="3"/>
  <c r="E223" i="3"/>
  <c r="D223" i="3"/>
  <c r="C223" i="3"/>
  <c r="B223" i="3"/>
  <c r="A223" i="3"/>
  <c r="X222" i="3"/>
  <c r="W222" i="3"/>
  <c r="V222" i="3"/>
  <c r="U222" i="3"/>
  <c r="T222" i="3"/>
  <c r="S222" i="3"/>
  <c r="R222" i="3"/>
  <c r="Q222" i="3"/>
  <c r="P222" i="3"/>
  <c r="O222" i="3"/>
  <c r="N222" i="3"/>
  <c r="M222" i="3"/>
  <c r="L222" i="3"/>
  <c r="K222" i="3"/>
  <c r="J222" i="3"/>
  <c r="I222" i="3"/>
  <c r="H222" i="3"/>
  <c r="G222" i="3"/>
  <c r="F222" i="3"/>
  <c r="E222" i="3"/>
  <c r="D222" i="3"/>
  <c r="C222" i="3"/>
  <c r="B222" i="3"/>
  <c r="A222" i="3"/>
  <c r="X221" i="3"/>
  <c r="W221" i="3"/>
  <c r="V221" i="3"/>
  <c r="U221" i="3"/>
  <c r="T221" i="3"/>
  <c r="S221" i="3"/>
  <c r="R221" i="3"/>
  <c r="Q221" i="3"/>
  <c r="P221" i="3"/>
  <c r="O221" i="3"/>
  <c r="N221" i="3"/>
  <c r="M221" i="3"/>
  <c r="L221" i="3"/>
  <c r="K221" i="3"/>
  <c r="J221" i="3"/>
  <c r="I221" i="3"/>
  <c r="H221" i="3"/>
  <c r="G221" i="3"/>
  <c r="F221" i="3"/>
  <c r="E221" i="3"/>
  <c r="D221" i="3"/>
  <c r="C221" i="3"/>
  <c r="B221" i="3"/>
  <c r="A221" i="3"/>
  <c r="X220" i="3"/>
  <c r="W220" i="3"/>
  <c r="U220" i="3"/>
  <c r="T220" i="3"/>
  <c r="S220" i="3"/>
  <c r="R220" i="3"/>
  <c r="Q220" i="3"/>
  <c r="P220" i="3"/>
  <c r="O220" i="3"/>
  <c r="N220" i="3"/>
  <c r="M220" i="3"/>
  <c r="L220" i="3"/>
  <c r="K220" i="3"/>
  <c r="J220" i="3"/>
  <c r="H220" i="3"/>
  <c r="G220" i="3"/>
  <c r="F220" i="3"/>
  <c r="E220" i="3"/>
  <c r="D220" i="3"/>
  <c r="C220" i="3"/>
  <c r="B220" i="3"/>
  <c r="A220" i="3"/>
  <c r="X219" i="3"/>
  <c r="W219" i="3"/>
  <c r="U219" i="3"/>
  <c r="T219" i="3"/>
  <c r="S219" i="3"/>
  <c r="R219" i="3"/>
  <c r="Q219" i="3"/>
  <c r="P219" i="3"/>
  <c r="O219" i="3"/>
  <c r="N219" i="3"/>
  <c r="M219" i="3"/>
  <c r="L219" i="3"/>
  <c r="K219" i="3"/>
  <c r="J219" i="3"/>
  <c r="H219" i="3"/>
  <c r="G219" i="3"/>
  <c r="F219" i="3"/>
  <c r="E219" i="3"/>
  <c r="D219" i="3"/>
  <c r="C219" i="3"/>
  <c r="B219" i="3"/>
  <c r="A219" i="3"/>
  <c r="X218" i="3"/>
  <c r="W218" i="3"/>
  <c r="U218" i="3"/>
  <c r="T218" i="3"/>
  <c r="S218" i="3"/>
  <c r="R218" i="3"/>
  <c r="Q218" i="3"/>
  <c r="P218" i="3"/>
  <c r="O218" i="3"/>
  <c r="N218" i="3"/>
  <c r="M218" i="3"/>
  <c r="L218" i="3"/>
  <c r="K218" i="3"/>
  <c r="J218" i="3"/>
  <c r="H218" i="3"/>
  <c r="G218" i="3"/>
  <c r="F218" i="3"/>
  <c r="E218" i="3"/>
  <c r="D218" i="3"/>
  <c r="C218" i="3"/>
  <c r="B218" i="3"/>
  <c r="A218" i="3"/>
  <c r="X217" i="3"/>
  <c r="W217" i="3"/>
  <c r="U217" i="3"/>
  <c r="T217" i="3"/>
  <c r="S217" i="3"/>
  <c r="R217" i="3"/>
  <c r="Q217" i="3"/>
  <c r="P217" i="3"/>
  <c r="O217" i="3"/>
  <c r="N217" i="3"/>
  <c r="M217" i="3"/>
  <c r="L217" i="3"/>
  <c r="K217" i="3"/>
  <c r="J217" i="3"/>
  <c r="H217" i="3"/>
  <c r="G217" i="3"/>
  <c r="F217" i="3"/>
  <c r="E217" i="3"/>
  <c r="D217" i="3"/>
  <c r="C217" i="3"/>
  <c r="B217" i="3"/>
  <c r="A217" i="3"/>
  <c r="X216" i="3"/>
  <c r="W216" i="3"/>
  <c r="U216" i="3"/>
  <c r="T216" i="3"/>
  <c r="S216" i="3"/>
  <c r="R216" i="3"/>
  <c r="Q216" i="3"/>
  <c r="P216" i="3"/>
  <c r="O216" i="3"/>
  <c r="N216" i="3"/>
  <c r="M216" i="3"/>
  <c r="L216" i="3"/>
  <c r="K216" i="3"/>
  <c r="J216" i="3"/>
  <c r="H216" i="3"/>
  <c r="C216" i="3"/>
  <c r="B216" i="3"/>
  <c r="A216" i="3"/>
  <c r="X215" i="3"/>
  <c r="W215" i="3"/>
  <c r="U215" i="3"/>
  <c r="T215" i="3"/>
  <c r="S215" i="3"/>
  <c r="R215" i="3"/>
  <c r="Q215" i="3"/>
  <c r="P215" i="3"/>
  <c r="O215" i="3"/>
  <c r="N215" i="3"/>
  <c r="M215" i="3"/>
  <c r="L215" i="3"/>
  <c r="K215" i="3"/>
  <c r="J215" i="3"/>
  <c r="H215" i="3"/>
  <c r="C215" i="3"/>
  <c r="B215" i="3"/>
  <c r="A215" i="3"/>
  <c r="X214" i="3"/>
  <c r="W214" i="3"/>
  <c r="U214" i="3"/>
  <c r="T214" i="3"/>
  <c r="S214" i="3"/>
  <c r="R214" i="3"/>
  <c r="Q214" i="3"/>
  <c r="P214" i="3"/>
  <c r="O214" i="3"/>
  <c r="N214" i="3"/>
  <c r="M214" i="3"/>
  <c r="L214" i="3"/>
  <c r="K214" i="3"/>
  <c r="J214" i="3"/>
  <c r="G214" i="3"/>
  <c r="C214" i="3"/>
  <c r="B214" i="3"/>
  <c r="A214" i="3"/>
  <c r="X213" i="3"/>
  <c r="W213" i="3"/>
  <c r="U213" i="3"/>
  <c r="T213" i="3"/>
  <c r="R213" i="3"/>
  <c r="Q213" i="3"/>
  <c r="P213" i="3"/>
  <c r="O213" i="3"/>
  <c r="N213" i="3"/>
  <c r="M213" i="3"/>
  <c r="L213" i="3"/>
  <c r="K213" i="3"/>
  <c r="J213" i="3"/>
  <c r="H213" i="3"/>
  <c r="G213" i="3"/>
  <c r="F213" i="3"/>
  <c r="C213" i="3"/>
  <c r="B213" i="3"/>
  <c r="A213" i="3"/>
  <c r="X212" i="3"/>
  <c r="W212" i="3"/>
  <c r="U212" i="3"/>
  <c r="T212" i="3"/>
  <c r="S212" i="3"/>
  <c r="R212" i="3"/>
  <c r="Q212" i="3"/>
  <c r="P212" i="3"/>
  <c r="O212" i="3"/>
  <c r="N212" i="3"/>
  <c r="M212" i="3"/>
  <c r="L212" i="3"/>
  <c r="K212" i="3"/>
  <c r="J212" i="3"/>
  <c r="H212" i="3"/>
  <c r="C212" i="3"/>
  <c r="B212" i="3"/>
  <c r="A212" i="3"/>
  <c r="X211" i="3"/>
  <c r="W211" i="3"/>
  <c r="U211" i="3"/>
  <c r="T211" i="3"/>
  <c r="S211" i="3"/>
  <c r="R211" i="3"/>
  <c r="Q211" i="3"/>
  <c r="P211" i="3"/>
  <c r="O211" i="3"/>
  <c r="N211" i="3"/>
  <c r="M211" i="3"/>
  <c r="L211" i="3"/>
  <c r="K211" i="3"/>
  <c r="J211" i="3"/>
  <c r="I211" i="3"/>
  <c r="H211" i="3"/>
  <c r="G211" i="3"/>
  <c r="C211" i="3"/>
  <c r="B211" i="3"/>
  <c r="A211" i="3"/>
  <c r="X210" i="3"/>
  <c r="W210" i="3"/>
  <c r="V210" i="3"/>
  <c r="U210" i="3"/>
  <c r="T210" i="3"/>
  <c r="S210" i="3"/>
  <c r="R210" i="3"/>
  <c r="Q210" i="3"/>
  <c r="P210" i="3"/>
  <c r="O210" i="3"/>
  <c r="N210" i="3"/>
  <c r="M210" i="3"/>
  <c r="L210" i="3"/>
  <c r="K210" i="3"/>
  <c r="J210" i="3"/>
  <c r="I210" i="3"/>
  <c r="H210" i="3"/>
  <c r="G210" i="3"/>
  <c r="F210" i="3"/>
  <c r="E210" i="3"/>
  <c r="D210" i="3"/>
  <c r="C210" i="3"/>
  <c r="B210" i="3"/>
  <c r="A210" i="3"/>
  <c r="X209" i="3"/>
  <c r="W209" i="3"/>
  <c r="V209" i="3"/>
  <c r="U209" i="3"/>
  <c r="T209" i="3"/>
  <c r="S209" i="3"/>
  <c r="R209" i="3"/>
  <c r="Q209" i="3"/>
  <c r="P209" i="3"/>
  <c r="O209" i="3"/>
  <c r="N209" i="3"/>
  <c r="M209" i="3"/>
  <c r="L209" i="3"/>
  <c r="K209" i="3"/>
  <c r="J209" i="3"/>
  <c r="I209" i="3"/>
  <c r="H209" i="3"/>
  <c r="G209" i="3"/>
  <c r="F209" i="3"/>
  <c r="E209" i="3"/>
  <c r="D209" i="3"/>
  <c r="C209" i="3"/>
  <c r="B209" i="3"/>
  <c r="A209" i="3"/>
  <c r="X208" i="3"/>
  <c r="W208" i="3"/>
  <c r="U208" i="3"/>
  <c r="T208" i="3"/>
  <c r="S208" i="3"/>
  <c r="R208" i="3"/>
  <c r="Q208" i="3"/>
  <c r="P208" i="3"/>
  <c r="O208" i="3"/>
  <c r="N208" i="3"/>
  <c r="M208" i="3"/>
  <c r="L208" i="3"/>
  <c r="K208" i="3"/>
  <c r="J208" i="3"/>
  <c r="H208" i="3"/>
  <c r="G208" i="3"/>
  <c r="C208" i="3"/>
  <c r="B208" i="3"/>
  <c r="A208" i="3"/>
  <c r="X207" i="3"/>
  <c r="W207" i="3"/>
  <c r="U207" i="3"/>
  <c r="T207" i="3"/>
  <c r="S207" i="3"/>
  <c r="R207" i="3"/>
  <c r="Q207" i="3"/>
  <c r="P207" i="3"/>
  <c r="O207" i="3"/>
  <c r="N207" i="3"/>
  <c r="M207" i="3"/>
  <c r="L207" i="3"/>
  <c r="K207" i="3"/>
  <c r="J207" i="3"/>
  <c r="I207" i="3"/>
  <c r="H207" i="3"/>
  <c r="G207" i="3"/>
  <c r="F207" i="3"/>
  <c r="C207" i="3"/>
  <c r="B207" i="3"/>
  <c r="A207" i="3"/>
  <c r="X206" i="3"/>
  <c r="W206" i="3"/>
  <c r="V206" i="3"/>
  <c r="U206" i="3"/>
  <c r="T206" i="3"/>
  <c r="S206" i="3"/>
  <c r="R206" i="3"/>
  <c r="Q206" i="3"/>
  <c r="P206" i="3"/>
  <c r="O206" i="3"/>
  <c r="N206" i="3"/>
  <c r="M206" i="3"/>
  <c r="L206" i="3"/>
  <c r="K206" i="3"/>
  <c r="J206" i="3"/>
  <c r="H206" i="3"/>
  <c r="G206" i="3"/>
  <c r="F206" i="3"/>
  <c r="E206" i="3"/>
  <c r="D206" i="3"/>
  <c r="C206" i="3"/>
  <c r="B206" i="3"/>
  <c r="A206" i="3"/>
  <c r="X205" i="3"/>
  <c r="W205" i="3"/>
  <c r="U205" i="3"/>
  <c r="T205" i="3"/>
  <c r="S205" i="3"/>
  <c r="R205" i="3"/>
  <c r="Q205" i="3"/>
  <c r="P205" i="3"/>
  <c r="O205" i="3"/>
  <c r="N205" i="3"/>
  <c r="M205" i="3"/>
  <c r="L205" i="3"/>
  <c r="K205" i="3"/>
  <c r="J205" i="3"/>
  <c r="I205" i="3"/>
  <c r="H205" i="3"/>
  <c r="G205" i="3"/>
  <c r="F205" i="3"/>
  <c r="C205" i="3"/>
  <c r="B205" i="3"/>
  <c r="A205" i="3"/>
  <c r="X204" i="3"/>
  <c r="W204" i="3"/>
  <c r="U204" i="3"/>
  <c r="T204" i="3"/>
  <c r="S204" i="3"/>
  <c r="R204" i="3"/>
  <c r="Q204" i="3"/>
  <c r="P204" i="3"/>
  <c r="O204" i="3"/>
  <c r="N204" i="3"/>
  <c r="M204" i="3"/>
  <c r="L204" i="3"/>
  <c r="K204" i="3"/>
  <c r="J204" i="3"/>
  <c r="I204" i="3"/>
  <c r="H204" i="3"/>
  <c r="G204" i="3"/>
  <c r="F204" i="3"/>
  <c r="C204" i="3"/>
  <c r="B204" i="3"/>
  <c r="A204" i="3"/>
  <c r="X203" i="3"/>
  <c r="W203" i="3"/>
  <c r="U203" i="3"/>
  <c r="T203" i="3"/>
  <c r="S203" i="3"/>
  <c r="R203" i="3"/>
  <c r="Q203" i="3"/>
  <c r="P203" i="3"/>
  <c r="O203" i="3"/>
  <c r="N203" i="3"/>
  <c r="M203" i="3"/>
  <c r="L203" i="3"/>
  <c r="K203" i="3"/>
  <c r="J203" i="3"/>
  <c r="G203" i="3"/>
  <c r="F203" i="3"/>
  <c r="D203" i="3"/>
  <c r="C203" i="3"/>
  <c r="B203" i="3"/>
  <c r="A203" i="3"/>
  <c r="X202" i="3"/>
  <c r="W202" i="3"/>
  <c r="V202" i="3"/>
  <c r="U202" i="3"/>
  <c r="T202" i="3"/>
  <c r="S202" i="3"/>
  <c r="R202" i="3"/>
  <c r="Q202" i="3"/>
  <c r="P202" i="3"/>
  <c r="O202" i="3"/>
  <c r="N202" i="3"/>
  <c r="M202" i="3"/>
  <c r="L202" i="3"/>
  <c r="K202" i="3"/>
  <c r="J202" i="3"/>
  <c r="H202" i="3"/>
  <c r="G202" i="3"/>
  <c r="F202" i="3"/>
  <c r="C202" i="3"/>
  <c r="B202" i="3"/>
  <c r="A202" i="3"/>
  <c r="X201" i="3"/>
  <c r="W201" i="3"/>
  <c r="V201" i="3"/>
  <c r="U201" i="3"/>
  <c r="T201" i="3"/>
  <c r="S201" i="3"/>
  <c r="R201" i="3"/>
  <c r="Q201" i="3"/>
  <c r="P201" i="3"/>
  <c r="O201" i="3"/>
  <c r="N201" i="3"/>
  <c r="M201" i="3"/>
  <c r="L201" i="3"/>
  <c r="K201" i="3"/>
  <c r="J201" i="3"/>
  <c r="H201" i="3"/>
  <c r="G201" i="3"/>
  <c r="F201" i="3"/>
  <c r="D201" i="3"/>
  <c r="C201" i="3"/>
  <c r="B201" i="3"/>
  <c r="A201" i="3"/>
  <c r="X200" i="3"/>
  <c r="W200" i="3"/>
  <c r="V200" i="3"/>
  <c r="U200" i="3"/>
  <c r="T200" i="3"/>
  <c r="S200" i="3"/>
  <c r="R200" i="3"/>
  <c r="Q200" i="3"/>
  <c r="P200" i="3"/>
  <c r="O200" i="3"/>
  <c r="N200" i="3"/>
  <c r="M200" i="3"/>
  <c r="L200" i="3"/>
  <c r="K200" i="3"/>
  <c r="J200" i="3"/>
  <c r="H200" i="3"/>
  <c r="G200" i="3"/>
  <c r="F200" i="3"/>
  <c r="E200" i="3"/>
  <c r="D200" i="3"/>
  <c r="C200" i="3"/>
  <c r="B200" i="3"/>
  <c r="A200" i="3"/>
  <c r="X199" i="3"/>
  <c r="W199" i="3"/>
  <c r="V199" i="3"/>
  <c r="U199" i="3"/>
  <c r="T199" i="3"/>
  <c r="S199" i="3"/>
  <c r="R199" i="3"/>
  <c r="Q199" i="3"/>
  <c r="P199" i="3"/>
  <c r="O199" i="3"/>
  <c r="N199" i="3"/>
  <c r="M199" i="3"/>
  <c r="L199" i="3"/>
  <c r="K199" i="3"/>
  <c r="J199" i="3"/>
  <c r="I199" i="3"/>
  <c r="H199" i="3"/>
  <c r="G199" i="3"/>
  <c r="F199" i="3"/>
  <c r="D199" i="3"/>
  <c r="C199" i="3"/>
  <c r="B199" i="3"/>
  <c r="A199" i="3"/>
  <c r="X198" i="3"/>
  <c r="W198" i="3"/>
  <c r="V198" i="3"/>
  <c r="U198" i="3"/>
  <c r="T198" i="3"/>
  <c r="S198" i="3"/>
  <c r="R198" i="3"/>
  <c r="Q198" i="3"/>
  <c r="P198" i="3"/>
  <c r="O198" i="3"/>
  <c r="N198" i="3"/>
  <c r="M198" i="3"/>
  <c r="L198" i="3"/>
  <c r="K198" i="3"/>
  <c r="J198" i="3"/>
  <c r="H198" i="3"/>
  <c r="G198" i="3"/>
  <c r="F198" i="3"/>
  <c r="E198" i="3"/>
  <c r="D198" i="3"/>
  <c r="C198" i="3"/>
  <c r="B198" i="3"/>
  <c r="A198" i="3"/>
  <c r="X197" i="3"/>
  <c r="W197" i="3"/>
  <c r="V197" i="3"/>
  <c r="U197" i="3"/>
  <c r="T197" i="3"/>
  <c r="S197" i="3"/>
  <c r="R197" i="3"/>
  <c r="Q197" i="3"/>
  <c r="P197" i="3"/>
  <c r="O197" i="3"/>
  <c r="N197" i="3"/>
  <c r="M197" i="3"/>
  <c r="L197" i="3"/>
  <c r="K197" i="3"/>
  <c r="J197" i="3"/>
  <c r="H197" i="3"/>
  <c r="G197" i="3"/>
  <c r="F197" i="3"/>
  <c r="C197" i="3"/>
  <c r="B197" i="3"/>
  <c r="A197" i="3"/>
  <c r="X196" i="3"/>
  <c r="W196" i="3"/>
  <c r="V196" i="3"/>
  <c r="U196" i="3"/>
  <c r="T196" i="3"/>
  <c r="S196" i="3"/>
  <c r="R196" i="3"/>
  <c r="Q196" i="3"/>
  <c r="P196" i="3"/>
  <c r="O196" i="3"/>
  <c r="N196" i="3"/>
  <c r="M196" i="3"/>
  <c r="L196" i="3"/>
  <c r="K196" i="3"/>
  <c r="J196" i="3"/>
  <c r="H196" i="3"/>
  <c r="G196" i="3"/>
  <c r="F196" i="3"/>
  <c r="C196" i="3"/>
  <c r="B196" i="3"/>
  <c r="A196" i="3"/>
  <c r="X195" i="3"/>
  <c r="W195" i="3"/>
  <c r="V195" i="3"/>
  <c r="U195" i="3"/>
  <c r="T195" i="3"/>
  <c r="S195" i="3"/>
  <c r="R195" i="3"/>
  <c r="Q195" i="3"/>
  <c r="P195" i="3"/>
  <c r="O195" i="3"/>
  <c r="N195" i="3"/>
  <c r="M195" i="3"/>
  <c r="L195" i="3"/>
  <c r="K195" i="3"/>
  <c r="J195" i="3"/>
  <c r="H195" i="3"/>
  <c r="F195" i="3"/>
  <c r="C195" i="3"/>
  <c r="B195" i="3"/>
  <c r="A195" i="3"/>
  <c r="X194" i="3"/>
  <c r="W194" i="3"/>
  <c r="U194" i="3"/>
  <c r="T194" i="3"/>
  <c r="S194" i="3"/>
  <c r="R194" i="3"/>
  <c r="Q194" i="3"/>
  <c r="P194" i="3"/>
  <c r="O194" i="3"/>
  <c r="N194" i="3"/>
  <c r="M194" i="3"/>
  <c r="L194" i="3"/>
  <c r="K194" i="3"/>
  <c r="J194" i="3"/>
  <c r="H194" i="3"/>
  <c r="G194" i="3"/>
  <c r="F194" i="3"/>
  <c r="D194" i="3"/>
  <c r="C194" i="3"/>
  <c r="B194" i="3"/>
  <c r="A194" i="3"/>
  <c r="X193" i="3"/>
  <c r="W193" i="3"/>
  <c r="V193" i="3"/>
  <c r="U193" i="3"/>
  <c r="T193" i="3"/>
  <c r="S193" i="3"/>
  <c r="R193" i="3"/>
  <c r="Q193" i="3"/>
  <c r="P193" i="3"/>
  <c r="O193" i="3"/>
  <c r="N193" i="3"/>
  <c r="M193" i="3"/>
  <c r="L193" i="3"/>
  <c r="K193" i="3"/>
  <c r="J193" i="3"/>
  <c r="I193" i="3"/>
  <c r="H193" i="3"/>
  <c r="G193" i="3"/>
  <c r="F193" i="3"/>
  <c r="D193" i="3"/>
  <c r="C193" i="3"/>
  <c r="B193" i="3"/>
  <c r="A193" i="3"/>
  <c r="X192" i="3"/>
  <c r="W192" i="3"/>
  <c r="V192" i="3"/>
  <c r="U192" i="3"/>
  <c r="T192" i="3"/>
  <c r="S192" i="3"/>
  <c r="R192" i="3"/>
  <c r="Q192" i="3"/>
  <c r="P192" i="3"/>
  <c r="O192" i="3"/>
  <c r="N192" i="3"/>
  <c r="M192" i="3"/>
  <c r="L192" i="3"/>
  <c r="K192" i="3"/>
  <c r="J192" i="3"/>
  <c r="I192" i="3"/>
  <c r="H192" i="3"/>
  <c r="G192" i="3"/>
  <c r="F192" i="3"/>
  <c r="E192" i="3"/>
  <c r="D192" i="3"/>
  <c r="C192" i="3"/>
  <c r="B192" i="3"/>
  <c r="A192" i="3"/>
  <c r="X191" i="3"/>
  <c r="W191" i="3"/>
  <c r="U191" i="3"/>
  <c r="T191" i="3"/>
  <c r="S191" i="3"/>
  <c r="R191" i="3"/>
  <c r="Q191" i="3"/>
  <c r="P191" i="3"/>
  <c r="O191" i="3"/>
  <c r="N191" i="3"/>
  <c r="M191" i="3"/>
  <c r="L191" i="3"/>
  <c r="K191" i="3"/>
  <c r="J191" i="3"/>
  <c r="H191" i="3"/>
  <c r="G191" i="3"/>
  <c r="F191" i="3"/>
  <c r="C191" i="3"/>
  <c r="B191" i="3"/>
  <c r="A191" i="3"/>
  <c r="X190" i="3"/>
  <c r="W190" i="3"/>
  <c r="U190" i="3"/>
  <c r="T190" i="3"/>
  <c r="S190" i="3"/>
  <c r="R190" i="3"/>
  <c r="Q190" i="3"/>
  <c r="P190" i="3"/>
  <c r="O190" i="3"/>
  <c r="N190" i="3"/>
  <c r="M190" i="3"/>
  <c r="L190" i="3"/>
  <c r="K190" i="3"/>
  <c r="J190" i="3"/>
  <c r="H190" i="3"/>
  <c r="G190" i="3"/>
  <c r="F190" i="3"/>
  <c r="D190" i="3"/>
  <c r="C190" i="3"/>
  <c r="B190" i="3"/>
  <c r="A190" i="3"/>
  <c r="X189" i="3"/>
  <c r="W189" i="3"/>
  <c r="V189" i="3"/>
  <c r="U189" i="3"/>
  <c r="T189" i="3"/>
  <c r="S189" i="3"/>
  <c r="R189" i="3"/>
  <c r="Q189" i="3"/>
  <c r="P189" i="3"/>
  <c r="O189" i="3"/>
  <c r="N189" i="3"/>
  <c r="M189" i="3"/>
  <c r="L189" i="3"/>
  <c r="K189" i="3"/>
  <c r="J189" i="3"/>
  <c r="H189" i="3"/>
  <c r="G189" i="3"/>
  <c r="F189" i="3"/>
  <c r="D189" i="3"/>
  <c r="C189" i="3"/>
  <c r="B189" i="3"/>
  <c r="A189" i="3"/>
  <c r="X188" i="3"/>
  <c r="W188" i="3"/>
  <c r="V188" i="3"/>
  <c r="U188" i="3"/>
  <c r="T188" i="3"/>
  <c r="S188" i="3"/>
  <c r="R188" i="3"/>
  <c r="Q188" i="3"/>
  <c r="P188" i="3"/>
  <c r="O188" i="3"/>
  <c r="N188" i="3"/>
  <c r="M188" i="3"/>
  <c r="L188" i="3"/>
  <c r="K188" i="3"/>
  <c r="J188" i="3"/>
  <c r="H188" i="3"/>
  <c r="F188" i="3"/>
  <c r="D188" i="3"/>
  <c r="C188" i="3"/>
  <c r="B188" i="3"/>
  <c r="A188" i="3"/>
  <c r="X187" i="3"/>
  <c r="W187" i="3"/>
  <c r="V187" i="3"/>
  <c r="U187" i="3"/>
  <c r="T187" i="3"/>
  <c r="S187" i="3"/>
  <c r="R187" i="3"/>
  <c r="Q187" i="3"/>
  <c r="P187" i="3"/>
  <c r="O187" i="3"/>
  <c r="N187" i="3"/>
  <c r="M187" i="3"/>
  <c r="L187" i="3"/>
  <c r="K187" i="3"/>
  <c r="J187" i="3"/>
  <c r="H187" i="3"/>
  <c r="G187" i="3"/>
  <c r="F187" i="3"/>
  <c r="D187" i="3"/>
  <c r="C187" i="3"/>
  <c r="B187" i="3"/>
  <c r="A187" i="3"/>
  <c r="X186" i="3"/>
  <c r="W186" i="3"/>
  <c r="V186" i="3"/>
  <c r="U186" i="3"/>
  <c r="T186" i="3"/>
  <c r="S186" i="3"/>
  <c r="R186" i="3"/>
  <c r="Q186" i="3"/>
  <c r="P186" i="3"/>
  <c r="O186" i="3"/>
  <c r="N186" i="3"/>
  <c r="M186" i="3"/>
  <c r="L186" i="3"/>
  <c r="K186" i="3"/>
  <c r="J186" i="3"/>
  <c r="H186" i="3"/>
  <c r="G186" i="3"/>
  <c r="F186" i="3"/>
  <c r="D186" i="3"/>
  <c r="C186" i="3"/>
  <c r="B186" i="3"/>
  <c r="A186" i="3"/>
  <c r="X185" i="3"/>
  <c r="W185" i="3"/>
  <c r="V185" i="3"/>
  <c r="U185" i="3"/>
  <c r="T185" i="3"/>
  <c r="S185" i="3"/>
  <c r="R185" i="3"/>
  <c r="Q185" i="3"/>
  <c r="P185" i="3"/>
  <c r="O185" i="3"/>
  <c r="N185" i="3"/>
  <c r="M185" i="3"/>
  <c r="L185" i="3"/>
  <c r="K185" i="3"/>
  <c r="J185" i="3"/>
  <c r="H185" i="3"/>
  <c r="G185" i="3"/>
  <c r="F185" i="3"/>
  <c r="E185" i="3"/>
  <c r="D185" i="3"/>
  <c r="C185" i="3"/>
  <c r="B185" i="3"/>
  <c r="A185" i="3"/>
  <c r="X184" i="3"/>
  <c r="W184" i="3"/>
  <c r="V184" i="3"/>
  <c r="U184" i="3"/>
  <c r="T184" i="3"/>
  <c r="S184" i="3"/>
  <c r="R184" i="3"/>
  <c r="Q184" i="3"/>
  <c r="P184" i="3"/>
  <c r="O184" i="3"/>
  <c r="N184" i="3"/>
  <c r="M184" i="3"/>
  <c r="L184" i="3"/>
  <c r="K184" i="3"/>
  <c r="J184" i="3"/>
  <c r="H184" i="3"/>
  <c r="G184" i="3"/>
  <c r="F184" i="3"/>
  <c r="D184" i="3"/>
  <c r="C184" i="3"/>
  <c r="B184" i="3"/>
  <c r="A184" i="3"/>
  <c r="X183" i="3"/>
  <c r="W183" i="3"/>
  <c r="V183" i="3"/>
  <c r="U183" i="3"/>
  <c r="T183" i="3"/>
  <c r="S183" i="3"/>
  <c r="R183" i="3"/>
  <c r="Q183" i="3"/>
  <c r="P183" i="3"/>
  <c r="O183" i="3"/>
  <c r="N183" i="3"/>
  <c r="M183" i="3"/>
  <c r="L183" i="3"/>
  <c r="K183" i="3"/>
  <c r="J183" i="3"/>
  <c r="H183" i="3"/>
  <c r="G183" i="3"/>
  <c r="F183" i="3"/>
  <c r="E183" i="3"/>
  <c r="D183" i="3"/>
  <c r="C183" i="3"/>
  <c r="B183" i="3"/>
  <c r="A183" i="3"/>
  <c r="X182" i="3"/>
  <c r="W182" i="3"/>
  <c r="V182" i="3"/>
  <c r="U182" i="3"/>
  <c r="T182" i="3"/>
  <c r="S182" i="3"/>
  <c r="R182" i="3"/>
  <c r="Q182" i="3"/>
  <c r="P182" i="3"/>
  <c r="O182" i="3"/>
  <c r="N182" i="3"/>
  <c r="M182" i="3"/>
  <c r="L182" i="3"/>
  <c r="K182" i="3"/>
  <c r="J182" i="3"/>
  <c r="I182" i="3"/>
  <c r="H182" i="3"/>
  <c r="G182" i="3"/>
  <c r="F182" i="3"/>
  <c r="D182" i="3"/>
  <c r="C182" i="3"/>
  <c r="B182" i="3"/>
  <c r="A182" i="3"/>
  <c r="X181" i="3"/>
  <c r="W181" i="3"/>
  <c r="V181" i="3"/>
  <c r="U181" i="3"/>
  <c r="T181" i="3"/>
  <c r="S181" i="3"/>
  <c r="R181" i="3"/>
  <c r="Q181" i="3"/>
  <c r="P181" i="3"/>
  <c r="O181" i="3"/>
  <c r="N181" i="3"/>
  <c r="M181" i="3"/>
  <c r="L181" i="3"/>
  <c r="K181" i="3"/>
  <c r="J181" i="3"/>
  <c r="H181" i="3"/>
  <c r="G181" i="3"/>
  <c r="F181" i="3"/>
  <c r="D181" i="3"/>
  <c r="C181" i="3"/>
  <c r="B181" i="3"/>
  <c r="A181" i="3"/>
  <c r="X180" i="3"/>
  <c r="W180" i="3"/>
  <c r="V180" i="3"/>
  <c r="U180" i="3"/>
  <c r="T180" i="3"/>
  <c r="S180" i="3"/>
  <c r="R180" i="3"/>
  <c r="Q180" i="3"/>
  <c r="P180" i="3"/>
  <c r="O180" i="3"/>
  <c r="N180" i="3"/>
  <c r="M180" i="3"/>
  <c r="L180" i="3"/>
  <c r="K180" i="3"/>
  <c r="J180" i="3"/>
  <c r="H180" i="3"/>
  <c r="G180" i="3"/>
  <c r="F180" i="3"/>
  <c r="D180" i="3"/>
  <c r="C180" i="3"/>
  <c r="B180" i="3"/>
  <c r="A180" i="3"/>
  <c r="X179" i="3"/>
  <c r="W179" i="3"/>
  <c r="U179" i="3"/>
  <c r="T179" i="3"/>
  <c r="S179" i="3"/>
  <c r="R179" i="3"/>
  <c r="Q179" i="3"/>
  <c r="P179" i="3"/>
  <c r="O179" i="3"/>
  <c r="N179" i="3"/>
  <c r="M179" i="3"/>
  <c r="L179" i="3"/>
  <c r="K179" i="3"/>
  <c r="J179" i="3"/>
  <c r="H179" i="3"/>
  <c r="G179" i="3"/>
  <c r="F179" i="3"/>
  <c r="D179" i="3"/>
  <c r="C179" i="3"/>
  <c r="B179" i="3"/>
  <c r="A179" i="3"/>
  <c r="X178" i="3"/>
  <c r="W178" i="3"/>
  <c r="V178" i="3"/>
  <c r="U178" i="3"/>
  <c r="T178" i="3"/>
  <c r="S178" i="3"/>
  <c r="R178" i="3"/>
  <c r="Q178" i="3"/>
  <c r="P178" i="3"/>
  <c r="O178" i="3"/>
  <c r="N178" i="3"/>
  <c r="M178" i="3"/>
  <c r="L178" i="3"/>
  <c r="K178" i="3"/>
  <c r="J178" i="3"/>
  <c r="H178" i="3"/>
  <c r="G178" i="3"/>
  <c r="F178" i="3"/>
  <c r="D178" i="3"/>
  <c r="C178" i="3"/>
  <c r="B178" i="3"/>
  <c r="A178" i="3"/>
  <c r="X177" i="3"/>
  <c r="W177" i="3"/>
  <c r="U177" i="3"/>
  <c r="T177" i="3"/>
  <c r="S177" i="3"/>
  <c r="R177" i="3"/>
  <c r="Q177" i="3"/>
  <c r="P177" i="3"/>
  <c r="O177" i="3"/>
  <c r="N177" i="3"/>
  <c r="M177" i="3"/>
  <c r="L177" i="3"/>
  <c r="K177" i="3"/>
  <c r="J177" i="3"/>
  <c r="I177" i="3"/>
  <c r="H177" i="3"/>
  <c r="G177" i="3"/>
  <c r="F177" i="3"/>
  <c r="E177" i="3"/>
  <c r="D177" i="3"/>
  <c r="C177" i="3"/>
  <c r="B177" i="3"/>
  <c r="A177" i="3"/>
  <c r="X176" i="3"/>
  <c r="W176" i="3"/>
  <c r="V176" i="3"/>
  <c r="U176" i="3"/>
  <c r="T176" i="3"/>
  <c r="S176" i="3"/>
  <c r="R176" i="3"/>
  <c r="Q176" i="3"/>
  <c r="P176" i="3"/>
  <c r="O176" i="3"/>
  <c r="N176" i="3"/>
  <c r="M176" i="3"/>
  <c r="L176" i="3"/>
  <c r="K176" i="3"/>
  <c r="J176" i="3"/>
  <c r="H176" i="3"/>
  <c r="G176" i="3"/>
  <c r="F176" i="3"/>
  <c r="D176" i="3"/>
  <c r="C176" i="3"/>
  <c r="B176" i="3"/>
  <c r="A176" i="3"/>
  <c r="X175" i="3"/>
  <c r="W175" i="3"/>
  <c r="V175" i="3"/>
  <c r="U175" i="3"/>
  <c r="T175" i="3"/>
  <c r="S175" i="3"/>
  <c r="R175" i="3"/>
  <c r="Q175" i="3"/>
  <c r="P175" i="3"/>
  <c r="O175" i="3"/>
  <c r="N175" i="3"/>
  <c r="M175" i="3"/>
  <c r="L175" i="3"/>
  <c r="K175" i="3"/>
  <c r="J175" i="3"/>
  <c r="H175" i="3"/>
  <c r="G175" i="3"/>
  <c r="F175" i="3"/>
  <c r="D175" i="3"/>
  <c r="C175" i="3"/>
  <c r="B175" i="3"/>
  <c r="A175" i="3"/>
  <c r="X174" i="3"/>
  <c r="W174" i="3"/>
  <c r="V174" i="3"/>
  <c r="U174" i="3"/>
  <c r="T174" i="3"/>
  <c r="S174" i="3"/>
  <c r="R174" i="3"/>
  <c r="Q174" i="3"/>
  <c r="P174" i="3"/>
  <c r="O174" i="3"/>
  <c r="N174" i="3"/>
  <c r="M174" i="3"/>
  <c r="L174" i="3"/>
  <c r="K174" i="3"/>
  <c r="J174" i="3"/>
  <c r="H174" i="3"/>
  <c r="G174" i="3"/>
  <c r="F174" i="3"/>
  <c r="D174" i="3"/>
  <c r="C174" i="3"/>
  <c r="B174" i="3"/>
  <c r="A174" i="3"/>
  <c r="X173" i="3"/>
  <c r="W173" i="3"/>
  <c r="V173" i="3"/>
  <c r="U173" i="3"/>
  <c r="T173" i="3"/>
  <c r="S173" i="3"/>
  <c r="R173" i="3"/>
  <c r="Q173" i="3"/>
  <c r="P173" i="3"/>
  <c r="O173" i="3"/>
  <c r="N173" i="3"/>
  <c r="M173" i="3"/>
  <c r="L173" i="3"/>
  <c r="K173" i="3"/>
  <c r="J173" i="3"/>
  <c r="H173" i="3"/>
  <c r="G173" i="3"/>
  <c r="F173" i="3"/>
  <c r="D173" i="3"/>
  <c r="C173" i="3"/>
  <c r="B173" i="3"/>
  <c r="A173" i="3"/>
  <c r="X172" i="3"/>
  <c r="W172" i="3"/>
  <c r="V172" i="3"/>
  <c r="U172" i="3"/>
  <c r="T172" i="3"/>
  <c r="S172" i="3"/>
  <c r="R172" i="3"/>
  <c r="Q172" i="3"/>
  <c r="P172" i="3"/>
  <c r="O172" i="3"/>
  <c r="N172" i="3"/>
  <c r="M172" i="3"/>
  <c r="L172" i="3"/>
  <c r="K172" i="3"/>
  <c r="J172" i="3"/>
  <c r="I172" i="3"/>
  <c r="H172" i="3"/>
  <c r="G172" i="3"/>
  <c r="F172" i="3"/>
  <c r="E172" i="3"/>
  <c r="D172" i="3"/>
  <c r="C172" i="3"/>
  <c r="B172" i="3"/>
  <c r="A172" i="3"/>
  <c r="X171" i="3"/>
  <c r="W171" i="3"/>
  <c r="V171" i="3"/>
  <c r="U171" i="3"/>
  <c r="T171" i="3"/>
  <c r="S171" i="3"/>
  <c r="R171" i="3"/>
  <c r="Q171" i="3"/>
  <c r="P171" i="3"/>
  <c r="O171" i="3"/>
  <c r="N171" i="3"/>
  <c r="M171" i="3"/>
  <c r="L171" i="3"/>
  <c r="K171" i="3"/>
  <c r="J171" i="3"/>
  <c r="H171" i="3"/>
  <c r="G171" i="3"/>
  <c r="F171" i="3"/>
  <c r="D171" i="3"/>
  <c r="C171" i="3"/>
  <c r="B171" i="3"/>
  <c r="A171" i="3"/>
  <c r="X170" i="3"/>
  <c r="W170" i="3"/>
  <c r="V170" i="3"/>
  <c r="U170" i="3"/>
  <c r="T170" i="3"/>
  <c r="S170" i="3"/>
  <c r="R170" i="3"/>
  <c r="Q170" i="3"/>
  <c r="P170" i="3"/>
  <c r="O170" i="3"/>
  <c r="N170" i="3"/>
  <c r="M170" i="3"/>
  <c r="L170" i="3"/>
  <c r="K170" i="3"/>
  <c r="J170" i="3"/>
  <c r="H170" i="3"/>
  <c r="G170" i="3"/>
  <c r="F170" i="3"/>
  <c r="D170" i="3"/>
  <c r="C170" i="3"/>
  <c r="B170" i="3"/>
  <c r="A170" i="3"/>
  <c r="X169" i="3"/>
  <c r="W169" i="3"/>
  <c r="U169" i="3"/>
  <c r="T169" i="3"/>
  <c r="S169" i="3"/>
  <c r="R169" i="3"/>
  <c r="Q169" i="3"/>
  <c r="P169" i="3"/>
  <c r="O169" i="3"/>
  <c r="N169" i="3"/>
  <c r="M169" i="3"/>
  <c r="L169" i="3"/>
  <c r="K169" i="3"/>
  <c r="J169" i="3"/>
  <c r="H169" i="3"/>
  <c r="G169" i="3"/>
  <c r="F169" i="3"/>
  <c r="D169" i="3"/>
  <c r="C169" i="3"/>
  <c r="B169" i="3"/>
  <c r="A169" i="3"/>
  <c r="X168" i="3"/>
  <c r="W168" i="3"/>
  <c r="U168" i="3"/>
  <c r="T168" i="3"/>
  <c r="S168" i="3"/>
  <c r="R168" i="3"/>
  <c r="Q168" i="3"/>
  <c r="P168" i="3"/>
  <c r="O168" i="3"/>
  <c r="N168" i="3"/>
  <c r="M168" i="3"/>
  <c r="L168" i="3"/>
  <c r="K168" i="3"/>
  <c r="J168" i="3"/>
  <c r="H168" i="3"/>
  <c r="G168" i="3"/>
  <c r="F168" i="3"/>
  <c r="D168" i="3"/>
  <c r="C168" i="3"/>
  <c r="B168" i="3"/>
  <c r="A168" i="3"/>
  <c r="X167" i="3"/>
  <c r="W167" i="3"/>
  <c r="V167" i="3"/>
  <c r="U167" i="3"/>
  <c r="T167" i="3"/>
  <c r="S167" i="3"/>
  <c r="R167" i="3"/>
  <c r="Q167" i="3"/>
  <c r="P167" i="3"/>
  <c r="O167" i="3"/>
  <c r="N167" i="3"/>
  <c r="M167" i="3"/>
  <c r="L167" i="3"/>
  <c r="K167" i="3"/>
  <c r="J167" i="3"/>
  <c r="I167" i="3"/>
  <c r="H167" i="3"/>
  <c r="G167" i="3"/>
  <c r="F167" i="3"/>
  <c r="E167" i="3"/>
  <c r="D167" i="3"/>
  <c r="C167" i="3"/>
  <c r="B167" i="3"/>
  <c r="A167" i="3"/>
  <c r="X166" i="3"/>
  <c r="W166" i="3"/>
  <c r="V166" i="3"/>
  <c r="U166" i="3"/>
  <c r="T166" i="3"/>
  <c r="S166" i="3"/>
  <c r="R166" i="3"/>
  <c r="Q166" i="3"/>
  <c r="P166" i="3"/>
  <c r="O166" i="3"/>
  <c r="N166" i="3"/>
  <c r="M166" i="3"/>
  <c r="L166" i="3"/>
  <c r="K166" i="3"/>
  <c r="J166" i="3"/>
  <c r="H166" i="3"/>
  <c r="G166" i="3"/>
  <c r="F166" i="3"/>
  <c r="D166" i="3"/>
  <c r="C166" i="3"/>
  <c r="B166" i="3"/>
  <c r="A166" i="3"/>
  <c r="X165" i="3"/>
  <c r="W165" i="3"/>
  <c r="V165" i="3"/>
  <c r="U165" i="3"/>
  <c r="T165" i="3"/>
  <c r="S165" i="3"/>
  <c r="R165" i="3"/>
  <c r="Q165" i="3"/>
  <c r="P165" i="3"/>
  <c r="O165" i="3"/>
  <c r="N165" i="3"/>
  <c r="M165" i="3"/>
  <c r="L165" i="3"/>
  <c r="K165" i="3"/>
  <c r="J165" i="3"/>
  <c r="H165" i="3"/>
  <c r="G165" i="3"/>
  <c r="F165" i="3"/>
  <c r="D165" i="3"/>
  <c r="C165" i="3"/>
  <c r="B165" i="3"/>
  <c r="A165" i="3"/>
  <c r="X164" i="3"/>
  <c r="W164" i="3"/>
  <c r="U164" i="3"/>
  <c r="T164" i="3"/>
  <c r="R164" i="3"/>
  <c r="Q164" i="3"/>
  <c r="P164" i="3"/>
  <c r="O164" i="3"/>
  <c r="N164" i="3"/>
  <c r="M164" i="3"/>
  <c r="L164" i="3"/>
  <c r="K164" i="3"/>
  <c r="J164" i="3"/>
  <c r="H164" i="3"/>
  <c r="G164" i="3"/>
  <c r="F164" i="3"/>
  <c r="E164" i="3"/>
  <c r="D164" i="3"/>
  <c r="C164" i="3"/>
  <c r="B164" i="3"/>
  <c r="A164" i="3"/>
  <c r="X163" i="3"/>
  <c r="W163" i="3"/>
  <c r="V163" i="3"/>
  <c r="U163" i="3"/>
  <c r="T163" i="3"/>
  <c r="S163" i="3"/>
  <c r="R163" i="3"/>
  <c r="Q163" i="3"/>
  <c r="P163" i="3"/>
  <c r="O163" i="3"/>
  <c r="N163" i="3"/>
  <c r="M163" i="3"/>
  <c r="L163" i="3"/>
  <c r="K163" i="3"/>
  <c r="J163" i="3"/>
  <c r="H163" i="3"/>
  <c r="G163" i="3"/>
  <c r="F163" i="3"/>
  <c r="E163" i="3"/>
  <c r="D163" i="3"/>
  <c r="C163" i="3"/>
  <c r="B163" i="3"/>
  <c r="A163" i="3"/>
  <c r="X162" i="3"/>
  <c r="W162" i="3"/>
  <c r="V162" i="3"/>
  <c r="U162" i="3"/>
  <c r="T162" i="3"/>
  <c r="S162" i="3"/>
  <c r="R162" i="3"/>
  <c r="Q162" i="3"/>
  <c r="P162" i="3"/>
  <c r="O162" i="3"/>
  <c r="N162" i="3"/>
  <c r="M162" i="3"/>
  <c r="L162" i="3"/>
  <c r="K162" i="3"/>
  <c r="J162" i="3"/>
  <c r="I162" i="3"/>
  <c r="H162" i="3"/>
  <c r="G162" i="3"/>
  <c r="F162" i="3"/>
  <c r="D162" i="3"/>
  <c r="C162" i="3"/>
  <c r="B162" i="3"/>
  <c r="A162" i="3"/>
  <c r="X161" i="3"/>
  <c r="W161" i="3"/>
  <c r="V161" i="3"/>
  <c r="U161" i="3"/>
  <c r="T161" i="3"/>
  <c r="S161" i="3"/>
  <c r="R161" i="3"/>
  <c r="Q161" i="3"/>
  <c r="P161" i="3"/>
  <c r="O161" i="3"/>
  <c r="N161" i="3"/>
  <c r="M161" i="3"/>
  <c r="L161" i="3"/>
  <c r="K161" i="3"/>
  <c r="J161" i="3"/>
  <c r="H161" i="3"/>
  <c r="G161" i="3"/>
  <c r="F161" i="3"/>
  <c r="E161" i="3"/>
  <c r="D161" i="3"/>
  <c r="C161" i="3"/>
  <c r="B161" i="3"/>
  <c r="A161" i="3"/>
  <c r="X160" i="3"/>
  <c r="W160" i="3"/>
  <c r="V160" i="3"/>
  <c r="U160" i="3"/>
  <c r="T160" i="3"/>
  <c r="S160" i="3"/>
  <c r="R160" i="3"/>
  <c r="Q160" i="3"/>
  <c r="P160" i="3"/>
  <c r="O160" i="3"/>
  <c r="N160" i="3"/>
  <c r="M160" i="3"/>
  <c r="L160" i="3"/>
  <c r="K160" i="3"/>
  <c r="J160" i="3"/>
  <c r="H160" i="3"/>
  <c r="G160" i="3"/>
  <c r="F160" i="3"/>
  <c r="D160" i="3"/>
  <c r="C160" i="3"/>
  <c r="B160" i="3"/>
  <c r="A160" i="3"/>
  <c r="X159" i="3"/>
  <c r="W159" i="3"/>
  <c r="V159" i="3"/>
  <c r="U159" i="3"/>
  <c r="T159" i="3"/>
  <c r="S159" i="3"/>
  <c r="R159" i="3"/>
  <c r="Q159" i="3"/>
  <c r="P159" i="3"/>
  <c r="O159" i="3"/>
  <c r="N159" i="3"/>
  <c r="M159" i="3"/>
  <c r="L159" i="3"/>
  <c r="K159" i="3"/>
  <c r="J159" i="3"/>
  <c r="I159" i="3"/>
  <c r="H159" i="3"/>
  <c r="G159" i="3"/>
  <c r="F159" i="3"/>
  <c r="D159" i="3"/>
  <c r="C159" i="3"/>
  <c r="B159" i="3"/>
  <c r="A159" i="3"/>
  <c r="X158" i="3"/>
  <c r="W158" i="3"/>
  <c r="V158" i="3"/>
  <c r="U158" i="3"/>
  <c r="T158" i="3"/>
  <c r="S158" i="3"/>
  <c r="R158" i="3"/>
  <c r="Q158" i="3"/>
  <c r="P158" i="3"/>
  <c r="O158" i="3"/>
  <c r="N158" i="3"/>
  <c r="M158" i="3"/>
  <c r="L158" i="3"/>
  <c r="K158" i="3"/>
  <c r="J158" i="3"/>
  <c r="H158" i="3"/>
  <c r="G158" i="3"/>
  <c r="F158" i="3"/>
  <c r="E158" i="3"/>
  <c r="D158" i="3"/>
  <c r="C158" i="3"/>
  <c r="B158" i="3"/>
  <c r="A158" i="3"/>
  <c r="X157" i="3"/>
  <c r="W157" i="3"/>
  <c r="V157" i="3"/>
  <c r="U157" i="3"/>
  <c r="T157" i="3"/>
  <c r="S157" i="3"/>
  <c r="R157" i="3"/>
  <c r="Q157" i="3"/>
  <c r="P157" i="3"/>
  <c r="O157" i="3"/>
  <c r="N157" i="3"/>
  <c r="M157" i="3"/>
  <c r="L157" i="3"/>
  <c r="K157" i="3"/>
  <c r="J157" i="3"/>
  <c r="H157" i="3"/>
  <c r="G157" i="3"/>
  <c r="F157" i="3"/>
  <c r="D157" i="3"/>
  <c r="C157" i="3"/>
  <c r="B157" i="3"/>
  <c r="A157" i="3"/>
  <c r="X156" i="3"/>
  <c r="W156" i="3"/>
  <c r="V156" i="3"/>
  <c r="U156" i="3"/>
  <c r="T156" i="3"/>
  <c r="S156" i="3"/>
  <c r="R156" i="3"/>
  <c r="Q156" i="3"/>
  <c r="P156" i="3"/>
  <c r="O156" i="3"/>
  <c r="N156" i="3"/>
  <c r="M156" i="3"/>
  <c r="L156" i="3"/>
  <c r="K156" i="3"/>
  <c r="J156" i="3"/>
  <c r="H156" i="3"/>
  <c r="G156" i="3"/>
  <c r="F156" i="3"/>
  <c r="D156" i="3"/>
  <c r="C156" i="3"/>
  <c r="B156" i="3"/>
  <c r="A156" i="3"/>
  <c r="X155" i="3"/>
  <c r="W155" i="3"/>
  <c r="V155" i="3"/>
  <c r="U155" i="3"/>
  <c r="T155" i="3"/>
  <c r="S155" i="3"/>
  <c r="R155" i="3"/>
  <c r="Q155" i="3"/>
  <c r="P155" i="3"/>
  <c r="O155" i="3"/>
  <c r="N155" i="3"/>
  <c r="M155" i="3"/>
  <c r="L155" i="3"/>
  <c r="K155" i="3"/>
  <c r="J155" i="3"/>
  <c r="H155" i="3"/>
  <c r="G155" i="3"/>
  <c r="F155" i="3"/>
  <c r="E155" i="3"/>
  <c r="D155" i="3"/>
  <c r="C155" i="3"/>
  <c r="B155" i="3"/>
  <c r="A155" i="3"/>
  <c r="X154" i="3"/>
  <c r="W154" i="3"/>
  <c r="U154" i="3"/>
  <c r="T154" i="3"/>
  <c r="S154" i="3"/>
  <c r="R154" i="3"/>
  <c r="Q154" i="3"/>
  <c r="P154" i="3"/>
  <c r="O154" i="3"/>
  <c r="N154" i="3"/>
  <c r="M154" i="3"/>
  <c r="L154" i="3"/>
  <c r="K154" i="3"/>
  <c r="J154" i="3"/>
  <c r="H154" i="3"/>
  <c r="G154" i="3"/>
  <c r="F154" i="3"/>
  <c r="E154" i="3"/>
  <c r="D154" i="3"/>
  <c r="C154" i="3"/>
  <c r="B154" i="3"/>
  <c r="A154" i="3"/>
  <c r="X153" i="3"/>
  <c r="W153" i="3"/>
  <c r="V153" i="3"/>
  <c r="U153" i="3"/>
  <c r="T153" i="3"/>
  <c r="S153" i="3"/>
  <c r="R153" i="3"/>
  <c r="Q153" i="3"/>
  <c r="P153" i="3"/>
  <c r="O153" i="3"/>
  <c r="N153" i="3"/>
  <c r="M153" i="3"/>
  <c r="L153" i="3"/>
  <c r="K153" i="3"/>
  <c r="J153" i="3"/>
  <c r="H153" i="3"/>
  <c r="G153" i="3"/>
  <c r="F153" i="3"/>
  <c r="E153" i="3"/>
  <c r="D153" i="3"/>
  <c r="C153" i="3"/>
  <c r="B153" i="3"/>
  <c r="A153" i="3"/>
  <c r="X152" i="3"/>
  <c r="W152" i="3"/>
  <c r="U152" i="3"/>
  <c r="T152" i="3"/>
  <c r="R152" i="3"/>
  <c r="Q152" i="3"/>
  <c r="P152" i="3"/>
  <c r="O152" i="3"/>
  <c r="N152" i="3"/>
  <c r="M152" i="3"/>
  <c r="L152" i="3"/>
  <c r="K152" i="3"/>
  <c r="J152" i="3"/>
  <c r="H152" i="3"/>
  <c r="G152" i="3"/>
  <c r="F152" i="3"/>
  <c r="E152" i="3"/>
  <c r="D152" i="3"/>
  <c r="C152" i="3"/>
  <c r="B152" i="3"/>
  <c r="A152" i="3"/>
  <c r="X151" i="3"/>
  <c r="W151" i="3"/>
  <c r="V151" i="3"/>
  <c r="U151" i="3"/>
  <c r="T151" i="3"/>
  <c r="S151" i="3"/>
  <c r="R151" i="3"/>
  <c r="Q151" i="3"/>
  <c r="P151" i="3"/>
  <c r="O151" i="3"/>
  <c r="N151" i="3"/>
  <c r="M151" i="3"/>
  <c r="L151" i="3"/>
  <c r="K151" i="3"/>
  <c r="J151" i="3"/>
  <c r="H151" i="3"/>
  <c r="G151" i="3"/>
  <c r="F151" i="3"/>
  <c r="E151" i="3"/>
  <c r="D151" i="3"/>
  <c r="C151" i="3"/>
  <c r="B151" i="3"/>
  <c r="A151" i="3"/>
  <c r="X150" i="3"/>
  <c r="W150" i="3"/>
  <c r="V150" i="3"/>
  <c r="U150" i="3"/>
  <c r="T150" i="3"/>
  <c r="S150" i="3"/>
  <c r="R150" i="3"/>
  <c r="Q150" i="3"/>
  <c r="P150" i="3"/>
  <c r="O150" i="3"/>
  <c r="N150" i="3"/>
  <c r="M150" i="3"/>
  <c r="L150" i="3"/>
  <c r="K150" i="3"/>
  <c r="J150" i="3"/>
  <c r="H150" i="3"/>
  <c r="G150" i="3"/>
  <c r="F150" i="3"/>
  <c r="E150" i="3"/>
  <c r="D150" i="3"/>
  <c r="C150" i="3"/>
  <c r="B150" i="3"/>
  <c r="A150" i="3"/>
  <c r="X149" i="3"/>
  <c r="W149" i="3"/>
  <c r="V149" i="3"/>
  <c r="U149" i="3"/>
  <c r="T149" i="3"/>
  <c r="S149" i="3"/>
  <c r="R149" i="3"/>
  <c r="Q149" i="3"/>
  <c r="P149" i="3"/>
  <c r="O149" i="3"/>
  <c r="N149" i="3"/>
  <c r="M149" i="3"/>
  <c r="L149" i="3"/>
  <c r="K149" i="3"/>
  <c r="J149" i="3"/>
  <c r="H149" i="3"/>
  <c r="G149" i="3"/>
  <c r="F149" i="3"/>
  <c r="E149" i="3"/>
  <c r="D149" i="3"/>
  <c r="C149" i="3"/>
  <c r="B149" i="3"/>
  <c r="A149" i="3"/>
  <c r="X148" i="3"/>
  <c r="W148" i="3"/>
  <c r="V148" i="3"/>
  <c r="U148" i="3"/>
  <c r="T148" i="3"/>
  <c r="S148" i="3"/>
  <c r="R148" i="3"/>
  <c r="Q148" i="3"/>
  <c r="P148" i="3"/>
  <c r="O148" i="3"/>
  <c r="N148" i="3"/>
  <c r="M148" i="3"/>
  <c r="L148" i="3"/>
  <c r="K148" i="3"/>
  <c r="J148" i="3"/>
  <c r="H148" i="3"/>
  <c r="G148" i="3"/>
  <c r="F148" i="3"/>
  <c r="E148" i="3"/>
  <c r="D148" i="3"/>
  <c r="C148" i="3"/>
  <c r="B148" i="3"/>
  <c r="A148" i="3"/>
  <c r="X147" i="3"/>
  <c r="W147" i="3"/>
  <c r="V147" i="3"/>
  <c r="U147" i="3"/>
  <c r="T147" i="3"/>
  <c r="S147" i="3"/>
  <c r="R147" i="3"/>
  <c r="Q147" i="3"/>
  <c r="P147" i="3"/>
  <c r="O147" i="3"/>
  <c r="N147" i="3"/>
  <c r="M147" i="3"/>
  <c r="L147" i="3"/>
  <c r="K147" i="3"/>
  <c r="J147" i="3"/>
  <c r="H147" i="3"/>
  <c r="G147" i="3"/>
  <c r="F147" i="3"/>
  <c r="E147" i="3"/>
  <c r="D147" i="3"/>
  <c r="C147" i="3"/>
  <c r="B147" i="3"/>
  <c r="A147" i="3"/>
  <c r="X146" i="3"/>
  <c r="W146" i="3"/>
  <c r="V146" i="3"/>
  <c r="U146" i="3"/>
  <c r="T146" i="3"/>
  <c r="S146" i="3"/>
  <c r="R146" i="3"/>
  <c r="Q146" i="3"/>
  <c r="P146" i="3"/>
  <c r="O146" i="3"/>
  <c r="N146" i="3"/>
  <c r="M146" i="3"/>
  <c r="L146" i="3"/>
  <c r="K146" i="3"/>
  <c r="J146" i="3"/>
  <c r="H146" i="3"/>
  <c r="G146" i="3"/>
  <c r="F146" i="3"/>
  <c r="E146" i="3"/>
  <c r="D146" i="3"/>
  <c r="C146" i="3"/>
  <c r="B146" i="3"/>
  <c r="A146" i="3"/>
  <c r="X145" i="3"/>
  <c r="W145" i="3"/>
  <c r="V145" i="3"/>
  <c r="U145" i="3"/>
  <c r="T145" i="3"/>
  <c r="S145" i="3"/>
  <c r="R145" i="3"/>
  <c r="Q145" i="3"/>
  <c r="P145" i="3"/>
  <c r="O145" i="3"/>
  <c r="N145" i="3"/>
  <c r="M145" i="3"/>
  <c r="L145" i="3"/>
  <c r="K145" i="3"/>
  <c r="J145" i="3"/>
  <c r="H145" i="3"/>
  <c r="G145" i="3"/>
  <c r="F145" i="3"/>
  <c r="E145" i="3"/>
  <c r="D145" i="3"/>
  <c r="C145" i="3"/>
  <c r="B145" i="3"/>
  <c r="A145" i="3"/>
  <c r="X144" i="3"/>
  <c r="W144" i="3"/>
  <c r="V144" i="3"/>
  <c r="U144" i="3"/>
  <c r="T144" i="3"/>
  <c r="S144" i="3"/>
  <c r="R144" i="3"/>
  <c r="Q144" i="3"/>
  <c r="P144" i="3"/>
  <c r="O144" i="3"/>
  <c r="N144" i="3"/>
  <c r="M144" i="3"/>
  <c r="L144" i="3"/>
  <c r="K144" i="3"/>
  <c r="J144" i="3"/>
  <c r="I144" i="3"/>
  <c r="H144" i="3"/>
  <c r="G144" i="3"/>
  <c r="F144" i="3"/>
  <c r="E144" i="3"/>
  <c r="D144" i="3"/>
  <c r="C144" i="3"/>
  <c r="B144" i="3"/>
  <c r="A144" i="3"/>
  <c r="X143" i="3"/>
  <c r="W143" i="3"/>
  <c r="U143" i="3"/>
  <c r="T143" i="3"/>
  <c r="S143" i="3"/>
  <c r="R143" i="3"/>
  <c r="Q143" i="3"/>
  <c r="P143" i="3"/>
  <c r="O143" i="3"/>
  <c r="N143" i="3"/>
  <c r="M143" i="3"/>
  <c r="L143" i="3"/>
  <c r="K143" i="3"/>
  <c r="J143" i="3"/>
  <c r="H143" i="3"/>
  <c r="G143" i="3"/>
  <c r="F143" i="3"/>
  <c r="E143" i="3"/>
  <c r="D143" i="3"/>
  <c r="C143" i="3"/>
  <c r="B143" i="3"/>
  <c r="A143" i="3"/>
  <c r="X142" i="3"/>
  <c r="W142" i="3"/>
  <c r="V142" i="3"/>
  <c r="U142" i="3"/>
  <c r="T142" i="3"/>
  <c r="S142" i="3"/>
  <c r="R142" i="3"/>
  <c r="Q142" i="3"/>
  <c r="P142" i="3"/>
  <c r="O142" i="3"/>
  <c r="N142" i="3"/>
  <c r="M142" i="3"/>
  <c r="L142" i="3"/>
  <c r="K142" i="3"/>
  <c r="J142" i="3"/>
  <c r="H142" i="3"/>
  <c r="G142" i="3"/>
  <c r="F142" i="3"/>
  <c r="E142" i="3"/>
  <c r="D142" i="3"/>
  <c r="C142" i="3"/>
  <c r="B142" i="3"/>
  <c r="A142" i="3"/>
  <c r="X141" i="3"/>
  <c r="W141" i="3"/>
  <c r="V141" i="3"/>
  <c r="U141" i="3"/>
  <c r="T141" i="3"/>
  <c r="S141" i="3"/>
  <c r="R141" i="3"/>
  <c r="Q141" i="3"/>
  <c r="P141" i="3"/>
  <c r="O141" i="3"/>
  <c r="N141" i="3"/>
  <c r="M141" i="3"/>
  <c r="L141" i="3"/>
  <c r="K141" i="3"/>
  <c r="J141" i="3"/>
  <c r="H141" i="3"/>
  <c r="G141" i="3"/>
  <c r="F141" i="3"/>
  <c r="E141" i="3"/>
  <c r="D141" i="3"/>
  <c r="C141" i="3"/>
  <c r="B141" i="3"/>
  <c r="A141" i="3"/>
  <c r="X140" i="3"/>
  <c r="W140" i="3"/>
  <c r="V140" i="3"/>
  <c r="U140" i="3"/>
  <c r="T140" i="3"/>
  <c r="S140" i="3"/>
  <c r="R140" i="3"/>
  <c r="Q140" i="3"/>
  <c r="P140" i="3"/>
  <c r="O140" i="3"/>
  <c r="N140" i="3"/>
  <c r="M140" i="3"/>
  <c r="L140" i="3"/>
  <c r="K140" i="3"/>
  <c r="J140" i="3"/>
  <c r="H140" i="3"/>
  <c r="G140" i="3"/>
  <c r="F140" i="3"/>
  <c r="E140" i="3"/>
  <c r="D140" i="3"/>
  <c r="C140" i="3"/>
  <c r="B140" i="3"/>
  <c r="A140" i="3"/>
  <c r="X139" i="3"/>
  <c r="W139" i="3"/>
  <c r="V139" i="3"/>
  <c r="U139" i="3"/>
  <c r="T139" i="3"/>
  <c r="S139" i="3"/>
  <c r="R139" i="3"/>
  <c r="Q139" i="3"/>
  <c r="P139" i="3"/>
  <c r="O139" i="3"/>
  <c r="N139" i="3"/>
  <c r="M139" i="3"/>
  <c r="L139" i="3"/>
  <c r="K139" i="3"/>
  <c r="J139" i="3"/>
  <c r="H139" i="3"/>
  <c r="G139" i="3"/>
  <c r="F139" i="3"/>
  <c r="E139" i="3"/>
  <c r="D139" i="3"/>
  <c r="C139" i="3"/>
  <c r="B139" i="3"/>
  <c r="A139" i="3"/>
  <c r="X138" i="3"/>
  <c r="W138" i="3"/>
  <c r="U138" i="3"/>
  <c r="T138" i="3"/>
  <c r="S138" i="3"/>
  <c r="R138" i="3"/>
  <c r="Q138" i="3"/>
  <c r="P138" i="3"/>
  <c r="O138" i="3"/>
  <c r="N138" i="3"/>
  <c r="M138" i="3"/>
  <c r="L138" i="3"/>
  <c r="K138" i="3"/>
  <c r="J138" i="3"/>
  <c r="H138" i="3"/>
  <c r="G138" i="3"/>
  <c r="F138" i="3"/>
  <c r="E138" i="3"/>
  <c r="D138" i="3"/>
  <c r="C138" i="3"/>
  <c r="B138" i="3"/>
  <c r="A138" i="3"/>
  <c r="X137" i="3"/>
  <c r="W137" i="3"/>
  <c r="V137" i="3"/>
  <c r="U137" i="3"/>
  <c r="T137" i="3"/>
  <c r="S137" i="3"/>
  <c r="R137" i="3"/>
  <c r="Q137" i="3"/>
  <c r="P137" i="3"/>
  <c r="O137" i="3"/>
  <c r="N137" i="3"/>
  <c r="M137" i="3"/>
  <c r="L137" i="3"/>
  <c r="K137" i="3"/>
  <c r="J137" i="3"/>
  <c r="H137" i="3"/>
  <c r="G137" i="3"/>
  <c r="F137" i="3"/>
  <c r="E137" i="3"/>
  <c r="D137" i="3"/>
  <c r="C137" i="3"/>
  <c r="B137" i="3"/>
  <c r="A137" i="3"/>
  <c r="X136" i="3"/>
  <c r="W136" i="3"/>
  <c r="V136" i="3"/>
  <c r="U136" i="3"/>
  <c r="T136" i="3"/>
  <c r="S136" i="3"/>
  <c r="R136" i="3"/>
  <c r="Q136" i="3"/>
  <c r="P136" i="3"/>
  <c r="O136" i="3"/>
  <c r="N136" i="3"/>
  <c r="M136" i="3"/>
  <c r="L136" i="3"/>
  <c r="K136" i="3"/>
  <c r="J136" i="3"/>
  <c r="H136" i="3"/>
  <c r="G136" i="3"/>
  <c r="F136" i="3"/>
  <c r="E136" i="3"/>
  <c r="D136" i="3"/>
  <c r="C136" i="3"/>
  <c r="B136" i="3"/>
  <c r="A136" i="3"/>
  <c r="X135" i="3"/>
  <c r="W135" i="3"/>
  <c r="V135" i="3"/>
  <c r="U135" i="3"/>
  <c r="T135" i="3"/>
  <c r="S135" i="3"/>
  <c r="R135" i="3"/>
  <c r="Q135" i="3"/>
  <c r="P135" i="3"/>
  <c r="O135" i="3"/>
  <c r="N135" i="3"/>
  <c r="M135" i="3"/>
  <c r="L135" i="3"/>
  <c r="K135" i="3"/>
  <c r="J135" i="3"/>
  <c r="H135" i="3"/>
  <c r="G135" i="3"/>
  <c r="F135" i="3"/>
  <c r="E135" i="3"/>
  <c r="D135" i="3"/>
  <c r="C135" i="3"/>
  <c r="B135" i="3"/>
  <c r="A135" i="3"/>
  <c r="X134" i="3"/>
  <c r="W134" i="3"/>
  <c r="V134" i="3"/>
  <c r="U134" i="3"/>
  <c r="T134" i="3"/>
  <c r="S134" i="3"/>
  <c r="R134" i="3"/>
  <c r="Q134" i="3"/>
  <c r="P134" i="3"/>
  <c r="O134" i="3"/>
  <c r="N134" i="3"/>
  <c r="M134" i="3"/>
  <c r="L134" i="3"/>
  <c r="K134" i="3"/>
  <c r="J134" i="3"/>
  <c r="H134" i="3"/>
  <c r="G134" i="3"/>
  <c r="F134" i="3"/>
  <c r="D134" i="3"/>
  <c r="C134" i="3"/>
  <c r="B134" i="3"/>
  <c r="A134" i="3"/>
  <c r="X133" i="3"/>
  <c r="W133" i="3"/>
  <c r="V133" i="3"/>
  <c r="U133" i="3"/>
  <c r="T133" i="3"/>
  <c r="S133" i="3"/>
  <c r="R133" i="3"/>
  <c r="Q133" i="3"/>
  <c r="P133" i="3"/>
  <c r="O133" i="3"/>
  <c r="N133" i="3"/>
  <c r="M133" i="3"/>
  <c r="L133" i="3"/>
  <c r="K133" i="3"/>
  <c r="J133" i="3"/>
  <c r="H133" i="3"/>
  <c r="G133" i="3"/>
  <c r="F133" i="3"/>
  <c r="E133" i="3"/>
  <c r="D133" i="3"/>
  <c r="C133" i="3"/>
  <c r="B133" i="3"/>
  <c r="A133" i="3"/>
  <c r="X132" i="3"/>
  <c r="W132" i="3"/>
  <c r="V132" i="3"/>
  <c r="U132" i="3"/>
  <c r="T132" i="3"/>
  <c r="S132" i="3"/>
  <c r="R132" i="3"/>
  <c r="Q132" i="3"/>
  <c r="P132" i="3"/>
  <c r="O132" i="3"/>
  <c r="N132" i="3"/>
  <c r="M132" i="3"/>
  <c r="L132" i="3"/>
  <c r="K132" i="3"/>
  <c r="J132" i="3"/>
  <c r="H132" i="3"/>
  <c r="G132" i="3"/>
  <c r="F132" i="3"/>
  <c r="D132" i="3"/>
  <c r="C132" i="3"/>
  <c r="B132" i="3"/>
  <c r="A132" i="3"/>
  <c r="X131" i="3"/>
  <c r="W131" i="3"/>
  <c r="V131" i="3"/>
  <c r="U131" i="3"/>
  <c r="T131" i="3"/>
  <c r="S131" i="3"/>
  <c r="R131" i="3"/>
  <c r="Q131" i="3"/>
  <c r="P131" i="3"/>
  <c r="O131" i="3"/>
  <c r="N131" i="3"/>
  <c r="M131" i="3"/>
  <c r="L131" i="3"/>
  <c r="K131" i="3"/>
  <c r="J131" i="3"/>
  <c r="H131" i="3"/>
  <c r="G131" i="3"/>
  <c r="F131" i="3"/>
  <c r="E131" i="3"/>
  <c r="D131" i="3"/>
  <c r="C131" i="3"/>
  <c r="B131" i="3"/>
  <c r="A131" i="3"/>
  <c r="X130" i="3"/>
  <c r="W130" i="3"/>
  <c r="V130" i="3"/>
  <c r="U130" i="3"/>
  <c r="T130" i="3"/>
  <c r="S130" i="3"/>
  <c r="R130" i="3"/>
  <c r="Q130" i="3"/>
  <c r="P130" i="3"/>
  <c r="O130" i="3"/>
  <c r="N130" i="3"/>
  <c r="M130" i="3"/>
  <c r="L130" i="3"/>
  <c r="K130" i="3"/>
  <c r="J130" i="3"/>
  <c r="H130" i="3"/>
  <c r="G130" i="3"/>
  <c r="F130" i="3"/>
  <c r="C130" i="3"/>
  <c r="B130" i="3"/>
  <c r="A130" i="3"/>
  <c r="X129" i="3"/>
  <c r="W129" i="3"/>
  <c r="V129" i="3"/>
  <c r="U129" i="3"/>
  <c r="T129" i="3"/>
  <c r="S129" i="3"/>
  <c r="R129" i="3"/>
  <c r="Q129" i="3"/>
  <c r="P129" i="3"/>
  <c r="O129" i="3"/>
  <c r="N129" i="3"/>
  <c r="M129" i="3"/>
  <c r="L129" i="3"/>
  <c r="K129" i="3"/>
  <c r="J129" i="3"/>
  <c r="I129" i="3"/>
  <c r="H129" i="3"/>
  <c r="G129" i="3"/>
  <c r="F129" i="3"/>
  <c r="E129" i="3"/>
  <c r="D129" i="3"/>
  <c r="C129" i="3"/>
  <c r="B129" i="3"/>
  <c r="A129" i="3"/>
  <c r="X128" i="3"/>
  <c r="W128" i="3"/>
  <c r="V128" i="3"/>
  <c r="U128" i="3"/>
  <c r="T128" i="3"/>
  <c r="S128" i="3"/>
  <c r="R128" i="3"/>
  <c r="Q128" i="3"/>
  <c r="P128" i="3"/>
  <c r="O128" i="3"/>
  <c r="N128" i="3"/>
  <c r="M128" i="3"/>
  <c r="L128" i="3"/>
  <c r="K128" i="3"/>
  <c r="J128" i="3"/>
  <c r="I128" i="3"/>
  <c r="H128" i="3"/>
  <c r="G128" i="3"/>
  <c r="F128" i="3"/>
  <c r="E128" i="3"/>
  <c r="D128" i="3"/>
  <c r="C128" i="3"/>
  <c r="B128" i="3"/>
  <c r="A128" i="3"/>
  <c r="X127" i="3"/>
  <c r="W127" i="3"/>
  <c r="V127" i="3"/>
  <c r="U127" i="3"/>
  <c r="T127" i="3"/>
  <c r="S127" i="3"/>
  <c r="R127" i="3"/>
  <c r="Q127" i="3"/>
  <c r="P127" i="3"/>
  <c r="O127" i="3"/>
  <c r="N127" i="3"/>
  <c r="M127" i="3"/>
  <c r="L127" i="3"/>
  <c r="K127" i="3"/>
  <c r="J127" i="3"/>
  <c r="I127" i="3"/>
  <c r="H127" i="3"/>
  <c r="G127" i="3"/>
  <c r="F127" i="3"/>
  <c r="D127" i="3"/>
  <c r="C127" i="3"/>
  <c r="B127" i="3"/>
  <c r="A127" i="3"/>
  <c r="X126" i="3"/>
  <c r="W126" i="3"/>
  <c r="V126" i="3"/>
  <c r="U126" i="3"/>
  <c r="T126" i="3"/>
  <c r="S126" i="3"/>
  <c r="R126" i="3"/>
  <c r="Q126" i="3"/>
  <c r="P126" i="3"/>
  <c r="O126" i="3"/>
  <c r="N126" i="3"/>
  <c r="M126" i="3"/>
  <c r="L126" i="3"/>
  <c r="K126" i="3"/>
  <c r="J126" i="3"/>
  <c r="H126" i="3"/>
  <c r="G126" i="3"/>
  <c r="F126" i="3"/>
  <c r="E126" i="3"/>
  <c r="D126" i="3"/>
  <c r="C126" i="3"/>
  <c r="B126" i="3"/>
  <c r="A126" i="3"/>
  <c r="X125" i="3"/>
  <c r="W125" i="3"/>
  <c r="V125" i="3"/>
  <c r="U125" i="3"/>
  <c r="T125" i="3"/>
  <c r="S125" i="3"/>
  <c r="R125" i="3"/>
  <c r="Q125" i="3"/>
  <c r="P125" i="3"/>
  <c r="O125" i="3"/>
  <c r="N125" i="3"/>
  <c r="M125" i="3"/>
  <c r="L125" i="3"/>
  <c r="K125" i="3"/>
  <c r="J125" i="3"/>
  <c r="I125" i="3"/>
  <c r="H125" i="3"/>
  <c r="G125" i="3"/>
  <c r="F125" i="3"/>
  <c r="D125" i="3"/>
  <c r="C125" i="3"/>
  <c r="B125" i="3"/>
  <c r="A125" i="3"/>
  <c r="X124" i="3"/>
  <c r="W124" i="3"/>
  <c r="U124" i="3"/>
  <c r="T124" i="3"/>
  <c r="S124" i="3"/>
  <c r="R124" i="3"/>
  <c r="Q124" i="3"/>
  <c r="P124" i="3"/>
  <c r="O124" i="3"/>
  <c r="N124" i="3"/>
  <c r="M124" i="3"/>
  <c r="L124" i="3"/>
  <c r="K124" i="3"/>
  <c r="J124" i="3"/>
  <c r="H124" i="3"/>
  <c r="G124" i="3"/>
  <c r="F124" i="3"/>
  <c r="D124" i="3"/>
  <c r="C124" i="3"/>
  <c r="B124" i="3"/>
  <c r="A124" i="3"/>
  <c r="X123" i="3"/>
  <c r="W123" i="3"/>
  <c r="V123" i="3"/>
  <c r="U123" i="3"/>
  <c r="T123" i="3"/>
  <c r="S123" i="3"/>
  <c r="R123" i="3"/>
  <c r="Q123" i="3"/>
  <c r="P123" i="3"/>
  <c r="O123" i="3"/>
  <c r="N123" i="3"/>
  <c r="M123" i="3"/>
  <c r="L123" i="3"/>
  <c r="K123" i="3"/>
  <c r="J123" i="3"/>
  <c r="I123" i="3"/>
  <c r="H123" i="3"/>
  <c r="G123" i="3"/>
  <c r="F123" i="3"/>
  <c r="D123" i="3"/>
  <c r="C123" i="3"/>
  <c r="B123" i="3"/>
  <c r="A123" i="3"/>
  <c r="X122" i="3"/>
  <c r="W122" i="3"/>
  <c r="V122" i="3"/>
  <c r="U122" i="3"/>
  <c r="T122" i="3"/>
  <c r="S122" i="3"/>
  <c r="R122" i="3"/>
  <c r="Q122" i="3"/>
  <c r="P122" i="3"/>
  <c r="O122" i="3"/>
  <c r="N122" i="3"/>
  <c r="M122" i="3"/>
  <c r="L122" i="3"/>
  <c r="K122" i="3"/>
  <c r="J122" i="3"/>
  <c r="H122" i="3"/>
  <c r="G122" i="3"/>
  <c r="F122" i="3"/>
  <c r="E122" i="3"/>
  <c r="D122" i="3"/>
  <c r="C122" i="3"/>
  <c r="B122" i="3"/>
  <c r="A122" i="3"/>
  <c r="X121" i="3"/>
  <c r="W121" i="3"/>
  <c r="V121" i="3"/>
  <c r="U121" i="3"/>
  <c r="T121" i="3"/>
  <c r="S121" i="3"/>
  <c r="R121" i="3"/>
  <c r="Q121" i="3"/>
  <c r="P121" i="3"/>
  <c r="O121" i="3"/>
  <c r="N121" i="3"/>
  <c r="M121" i="3"/>
  <c r="L121" i="3"/>
  <c r="K121" i="3"/>
  <c r="J121" i="3"/>
  <c r="H121" i="3"/>
  <c r="G121" i="3"/>
  <c r="F121" i="3"/>
  <c r="E121" i="3"/>
  <c r="D121" i="3"/>
  <c r="C121" i="3"/>
  <c r="B121" i="3"/>
  <c r="A121" i="3"/>
  <c r="X120" i="3"/>
  <c r="W120" i="3"/>
  <c r="V120" i="3"/>
  <c r="U120" i="3"/>
  <c r="T120" i="3"/>
  <c r="S120" i="3"/>
  <c r="R120" i="3"/>
  <c r="Q120" i="3"/>
  <c r="P120" i="3"/>
  <c r="O120" i="3"/>
  <c r="N120" i="3"/>
  <c r="M120" i="3"/>
  <c r="L120" i="3"/>
  <c r="K120" i="3"/>
  <c r="J120" i="3"/>
  <c r="H120" i="3"/>
  <c r="G120" i="3"/>
  <c r="F120" i="3"/>
  <c r="E120" i="3"/>
  <c r="D120" i="3"/>
  <c r="C120" i="3"/>
  <c r="B120" i="3"/>
  <c r="A120" i="3"/>
  <c r="X119" i="3"/>
  <c r="W119" i="3"/>
  <c r="V119" i="3"/>
  <c r="U119" i="3"/>
  <c r="T119" i="3"/>
  <c r="S119" i="3"/>
  <c r="R119" i="3"/>
  <c r="Q119" i="3"/>
  <c r="P119" i="3"/>
  <c r="O119" i="3"/>
  <c r="N119" i="3"/>
  <c r="M119" i="3"/>
  <c r="L119" i="3"/>
  <c r="K119" i="3"/>
  <c r="J119" i="3"/>
  <c r="I119" i="3"/>
  <c r="H119" i="3"/>
  <c r="G119" i="3"/>
  <c r="F119" i="3"/>
  <c r="E119" i="3"/>
  <c r="D119" i="3"/>
  <c r="C119" i="3"/>
  <c r="B119" i="3"/>
  <c r="A119" i="3"/>
  <c r="X118" i="3"/>
  <c r="W118" i="3"/>
  <c r="V118" i="3"/>
  <c r="U118" i="3"/>
  <c r="T118" i="3"/>
  <c r="S118" i="3"/>
  <c r="R118" i="3"/>
  <c r="Q118" i="3"/>
  <c r="P118" i="3"/>
  <c r="O118" i="3"/>
  <c r="N118" i="3"/>
  <c r="M118" i="3"/>
  <c r="L118" i="3"/>
  <c r="K118" i="3"/>
  <c r="J118" i="3"/>
  <c r="I118" i="3"/>
  <c r="H118" i="3"/>
  <c r="G118" i="3"/>
  <c r="F118" i="3"/>
  <c r="E118" i="3"/>
  <c r="D118" i="3"/>
  <c r="C118" i="3"/>
  <c r="B118" i="3"/>
  <c r="A118" i="3"/>
  <c r="X117" i="3"/>
  <c r="W117" i="3"/>
  <c r="V117" i="3"/>
  <c r="U117" i="3"/>
  <c r="T117" i="3"/>
  <c r="S117" i="3"/>
  <c r="R117" i="3"/>
  <c r="Q117" i="3"/>
  <c r="P117" i="3"/>
  <c r="O117" i="3"/>
  <c r="N117" i="3"/>
  <c r="M117" i="3"/>
  <c r="L117" i="3"/>
  <c r="K117" i="3"/>
  <c r="J117" i="3"/>
  <c r="H117" i="3"/>
  <c r="G117" i="3"/>
  <c r="F117" i="3"/>
  <c r="E117" i="3"/>
  <c r="D117" i="3"/>
  <c r="C117" i="3"/>
  <c r="B117" i="3"/>
  <c r="A117" i="3"/>
  <c r="X116" i="3"/>
  <c r="W116" i="3"/>
  <c r="V116" i="3"/>
  <c r="U116" i="3"/>
  <c r="T116" i="3"/>
  <c r="S116" i="3"/>
  <c r="R116" i="3"/>
  <c r="Q116" i="3"/>
  <c r="P116" i="3"/>
  <c r="O116" i="3"/>
  <c r="N116" i="3"/>
  <c r="M116" i="3"/>
  <c r="L116" i="3"/>
  <c r="K116" i="3"/>
  <c r="J116" i="3"/>
  <c r="H116" i="3"/>
  <c r="G116" i="3"/>
  <c r="F116" i="3"/>
  <c r="E116" i="3"/>
  <c r="D116" i="3"/>
  <c r="C116" i="3"/>
  <c r="B116" i="3"/>
  <c r="A116" i="3"/>
  <c r="X115" i="3"/>
  <c r="W115" i="3"/>
  <c r="V115" i="3"/>
  <c r="U115" i="3"/>
  <c r="T115" i="3"/>
  <c r="S115" i="3"/>
  <c r="R115" i="3"/>
  <c r="Q115" i="3"/>
  <c r="P115" i="3"/>
  <c r="O115" i="3"/>
  <c r="N115" i="3"/>
  <c r="M115" i="3"/>
  <c r="L115" i="3"/>
  <c r="K115" i="3"/>
  <c r="J115" i="3"/>
  <c r="H115" i="3"/>
  <c r="G115" i="3"/>
  <c r="F115" i="3"/>
  <c r="E115" i="3"/>
  <c r="D115" i="3"/>
  <c r="C115" i="3"/>
  <c r="B115" i="3"/>
  <c r="A115" i="3"/>
  <c r="X114" i="3"/>
  <c r="W114" i="3"/>
  <c r="V114" i="3"/>
  <c r="U114" i="3"/>
  <c r="T114" i="3"/>
  <c r="S114" i="3"/>
  <c r="R114" i="3"/>
  <c r="Q114" i="3"/>
  <c r="P114" i="3"/>
  <c r="O114" i="3"/>
  <c r="N114" i="3"/>
  <c r="M114" i="3"/>
  <c r="L114" i="3"/>
  <c r="K114" i="3"/>
  <c r="J114" i="3"/>
  <c r="I114" i="3"/>
  <c r="H114" i="3"/>
  <c r="G114" i="3"/>
  <c r="F114" i="3"/>
  <c r="E114" i="3"/>
  <c r="D114" i="3"/>
  <c r="C114" i="3"/>
  <c r="B114" i="3"/>
  <c r="A114" i="3"/>
  <c r="X113" i="3"/>
  <c r="W113" i="3"/>
  <c r="V113" i="3"/>
  <c r="U113" i="3"/>
  <c r="T113" i="3"/>
  <c r="S113" i="3"/>
  <c r="R113" i="3"/>
  <c r="Q113" i="3"/>
  <c r="P113" i="3"/>
  <c r="O113" i="3"/>
  <c r="N113" i="3"/>
  <c r="M113" i="3"/>
  <c r="L113" i="3"/>
  <c r="K113" i="3"/>
  <c r="J113" i="3"/>
  <c r="H113" i="3"/>
  <c r="G113" i="3"/>
  <c r="F113" i="3"/>
  <c r="E113" i="3"/>
  <c r="D113" i="3"/>
  <c r="C113" i="3"/>
  <c r="B113" i="3"/>
  <c r="A113" i="3"/>
  <c r="X112" i="3"/>
  <c r="W112" i="3"/>
  <c r="V112" i="3"/>
  <c r="U112" i="3"/>
  <c r="T112" i="3"/>
  <c r="S112" i="3"/>
  <c r="R112" i="3"/>
  <c r="Q112" i="3"/>
  <c r="P112" i="3"/>
  <c r="O112" i="3"/>
  <c r="N112" i="3"/>
  <c r="M112" i="3"/>
  <c r="L112" i="3"/>
  <c r="K112" i="3"/>
  <c r="J112" i="3"/>
  <c r="H112" i="3"/>
  <c r="G112" i="3"/>
  <c r="F112" i="3"/>
  <c r="E112" i="3"/>
  <c r="D112" i="3"/>
  <c r="C112" i="3"/>
  <c r="B112" i="3"/>
  <c r="A112" i="3"/>
  <c r="X111" i="3"/>
  <c r="W111" i="3"/>
  <c r="V111" i="3"/>
  <c r="U111" i="3"/>
  <c r="T111" i="3"/>
  <c r="S111" i="3"/>
  <c r="R111" i="3"/>
  <c r="Q111" i="3"/>
  <c r="P111" i="3"/>
  <c r="O111" i="3"/>
  <c r="N111" i="3"/>
  <c r="M111" i="3"/>
  <c r="L111" i="3"/>
  <c r="K111" i="3"/>
  <c r="J111" i="3"/>
  <c r="I111" i="3"/>
  <c r="H111" i="3"/>
  <c r="G111" i="3"/>
  <c r="F111" i="3"/>
  <c r="E111" i="3"/>
  <c r="D111" i="3"/>
  <c r="C111" i="3"/>
  <c r="B111" i="3"/>
  <c r="A111" i="3"/>
  <c r="X110" i="3"/>
  <c r="W110" i="3"/>
  <c r="V110" i="3"/>
  <c r="U110" i="3"/>
  <c r="T110" i="3"/>
  <c r="S110" i="3"/>
  <c r="R110" i="3"/>
  <c r="Q110" i="3"/>
  <c r="P110" i="3"/>
  <c r="O110" i="3"/>
  <c r="N110" i="3"/>
  <c r="M110" i="3"/>
  <c r="L110" i="3"/>
  <c r="K110" i="3"/>
  <c r="J110" i="3"/>
  <c r="H110" i="3"/>
  <c r="G110" i="3"/>
  <c r="F110" i="3"/>
  <c r="E110" i="3"/>
  <c r="D110" i="3"/>
  <c r="C110" i="3"/>
  <c r="B110" i="3"/>
  <c r="A110" i="3"/>
  <c r="X109" i="3"/>
  <c r="W109" i="3"/>
  <c r="V109" i="3"/>
  <c r="U109" i="3"/>
  <c r="T109" i="3"/>
  <c r="S109" i="3"/>
  <c r="R109" i="3"/>
  <c r="Q109" i="3"/>
  <c r="P109" i="3"/>
  <c r="O109" i="3"/>
  <c r="N109" i="3"/>
  <c r="M109" i="3"/>
  <c r="L109" i="3"/>
  <c r="K109" i="3"/>
  <c r="J109" i="3"/>
  <c r="I109" i="3"/>
  <c r="H109" i="3"/>
  <c r="G109" i="3"/>
  <c r="F109" i="3"/>
  <c r="E109" i="3"/>
  <c r="D109" i="3"/>
  <c r="C109" i="3"/>
  <c r="B109" i="3"/>
  <c r="A109" i="3"/>
  <c r="X108" i="3"/>
  <c r="W108" i="3"/>
  <c r="U108" i="3"/>
  <c r="T108" i="3"/>
  <c r="S108" i="3"/>
  <c r="R108" i="3"/>
  <c r="Q108" i="3"/>
  <c r="P108" i="3"/>
  <c r="O108" i="3"/>
  <c r="N108" i="3"/>
  <c r="M108" i="3"/>
  <c r="L108" i="3"/>
  <c r="K108" i="3"/>
  <c r="J108" i="3"/>
  <c r="H108" i="3"/>
  <c r="G108" i="3"/>
  <c r="F108" i="3"/>
  <c r="E108" i="3"/>
  <c r="D108" i="3"/>
  <c r="C108" i="3"/>
  <c r="B108" i="3"/>
  <c r="A108" i="3"/>
  <c r="X107" i="3"/>
  <c r="W107" i="3"/>
  <c r="V107" i="3"/>
  <c r="U107" i="3"/>
  <c r="T107" i="3"/>
  <c r="S107" i="3"/>
  <c r="R107" i="3"/>
  <c r="Q107" i="3"/>
  <c r="P107" i="3"/>
  <c r="O107" i="3"/>
  <c r="N107" i="3"/>
  <c r="M107" i="3"/>
  <c r="L107" i="3"/>
  <c r="K107" i="3"/>
  <c r="J107" i="3"/>
  <c r="H107" i="3"/>
  <c r="G107" i="3"/>
  <c r="F107" i="3"/>
  <c r="E107" i="3"/>
  <c r="D107" i="3"/>
  <c r="C107" i="3"/>
  <c r="B107" i="3"/>
  <c r="A107" i="3"/>
  <c r="X106" i="3"/>
  <c r="W106" i="3"/>
  <c r="V106" i="3"/>
  <c r="U106" i="3"/>
  <c r="T106" i="3"/>
  <c r="S106" i="3"/>
  <c r="R106" i="3"/>
  <c r="Q106" i="3"/>
  <c r="P106" i="3"/>
  <c r="O106" i="3"/>
  <c r="N106" i="3"/>
  <c r="M106" i="3"/>
  <c r="L106" i="3"/>
  <c r="K106" i="3"/>
  <c r="J106" i="3"/>
  <c r="H106" i="3"/>
  <c r="G106" i="3"/>
  <c r="F106" i="3"/>
  <c r="E106" i="3"/>
  <c r="D106" i="3"/>
  <c r="C106" i="3"/>
  <c r="B106" i="3"/>
  <c r="A106" i="3"/>
  <c r="X105" i="3"/>
  <c r="W105" i="3"/>
  <c r="V105" i="3"/>
  <c r="U105" i="3"/>
  <c r="T105" i="3"/>
  <c r="S105" i="3"/>
  <c r="R105" i="3"/>
  <c r="Q105" i="3"/>
  <c r="P105" i="3"/>
  <c r="O105" i="3"/>
  <c r="N105" i="3"/>
  <c r="M105" i="3"/>
  <c r="L105" i="3"/>
  <c r="K105" i="3"/>
  <c r="J105" i="3"/>
  <c r="H105" i="3"/>
  <c r="G105" i="3"/>
  <c r="F105" i="3"/>
  <c r="E105" i="3"/>
  <c r="D105" i="3"/>
  <c r="C105" i="3"/>
  <c r="B105" i="3"/>
  <c r="A105" i="3"/>
  <c r="X104" i="3"/>
  <c r="W104" i="3"/>
  <c r="V104" i="3"/>
  <c r="U104" i="3"/>
  <c r="T104" i="3"/>
  <c r="S104" i="3"/>
  <c r="R104" i="3"/>
  <c r="Q104" i="3"/>
  <c r="P104" i="3"/>
  <c r="O104" i="3"/>
  <c r="N104" i="3"/>
  <c r="M104" i="3"/>
  <c r="L104" i="3"/>
  <c r="K104" i="3"/>
  <c r="J104" i="3"/>
  <c r="I104" i="3"/>
  <c r="H104" i="3"/>
  <c r="G104" i="3"/>
  <c r="F104" i="3"/>
  <c r="E104" i="3"/>
  <c r="D104" i="3"/>
  <c r="C104" i="3"/>
  <c r="B104" i="3"/>
  <c r="A104" i="3"/>
  <c r="X103" i="3"/>
  <c r="W103" i="3"/>
  <c r="V103" i="3"/>
  <c r="U103" i="3"/>
  <c r="T103" i="3"/>
  <c r="S103" i="3"/>
  <c r="R103" i="3"/>
  <c r="Q103" i="3"/>
  <c r="P103" i="3"/>
  <c r="O103" i="3"/>
  <c r="N103" i="3"/>
  <c r="M103" i="3"/>
  <c r="L103" i="3"/>
  <c r="K103" i="3"/>
  <c r="J103" i="3"/>
  <c r="H103" i="3"/>
  <c r="G103" i="3"/>
  <c r="F103" i="3"/>
  <c r="D103" i="3"/>
  <c r="C103" i="3"/>
  <c r="B103" i="3"/>
  <c r="A103" i="3"/>
  <c r="X102" i="3"/>
  <c r="W102" i="3"/>
  <c r="V102" i="3"/>
  <c r="U102" i="3"/>
  <c r="T102" i="3"/>
  <c r="S102" i="3"/>
  <c r="R102" i="3"/>
  <c r="Q102" i="3"/>
  <c r="P102" i="3"/>
  <c r="O102" i="3"/>
  <c r="N102" i="3"/>
  <c r="M102" i="3"/>
  <c r="L102" i="3"/>
  <c r="K102" i="3"/>
  <c r="J102" i="3"/>
  <c r="I102" i="3"/>
  <c r="H102" i="3"/>
  <c r="G102" i="3"/>
  <c r="F102" i="3"/>
  <c r="E102" i="3"/>
  <c r="D102" i="3"/>
  <c r="C102" i="3"/>
  <c r="B102" i="3"/>
  <c r="A102" i="3"/>
  <c r="X101" i="3"/>
  <c r="W101" i="3"/>
  <c r="V101" i="3"/>
  <c r="U101" i="3"/>
  <c r="T101" i="3"/>
  <c r="S101" i="3"/>
  <c r="R101" i="3"/>
  <c r="Q101" i="3"/>
  <c r="P101" i="3"/>
  <c r="O101" i="3"/>
  <c r="N101" i="3"/>
  <c r="M101" i="3"/>
  <c r="L101" i="3"/>
  <c r="K101" i="3"/>
  <c r="J101" i="3"/>
  <c r="I101" i="3"/>
  <c r="H101" i="3"/>
  <c r="G101" i="3"/>
  <c r="F101" i="3"/>
  <c r="E101" i="3"/>
  <c r="D101" i="3"/>
  <c r="C101" i="3"/>
  <c r="B101" i="3"/>
  <c r="A101" i="3"/>
  <c r="X100" i="3"/>
  <c r="W100" i="3"/>
  <c r="V100" i="3"/>
  <c r="U100" i="3"/>
  <c r="T100" i="3"/>
  <c r="S100" i="3"/>
  <c r="R100" i="3"/>
  <c r="Q100" i="3"/>
  <c r="P100" i="3"/>
  <c r="O100" i="3"/>
  <c r="N100" i="3"/>
  <c r="M100" i="3"/>
  <c r="L100" i="3"/>
  <c r="K100" i="3"/>
  <c r="J100" i="3"/>
  <c r="H100" i="3"/>
  <c r="G100" i="3"/>
  <c r="F100" i="3"/>
  <c r="E100" i="3"/>
  <c r="D100" i="3"/>
  <c r="C100" i="3"/>
  <c r="B100" i="3"/>
  <c r="A100" i="3"/>
  <c r="X99" i="3"/>
  <c r="W99" i="3"/>
  <c r="V99" i="3"/>
  <c r="U99" i="3"/>
  <c r="T99" i="3"/>
  <c r="S99" i="3"/>
  <c r="R99" i="3"/>
  <c r="Q99" i="3"/>
  <c r="P99" i="3"/>
  <c r="O99" i="3"/>
  <c r="N99" i="3"/>
  <c r="M99" i="3"/>
  <c r="L99" i="3"/>
  <c r="K99" i="3"/>
  <c r="J99" i="3"/>
  <c r="H99" i="3"/>
  <c r="G99" i="3"/>
  <c r="F99" i="3"/>
  <c r="E99" i="3"/>
  <c r="D99" i="3"/>
  <c r="C99" i="3"/>
  <c r="B99" i="3"/>
  <c r="A99" i="3"/>
  <c r="X98" i="3"/>
  <c r="W98" i="3"/>
  <c r="V98" i="3"/>
  <c r="U98" i="3"/>
  <c r="T98" i="3"/>
  <c r="S98" i="3"/>
  <c r="R98" i="3"/>
  <c r="Q98" i="3"/>
  <c r="P98" i="3"/>
  <c r="O98" i="3"/>
  <c r="N98" i="3"/>
  <c r="M98" i="3"/>
  <c r="L98" i="3"/>
  <c r="K98" i="3"/>
  <c r="J98" i="3"/>
  <c r="H98" i="3"/>
  <c r="G98" i="3"/>
  <c r="F98" i="3"/>
  <c r="E98" i="3"/>
  <c r="D98" i="3"/>
  <c r="C98" i="3"/>
  <c r="B98" i="3"/>
  <c r="A98" i="3"/>
  <c r="X97" i="3"/>
  <c r="W97" i="3"/>
  <c r="V97" i="3"/>
  <c r="U97" i="3"/>
  <c r="T97" i="3"/>
  <c r="S97" i="3"/>
  <c r="R97" i="3"/>
  <c r="Q97" i="3"/>
  <c r="P97" i="3"/>
  <c r="O97" i="3"/>
  <c r="N97" i="3"/>
  <c r="M97" i="3"/>
  <c r="L97" i="3"/>
  <c r="K97" i="3"/>
  <c r="J97" i="3"/>
  <c r="I97" i="3"/>
  <c r="H97" i="3"/>
  <c r="G97" i="3"/>
  <c r="F97" i="3"/>
  <c r="E97" i="3"/>
  <c r="D97" i="3"/>
  <c r="C97" i="3"/>
  <c r="B97" i="3"/>
  <c r="A97" i="3"/>
  <c r="X96" i="3"/>
  <c r="W96" i="3"/>
  <c r="V96" i="3"/>
  <c r="U96" i="3"/>
  <c r="T96" i="3"/>
  <c r="S96" i="3"/>
  <c r="R96" i="3"/>
  <c r="Q96" i="3"/>
  <c r="P96" i="3"/>
  <c r="O96" i="3"/>
  <c r="N96" i="3"/>
  <c r="M96" i="3"/>
  <c r="L96" i="3"/>
  <c r="K96" i="3"/>
  <c r="J96" i="3"/>
  <c r="H96" i="3"/>
  <c r="G96" i="3"/>
  <c r="F96" i="3"/>
  <c r="D96" i="3"/>
  <c r="C96" i="3"/>
  <c r="B96" i="3"/>
  <c r="A96" i="3"/>
  <c r="X95" i="3"/>
  <c r="W95" i="3"/>
  <c r="U95" i="3"/>
  <c r="T95" i="3"/>
  <c r="S95" i="3"/>
  <c r="R95" i="3"/>
  <c r="Q95" i="3"/>
  <c r="P95" i="3"/>
  <c r="O95" i="3"/>
  <c r="N95" i="3"/>
  <c r="M95" i="3"/>
  <c r="L95" i="3"/>
  <c r="K95" i="3"/>
  <c r="J95" i="3"/>
  <c r="H95" i="3"/>
  <c r="G95" i="3"/>
  <c r="F95" i="3"/>
  <c r="E95" i="3"/>
  <c r="D95" i="3"/>
  <c r="C95" i="3"/>
  <c r="B95" i="3"/>
  <c r="A95" i="3"/>
  <c r="X94" i="3"/>
  <c r="W94" i="3"/>
  <c r="V94" i="3"/>
  <c r="U94" i="3"/>
  <c r="T94" i="3"/>
  <c r="S94" i="3"/>
  <c r="R94" i="3"/>
  <c r="Q94" i="3"/>
  <c r="P94" i="3"/>
  <c r="O94" i="3"/>
  <c r="N94" i="3"/>
  <c r="M94" i="3"/>
  <c r="L94" i="3"/>
  <c r="K94" i="3"/>
  <c r="J94" i="3"/>
  <c r="H94" i="3"/>
  <c r="G94" i="3"/>
  <c r="F94" i="3"/>
  <c r="E94" i="3"/>
  <c r="D94" i="3"/>
  <c r="C94" i="3"/>
  <c r="B94" i="3"/>
  <c r="A94" i="3"/>
  <c r="X93" i="3"/>
  <c r="W93" i="3"/>
  <c r="U93" i="3"/>
  <c r="T93" i="3"/>
  <c r="S93" i="3"/>
  <c r="R93" i="3"/>
  <c r="Q93" i="3"/>
  <c r="P93" i="3"/>
  <c r="O93" i="3"/>
  <c r="N93" i="3"/>
  <c r="M93" i="3"/>
  <c r="L93" i="3"/>
  <c r="K93" i="3"/>
  <c r="J93" i="3"/>
  <c r="H93" i="3"/>
  <c r="G93" i="3"/>
  <c r="F93" i="3"/>
  <c r="E93" i="3"/>
  <c r="D93" i="3"/>
  <c r="C93" i="3"/>
  <c r="B93" i="3"/>
  <c r="A93" i="3"/>
  <c r="X92" i="3"/>
  <c r="W92" i="3"/>
  <c r="V92" i="3"/>
  <c r="U92" i="3"/>
  <c r="T92" i="3"/>
  <c r="S92" i="3"/>
  <c r="R92" i="3"/>
  <c r="Q92" i="3"/>
  <c r="P92" i="3"/>
  <c r="O92" i="3"/>
  <c r="N92" i="3"/>
  <c r="M92" i="3"/>
  <c r="L92" i="3"/>
  <c r="K92" i="3"/>
  <c r="J92" i="3"/>
  <c r="H92" i="3"/>
  <c r="G92" i="3"/>
  <c r="F92" i="3"/>
  <c r="E92" i="3"/>
  <c r="D92" i="3"/>
  <c r="C92" i="3"/>
  <c r="B92" i="3"/>
  <c r="A92" i="3"/>
  <c r="X91" i="3"/>
  <c r="W91" i="3"/>
  <c r="V91" i="3"/>
  <c r="U91" i="3"/>
  <c r="T91" i="3"/>
  <c r="S91" i="3"/>
  <c r="R91" i="3"/>
  <c r="Q91" i="3"/>
  <c r="P91" i="3"/>
  <c r="O91" i="3"/>
  <c r="N91" i="3"/>
  <c r="M91" i="3"/>
  <c r="L91" i="3"/>
  <c r="K91" i="3"/>
  <c r="J91" i="3"/>
  <c r="I91" i="3"/>
  <c r="H91" i="3"/>
  <c r="G91" i="3"/>
  <c r="F91" i="3"/>
  <c r="E91" i="3"/>
  <c r="D91" i="3"/>
  <c r="C91" i="3"/>
  <c r="B91" i="3"/>
  <c r="A91" i="3"/>
  <c r="X90" i="3"/>
  <c r="W90" i="3"/>
  <c r="V90" i="3"/>
  <c r="U90" i="3"/>
  <c r="T90" i="3"/>
  <c r="S90" i="3"/>
  <c r="R90" i="3"/>
  <c r="Q90" i="3"/>
  <c r="P90" i="3"/>
  <c r="O90" i="3"/>
  <c r="N90" i="3"/>
  <c r="M90" i="3"/>
  <c r="L90" i="3"/>
  <c r="K90" i="3"/>
  <c r="J90" i="3"/>
  <c r="I90" i="3"/>
  <c r="H90" i="3"/>
  <c r="G90" i="3"/>
  <c r="F90" i="3"/>
  <c r="E90" i="3"/>
  <c r="D90" i="3"/>
  <c r="C90" i="3"/>
  <c r="B90" i="3"/>
  <c r="A90" i="3"/>
  <c r="X89" i="3"/>
  <c r="W89" i="3"/>
  <c r="V89" i="3"/>
  <c r="U89" i="3"/>
  <c r="T89" i="3"/>
  <c r="S89" i="3"/>
  <c r="R89" i="3"/>
  <c r="Q89" i="3"/>
  <c r="P89" i="3"/>
  <c r="O89" i="3"/>
  <c r="N89" i="3"/>
  <c r="M89" i="3"/>
  <c r="L89" i="3"/>
  <c r="K89" i="3"/>
  <c r="J89" i="3"/>
  <c r="H89" i="3"/>
  <c r="G89" i="3"/>
  <c r="F89" i="3"/>
  <c r="E89" i="3"/>
  <c r="D89" i="3"/>
  <c r="C89" i="3"/>
  <c r="B89" i="3"/>
  <c r="A89" i="3"/>
  <c r="X88" i="3"/>
  <c r="W88" i="3"/>
  <c r="V88" i="3"/>
  <c r="U88" i="3"/>
  <c r="T88" i="3"/>
  <c r="S88" i="3"/>
  <c r="R88" i="3"/>
  <c r="Q88" i="3"/>
  <c r="P88" i="3"/>
  <c r="O88" i="3"/>
  <c r="N88" i="3"/>
  <c r="M88" i="3"/>
  <c r="L88" i="3"/>
  <c r="K88" i="3"/>
  <c r="J88" i="3"/>
  <c r="H88" i="3"/>
  <c r="G88" i="3"/>
  <c r="F88" i="3"/>
  <c r="E88" i="3"/>
  <c r="D88" i="3"/>
  <c r="C88" i="3"/>
  <c r="B88" i="3"/>
  <c r="A88" i="3"/>
  <c r="X87" i="3"/>
  <c r="W87" i="3"/>
  <c r="V87" i="3"/>
  <c r="U87" i="3"/>
  <c r="T87" i="3"/>
  <c r="S87" i="3"/>
  <c r="R87" i="3"/>
  <c r="Q87" i="3"/>
  <c r="P87" i="3"/>
  <c r="O87" i="3"/>
  <c r="N87" i="3"/>
  <c r="M87" i="3"/>
  <c r="L87" i="3"/>
  <c r="K87" i="3"/>
  <c r="J87" i="3"/>
  <c r="H87" i="3"/>
  <c r="G87" i="3"/>
  <c r="F87" i="3"/>
  <c r="E87" i="3"/>
  <c r="D87" i="3"/>
  <c r="C87" i="3"/>
  <c r="B87" i="3"/>
  <c r="A87" i="3"/>
  <c r="X86" i="3"/>
  <c r="W86" i="3"/>
  <c r="V86" i="3"/>
  <c r="U86" i="3"/>
  <c r="T86" i="3"/>
  <c r="S86" i="3"/>
  <c r="R86" i="3"/>
  <c r="Q86" i="3"/>
  <c r="P86" i="3"/>
  <c r="O86" i="3"/>
  <c r="N86" i="3"/>
  <c r="M86" i="3"/>
  <c r="L86" i="3"/>
  <c r="K86" i="3"/>
  <c r="J86" i="3"/>
  <c r="H86" i="3"/>
  <c r="G86" i="3"/>
  <c r="F86" i="3"/>
  <c r="E86" i="3"/>
  <c r="D86" i="3"/>
  <c r="C86" i="3"/>
  <c r="B86" i="3"/>
  <c r="A86" i="3"/>
  <c r="X85" i="3"/>
  <c r="W85" i="3"/>
  <c r="V85" i="3"/>
  <c r="U85" i="3"/>
  <c r="T85" i="3"/>
  <c r="S85" i="3"/>
  <c r="R85" i="3"/>
  <c r="Q85" i="3"/>
  <c r="P85" i="3"/>
  <c r="O85" i="3"/>
  <c r="N85" i="3"/>
  <c r="M85" i="3"/>
  <c r="L85" i="3"/>
  <c r="K85" i="3"/>
  <c r="J85" i="3"/>
  <c r="H85" i="3"/>
  <c r="G85" i="3"/>
  <c r="F85" i="3"/>
  <c r="D85" i="3"/>
  <c r="C85" i="3"/>
  <c r="B85" i="3"/>
  <c r="A85" i="3"/>
  <c r="X84" i="3"/>
  <c r="W84" i="3"/>
  <c r="V84" i="3"/>
  <c r="U84" i="3"/>
  <c r="T84" i="3"/>
  <c r="S84" i="3"/>
  <c r="R84" i="3"/>
  <c r="Q84" i="3"/>
  <c r="P84" i="3"/>
  <c r="O84" i="3"/>
  <c r="N84" i="3"/>
  <c r="M84" i="3"/>
  <c r="L84" i="3"/>
  <c r="K84" i="3"/>
  <c r="J84" i="3"/>
  <c r="H84" i="3"/>
  <c r="G84" i="3"/>
  <c r="F84" i="3"/>
  <c r="E84" i="3"/>
  <c r="D84" i="3"/>
  <c r="C84" i="3"/>
  <c r="B84" i="3"/>
  <c r="A84" i="3"/>
  <c r="X83" i="3"/>
  <c r="W83" i="3"/>
  <c r="V83" i="3"/>
  <c r="U83" i="3"/>
  <c r="T83" i="3"/>
  <c r="S83" i="3"/>
  <c r="R83" i="3"/>
  <c r="Q83" i="3"/>
  <c r="P83" i="3"/>
  <c r="O83" i="3"/>
  <c r="N83" i="3"/>
  <c r="M83" i="3"/>
  <c r="L83" i="3"/>
  <c r="K83" i="3"/>
  <c r="J83" i="3"/>
  <c r="H83" i="3"/>
  <c r="G83" i="3"/>
  <c r="F83" i="3"/>
  <c r="E83" i="3"/>
  <c r="D83" i="3"/>
  <c r="C83" i="3"/>
  <c r="B83" i="3"/>
  <c r="A83" i="3"/>
  <c r="X82" i="3"/>
  <c r="W82" i="3"/>
  <c r="V82" i="3"/>
  <c r="U82" i="3"/>
  <c r="T82" i="3"/>
  <c r="S82" i="3"/>
  <c r="R82" i="3"/>
  <c r="Q82" i="3"/>
  <c r="P82" i="3"/>
  <c r="O82" i="3"/>
  <c r="N82" i="3"/>
  <c r="M82" i="3"/>
  <c r="L82" i="3"/>
  <c r="K82" i="3"/>
  <c r="J82" i="3"/>
  <c r="I82" i="3"/>
  <c r="H82" i="3"/>
  <c r="G82" i="3"/>
  <c r="F82" i="3"/>
  <c r="E82" i="3"/>
  <c r="D82" i="3"/>
  <c r="C82" i="3"/>
  <c r="B82" i="3"/>
  <c r="A82" i="3"/>
  <c r="X81" i="3"/>
  <c r="W81" i="3"/>
  <c r="V81" i="3"/>
  <c r="U81" i="3"/>
  <c r="T81" i="3"/>
  <c r="S81" i="3"/>
  <c r="R81" i="3"/>
  <c r="Q81" i="3"/>
  <c r="P81" i="3"/>
  <c r="O81" i="3"/>
  <c r="N81" i="3"/>
  <c r="M81" i="3"/>
  <c r="L81" i="3"/>
  <c r="K81" i="3"/>
  <c r="J81" i="3"/>
  <c r="H81" i="3"/>
  <c r="G81" i="3"/>
  <c r="F81" i="3"/>
  <c r="E81" i="3"/>
  <c r="D81" i="3"/>
  <c r="C81" i="3"/>
  <c r="B81" i="3"/>
  <c r="A81" i="3"/>
  <c r="X80" i="3"/>
  <c r="W80" i="3"/>
  <c r="V80" i="3"/>
  <c r="U80" i="3"/>
  <c r="T80" i="3"/>
  <c r="S80" i="3"/>
  <c r="R80" i="3"/>
  <c r="Q80" i="3"/>
  <c r="P80" i="3"/>
  <c r="O80" i="3"/>
  <c r="N80" i="3"/>
  <c r="M80" i="3"/>
  <c r="L80" i="3"/>
  <c r="K80" i="3"/>
  <c r="J80" i="3"/>
  <c r="H80" i="3"/>
  <c r="G80" i="3"/>
  <c r="F80" i="3"/>
  <c r="E80" i="3"/>
  <c r="D80" i="3"/>
  <c r="C80" i="3"/>
  <c r="B80" i="3"/>
  <c r="A80" i="3"/>
  <c r="X79" i="3"/>
  <c r="W79" i="3"/>
  <c r="V79" i="3"/>
  <c r="U79" i="3"/>
  <c r="T79" i="3"/>
  <c r="S79" i="3"/>
  <c r="R79" i="3"/>
  <c r="Q79" i="3"/>
  <c r="P79" i="3"/>
  <c r="O79" i="3"/>
  <c r="N79" i="3"/>
  <c r="M79" i="3"/>
  <c r="L79" i="3"/>
  <c r="K79" i="3"/>
  <c r="J79" i="3"/>
  <c r="H79" i="3"/>
  <c r="G79" i="3"/>
  <c r="F79" i="3"/>
  <c r="E79" i="3"/>
  <c r="D79" i="3"/>
  <c r="C79" i="3"/>
  <c r="B79" i="3"/>
  <c r="A79" i="3"/>
  <c r="X78" i="3"/>
  <c r="W78" i="3"/>
  <c r="V78" i="3"/>
  <c r="U78" i="3"/>
  <c r="T78" i="3"/>
  <c r="S78" i="3"/>
  <c r="R78" i="3"/>
  <c r="Q78" i="3"/>
  <c r="P78" i="3"/>
  <c r="O78" i="3"/>
  <c r="N78" i="3"/>
  <c r="M78" i="3"/>
  <c r="L78" i="3"/>
  <c r="K78" i="3"/>
  <c r="J78" i="3"/>
  <c r="H78" i="3"/>
  <c r="G78" i="3"/>
  <c r="F78" i="3"/>
  <c r="E78" i="3"/>
  <c r="D78" i="3"/>
  <c r="C78" i="3"/>
  <c r="B78" i="3"/>
  <c r="A78" i="3"/>
  <c r="X77" i="3"/>
  <c r="W77" i="3"/>
  <c r="U77" i="3"/>
  <c r="T77" i="3"/>
  <c r="S77" i="3"/>
  <c r="R77" i="3"/>
  <c r="Q77" i="3"/>
  <c r="P77" i="3"/>
  <c r="O77" i="3"/>
  <c r="N77" i="3"/>
  <c r="M77" i="3"/>
  <c r="L77" i="3"/>
  <c r="K77" i="3"/>
  <c r="J77" i="3"/>
  <c r="H77" i="3"/>
  <c r="G77" i="3"/>
  <c r="F77" i="3"/>
  <c r="E77" i="3"/>
  <c r="D77" i="3"/>
  <c r="C77" i="3"/>
  <c r="B77" i="3"/>
  <c r="A77" i="3"/>
  <c r="X76" i="3"/>
  <c r="W76" i="3"/>
  <c r="U76" i="3"/>
  <c r="T76" i="3"/>
  <c r="S76" i="3"/>
  <c r="R76" i="3"/>
  <c r="Q76" i="3"/>
  <c r="P76" i="3"/>
  <c r="O76" i="3"/>
  <c r="N76" i="3"/>
  <c r="M76" i="3"/>
  <c r="L76" i="3"/>
  <c r="K76" i="3"/>
  <c r="J76" i="3"/>
  <c r="H76" i="3"/>
  <c r="G76" i="3"/>
  <c r="F76" i="3"/>
  <c r="D76" i="3"/>
  <c r="C76" i="3"/>
  <c r="B76" i="3"/>
  <c r="A76" i="3"/>
  <c r="X75" i="3"/>
  <c r="W75" i="3"/>
  <c r="V75" i="3"/>
  <c r="U75" i="3"/>
  <c r="T75" i="3"/>
  <c r="S75" i="3"/>
  <c r="R75" i="3"/>
  <c r="Q75" i="3"/>
  <c r="P75" i="3"/>
  <c r="O75" i="3"/>
  <c r="N75" i="3"/>
  <c r="M75" i="3"/>
  <c r="L75" i="3"/>
  <c r="K75" i="3"/>
  <c r="J75" i="3"/>
  <c r="H75" i="3"/>
  <c r="G75" i="3"/>
  <c r="F75" i="3"/>
  <c r="E75" i="3"/>
  <c r="D75" i="3"/>
  <c r="C75" i="3"/>
  <c r="B75" i="3"/>
  <c r="A75" i="3"/>
  <c r="X74" i="3"/>
  <c r="W74" i="3"/>
  <c r="U74" i="3"/>
  <c r="T74" i="3"/>
  <c r="S74" i="3"/>
  <c r="R74" i="3"/>
  <c r="Q74" i="3"/>
  <c r="P74" i="3"/>
  <c r="O74" i="3"/>
  <c r="N74" i="3"/>
  <c r="M74" i="3"/>
  <c r="L74" i="3"/>
  <c r="K74" i="3"/>
  <c r="J74" i="3"/>
  <c r="H74" i="3"/>
  <c r="G74" i="3"/>
  <c r="F74" i="3"/>
  <c r="D74" i="3"/>
  <c r="C74" i="3"/>
  <c r="B74" i="3"/>
  <c r="A74" i="3"/>
  <c r="X73" i="3"/>
  <c r="W73" i="3"/>
  <c r="V73" i="3"/>
  <c r="U73" i="3"/>
  <c r="T73" i="3"/>
  <c r="S73" i="3"/>
  <c r="R73" i="3"/>
  <c r="Q73" i="3"/>
  <c r="P73" i="3"/>
  <c r="O73" i="3"/>
  <c r="N73" i="3"/>
  <c r="M73" i="3"/>
  <c r="L73" i="3"/>
  <c r="K73" i="3"/>
  <c r="J73" i="3"/>
  <c r="I73" i="3"/>
  <c r="H73" i="3"/>
  <c r="G73" i="3"/>
  <c r="F73" i="3"/>
  <c r="E73" i="3"/>
  <c r="D73" i="3"/>
  <c r="C73" i="3"/>
  <c r="B73" i="3"/>
  <c r="A73" i="3"/>
  <c r="X72" i="3"/>
  <c r="W72" i="3"/>
  <c r="V72" i="3"/>
  <c r="U72" i="3"/>
  <c r="T72" i="3"/>
  <c r="S72" i="3"/>
  <c r="R72" i="3"/>
  <c r="Q72" i="3"/>
  <c r="P72" i="3"/>
  <c r="O72" i="3"/>
  <c r="N72" i="3"/>
  <c r="M72" i="3"/>
  <c r="L72" i="3"/>
  <c r="K72" i="3"/>
  <c r="J72" i="3"/>
  <c r="I72" i="3"/>
  <c r="H72" i="3"/>
  <c r="G72" i="3"/>
  <c r="F72" i="3"/>
  <c r="E72" i="3"/>
  <c r="D72" i="3"/>
  <c r="C72" i="3"/>
  <c r="B72" i="3"/>
  <c r="A72" i="3"/>
  <c r="X71" i="3"/>
  <c r="W71" i="3"/>
  <c r="U71" i="3"/>
  <c r="T71" i="3"/>
  <c r="S71" i="3"/>
  <c r="R71" i="3"/>
  <c r="Q71" i="3"/>
  <c r="P71" i="3"/>
  <c r="O71" i="3"/>
  <c r="N71" i="3"/>
  <c r="M71" i="3"/>
  <c r="L71" i="3"/>
  <c r="K71" i="3"/>
  <c r="J71" i="3"/>
  <c r="H71" i="3"/>
  <c r="G71" i="3"/>
  <c r="F71" i="3"/>
  <c r="E71" i="3"/>
  <c r="D71" i="3"/>
  <c r="C71" i="3"/>
  <c r="B71" i="3"/>
  <c r="A71" i="3"/>
  <c r="X70" i="3"/>
  <c r="W70" i="3"/>
  <c r="V70" i="3"/>
  <c r="U70" i="3"/>
  <c r="T70" i="3"/>
  <c r="S70" i="3"/>
  <c r="R70" i="3"/>
  <c r="Q70" i="3"/>
  <c r="P70" i="3"/>
  <c r="O70" i="3"/>
  <c r="N70" i="3"/>
  <c r="M70" i="3"/>
  <c r="L70" i="3"/>
  <c r="K70" i="3"/>
  <c r="J70" i="3"/>
  <c r="I70" i="3"/>
  <c r="H70" i="3"/>
  <c r="G70" i="3"/>
  <c r="F70" i="3"/>
  <c r="E70" i="3"/>
  <c r="D70" i="3"/>
  <c r="C70" i="3"/>
  <c r="B70" i="3"/>
  <c r="A70" i="3"/>
  <c r="X69" i="3"/>
  <c r="W69" i="3"/>
  <c r="U69" i="3"/>
  <c r="T69" i="3"/>
  <c r="S69" i="3"/>
  <c r="R69" i="3"/>
  <c r="Q69" i="3"/>
  <c r="P69" i="3"/>
  <c r="O69" i="3"/>
  <c r="N69" i="3"/>
  <c r="M69" i="3"/>
  <c r="L69" i="3"/>
  <c r="K69" i="3"/>
  <c r="J69" i="3"/>
  <c r="H69" i="3"/>
  <c r="G69" i="3"/>
  <c r="F69" i="3"/>
  <c r="E69" i="3"/>
  <c r="D69" i="3"/>
  <c r="C69" i="3"/>
  <c r="B69" i="3"/>
  <c r="A69" i="3"/>
  <c r="X68" i="3"/>
  <c r="W68" i="3"/>
  <c r="V68" i="3"/>
  <c r="U68" i="3"/>
  <c r="T68" i="3"/>
  <c r="S68" i="3"/>
  <c r="R68" i="3"/>
  <c r="Q68" i="3"/>
  <c r="P68" i="3"/>
  <c r="O68" i="3"/>
  <c r="N68" i="3"/>
  <c r="M68" i="3"/>
  <c r="L68" i="3"/>
  <c r="K68" i="3"/>
  <c r="J68" i="3"/>
  <c r="H68" i="3"/>
  <c r="G68" i="3"/>
  <c r="F68" i="3"/>
  <c r="E68" i="3"/>
  <c r="D68" i="3"/>
  <c r="C68" i="3"/>
  <c r="B68" i="3"/>
  <c r="A68" i="3"/>
  <c r="X67" i="3"/>
  <c r="W67" i="3"/>
  <c r="V67" i="3"/>
  <c r="U67" i="3"/>
  <c r="T67" i="3"/>
  <c r="S67" i="3"/>
  <c r="R67" i="3"/>
  <c r="Q67" i="3"/>
  <c r="P67" i="3"/>
  <c r="O67" i="3"/>
  <c r="N67" i="3"/>
  <c r="M67" i="3"/>
  <c r="L67" i="3"/>
  <c r="K67" i="3"/>
  <c r="J67" i="3"/>
  <c r="I67" i="3"/>
  <c r="H67" i="3"/>
  <c r="G67" i="3"/>
  <c r="F67" i="3"/>
  <c r="E67" i="3"/>
  <c r="D67" i="3"/>
  <c r="C67" i="3"/>
  <c r="B67" i="3"/>
  <c r="A67" i="3"/>
  <c r="X66" i="3"/>
  <c r="W66" i="3"/>
  <c r="U66" i="3"/>
  <c r="T66" i="3"/>
  <c r="S66" i="3"/>
  <c r="R66" i="3"/>
  <c r="Q66" i="3"/>
  <c r="P66" i="3"/>
  <c r="O66" i="3"/>
  <c r="N66" i="3"/>
  <c r="M66" i="3"/>
  <c r="L66" i="3"/>
  <c r="K66" i="3"/>
  <c r="J66" i="3"/>
  <c r="H66" i="3"/>
  <c r="G66" i="3"/>
  <c r="F66" i="3"/>
  <c r="E66" i="3"/>
  <c r="D66" i="3"/>
  <c r="C66" i="3"/>
  <c r="B66" i="3"/>
  <c r="A66" i="3"/>
  <c r="X65" i="3"/>
  <c r="W65" i="3"/>
  <c r="V65" i="3"/>
  <c r="U65" i="3"/>
  <c r="T65" i="3"/>
  <c r="S65" i="3"/>
  <c r="R65" i="3"/>
  <c r="Q65" i="3"/>
  <c r="P65" i="3"/>
  <c r="O65" i="3"/>
  <c r="N65" i="3"/>
  <c r="M65" i="3"/>
  <c r="L65" i="3"/>
  <c r="K65" i="3"/>
  <c r="J65" i="3"/>
  <c r="H65" i="3"/>
  <c r="G65" i="3"/>
  <c r="F65" i="3"/>
  <c r="E65" i="3"/>
  <c r="D65" i="3"/>
  <c r="C65" i="3"/>
  <c r="B65" i="3"/>
  <c r="A65" i="3"/>
  <c r="X64" i="3"/>
  <c r="W64" i="3"/>
  <c r="U64" i="3"/>
  <c r="T64" i="3"/>
  <c r="S64" i="3"/>
  <c r="R64" i="3"/>
  <c r="Q64" i="3"/>
  <c r="P64" i="3"/>
  <c r="O64" i="3"/>
  <c r="N64" i="3"/>
  <c r="M64" i="3"/>
  <c r="L64" i="3"/>
  <c r="K64" i="3"/>
  <c r="J64" i="3"/>
  <c r="H64" i="3"/>
  <c r="G64" i="3"/>
  <c r="F64" i="3"/>
  <c r="E64" i="3"/>
  <c r="D64" i="3"/>
  <c r="C64" i="3"/>
  <c r="B64" i="3"/>
  <c r="A64" i="3"/>
  <c r="X63" i="3"/>
  <c r="W63" i="3"/>
  <c r="U63" i="3"/>
  <c r="T63" i="3"/>
  <c r="S63" i="3"/>
  <c r="R63" i="3"/>
  <c r="Q63" i="3"/>
  <c r="P63" i="3"/>
  <c r="O63" i="3"/>
  <c r="N63" i="3"/>
  <c r="M63" i="3"/>
  <c r="L63" i="3"/>
  <c r="K63" i="3"/>
  <c r="J63" i="3"/>
  <c r="H63" i="3"/>
  <c r="G63" i="3"/>
  <c r="F63" i="3"/>
  <c r="E63" i="3"/>
  <c r="D63" i="3"/>
  <c r="C63" i="3"/>
  <c r="B63" i="3"/>
  <c r="A63" i="3"/>
  <c r="X62" i="3"/>
  <c r="W62" i="3"/>
  <c r="U62" i="3"/>
  <c r="T62" i="3"/>
  <c r="S62" i="3"/>
  <c r="R62" i="3"/>
  <c r="Q62" i="3"/>
  <c r="P62" i="3"/>
  <c r="O62" i="3"/>
  <c r="N62" i="3"/>
  <c r="M62" i="3"/>
  <c r="L62" i="3"/>
  <c r="K62" i="3"/>
  <c r="J62" i="3"/>
  <c r="H62" i="3"/>
  <c r="G62" i="3"/>
  <c r="F62" i="3"/>
  <c r="D62" i="3"/>
  <c r="C62" i="3"/>
  <c r="B62" i="3"/>
  <c r="A62" i="3"/>
  <c r="X61" i="3"/>
  <c r="W61" i="3"/>
  <c r="V61" i="3"/>
  <c r="U61" i="3"/>
  <c r="T61" i="3"/>
  <c r="S61" i="3"/>
  <c r="R61" i="3"/>
  <c r="Q61" i="3"/>
  <c r="P61" i="3"/>
  <c r="O61" i="3"/>
  <c r="N61" i="3"/>
  <c r="M61" i="3"/>
  <c r="L61" i="3"/>
  <c r="K61" i="3"/>
  <c r="J61" i="3"/>
  <c r="H61" i="3"/>
  <c r="G61" i="3"/>
  <c r="F61" i="3"/>
  <c r="E61" i="3"/>
  <c r="D61" i="3"/>
  <c r="C61" i="3"/>
  <c r="B61" i="3"/>
  <c r="A61" i="3"/>
  <c r="X60" i="3"/>
  <c r="W60" i="3"/>
  <c r="U60" i="3"/>
  <c r="T60" i="3"/>
  <c r="S60" i="3"/>
  <c r="R60" i="3"/>
  <c r="Q60" i="3"/>
  <c r="P60" i="3"/>
  <c r="O60" i="3"/>
  <c r="N60" i="3"/>
  <c r="M60" i="3"/>
  <c r="L60" i="3"/>
  <c r="K60" i="3"/>
  <c r="J60" i="3"/>
  <c r="H60" i="3"/>
  <c r="G60" i="3"/>
  <c r="F60" i="3"/>
  <c r="E60" i="3"/>
  <c r="D60" i="3"/>
  <c r="C60" i="3"/>
  <c r="B60" i="3"/>
  <c r="A60" i="3"/>
  <c r="X59" i="3"/>
  <c r="W59" i="3"/>
  <c r="U59" i="3"/>
  <c r="T59" i="3"/>
  <c r="S59" i="3"/>
  <c r="R59" i="3"/>
  <c r="Q59" i="3"/>
  <c r="P59" i="3"/>
  <c r="O59" i="3"/>
  <c r="N59" i="3"/>
  <c r="M59" i="3"/>
  <c r="L59" i="3"/>
  <c r="K59" i="3"/>
  <c r="J59" i="3"/>
  <c r="H59" i="3"/>
  <c r="G59" i="3"/>
  <c r="F59" i="3"/>
  <c r="E59" i="3"/>
  <c r="D59" i="3"/>
  <c r="C59" i="3"/>
  <c r="B59" i="3"/>
  <c r="A59" i="3"/>
  <c r="X58" i="3"/>
  <c r="W58" i="3"/>
  <c r="V58" i="3"/>
  <c r="U58" i="3"/>
  <c r="T58" i="3"/>
  <c r="S58" i="3"/>
  <c r="R58" i="3"/>
  <c r="Q58" i="3"/>
  <c r="P58" i="3"/>
  <c r="O58" i="3"/>
  <c r="N58" i="3"/>
  <c r="M58" i="3"/>
  <c r="L58" i="3"/>
  <c r="K58" i="3"/>
  <c r="J58" i="3"/>
  <c r="H58" i="3"/>
  <c r="G58" i="3"/>
  <c r="F58" i="3"/>
  <c r="E58" i="3"/>
  <c r="D58" i="3"/>
  <c r="C58" i="3"/>
  <c r="B58" i="3"/>
  <c r="A58" i="3"/>
  <c r="X57" i="3"/>
  <c r="W57" i="3"/>
  <c r="U57" i="3"/>
  <c r="T57" i="3"/>
  <c r="S57" i="3"/>
  <c r="R57" i="3"/>
  <c r="Q57" i="3"/>
  <c r="P57" i="3"/>
  <c r="O57" i="3"/>
  <c r="N57" i="3"/>
  <c r="M57" i="3"/>
  <c r="L57" i="3"/>
  <c r="K57" i="3"/>
  <c r="J57" i="3"/>
  <c r="H57" i="3"/>
  <c r="G57" i="3"/>
  <c r="F57" i="3"/>
  <c r="E57" i="3"/>
  <c r="D57" i="3"/>
  <c r="C57" i="3"/>
  <c r="B57" i="3"/>
  <c r="A57" i="3"/>
  <c r="X56" i="3"/>
  <c r="W56" i="3"/>
  <c r="U56" i="3"/>
  <c r="T56" i="3"/>
  <c r="S56" i="3"/>
  <c r="R56" i="3"/>
  <c r="Q56" i="3"/>
  <c r="P56" i="3"/>
  <c r="O56" i="3"/>
  <c r="N56" i="3"/>
  <c r="M56" i="3"/>
  <c r="L56" i="3"/>
  <c r="K56" i="3"/>
  <c r="J56" i="3"/>
  <c r="H56" i="3"/>
  <c r="G56" i="3"/>
  <c r="F56" i="3"/>
  <c r="E56" i="3"/>
  <c r="D56" i="3"/>
  <c r="C56" i="3"/>
  <c r="B56" i="3"/>
  <c r="A56" i="3"/>
  <c r="X55" i="3"/>
  <c r="W55" i="3"/>
  <c r="V55" i="3"/>
  <c r="U55" i="3"/>
  <c r="T55" i="3"/>
  <c r="S55" i="3"/>
  <c r="R55" i="3"/>
  <c r="Q55" i="3"/>
  <c r="P55" i="3"/>
  <c r="O55" i="3"/>
  <c r="N55" i="3"/>
  <c r="M55" i="3"/>
  <c r="L55" i="3"/>
  <c r="K55" i="3"/>
  <c r="J55" i="3"/>
  <c r="H55" i="3"/>
  <c r="G55" i="3"/>
  <c r="F55" i="3"/>
  <c r="E55" i="3"/>
  <c r="D55" i="3"/>
  <c r="C55" i="3"/>
  <c r="B55" i="3"/>
  <c r="A55" i="3"/>
  <c r="X54" i="3"/>
  <c r="W54" i="3"/>
  <c r="V54" i="3"/>
  <c r="U54" i="3"/>
  <c r="T54" i="3"/>
  <c r="S54" i="3"/>
  <c r="R54" i="3"/>
  <c r="Q54" i="3"/>
  <c r="P54" i="3"/>
  <c r="O54" i="3"/>
  <c r="N54" i="3"/>
  <c r="M54" i="3"/>
  <c r="L54" i="3"/>
  <c r="K54" i="3"/>
  <c r="J54" i="3"/>
  <c r="H54" i="3"/>
  <c r="G54" i="3"/>
  <c r="F54" i="3"/>
  <c r="E54" i="3"/>
  <c r="D54" i="3"/>
  <c r="C54" i="3"/>
  <c r="B54" i="3"/>
  <c r="A54" i="3"/>
  <c r="X53" i="3"/>
  <c r="W53" i="3"/>
  <c r="V53" i="3"/>
  <c r="U53" i="3"/>
  <c r="T53" i="3"/>
  <c r="S53" i="3"/>
  <c r="R53" i="3"/>
  <c r="Q53" i="3"/>
  <c r="P53" i="3"/>
  <c r="O53" i="3"/>
  <c r="N53" i="3"/>
  <c r="M53" i="3"/>
  <c r="L53" i="3"/>
  <c r="K53" i="3"/>
  <c r="J53" i="3"/>
  <c r="I53" i="3"/>
  <c r="H53" i="3"/>
  <c r="G53" i="3"/>
  <c r="F53" i="3"/>
  <c r="E53" i="3"/>
  <c r="D53" i="3"/>
  <c r="C53" i="3"/>
  <c r="B53" i="3"/>
  <c r="A53" i="3"/>
  <c r="X52" i="3"/>
  <c r="W52" i="3"/>
  <c r="V52" i="3"/>
  <c r="U52" i="3"/>
  <c r="T52" i="3"/>
  <c r="S52" i="3"/>
  <c r="R52" i="3"/>
  <c r="Q52" i="3"/>
  <c r="P52" i="3"/>
  <c r="O52" i="3"/>
  <c r="N52" i="3"/>
  <c r="M52" i="3"/>
  <c r="L52" i="3"/>
  <c r="K52" i="3"/>
  <c r="J52" i="3"/>
  <c r="H52" i="3"/>
  <c r="G52" i="3"/>
  <c r="F52" i="3"/>
  <c r="E52" i="3"/>
  <c r="D52" i="3"/>
  <c r="C52" i="3"/>
  <c r="B52" i="3"/>
  <c r="A52" i="3"/>
  <c r="X51" i="3"/>
  <c r="W51" i="3"/>
  <c r="V51" i="3"/>
  <c r="U51" i="3"/>
  <c r="T51" i="3"/>
  <c r="R51" i="3"/>
  <c r="Q51" i="3"/>
  <c r="P51" i="3"/>
  <c r="O51" i="3"/>
  <c r="N51" i="3"/>
  <c r="M51" i="3"/>
  <c r="L51" i="3"/>
  <c r="K51" i="3"/>
  <c r="J51" i="3"/>
  <c r="H51" i="3"/>
  <c r="G51" i="3"/>
  <c r="F51" i="3"/>
  <c r="E51" i="3"/>
  <c r="D51" i="3"/>
  <c r="C51" i="3"/>
  <c r="B51" i="3"/>
  <c r="A51" i="3"/>
  <c r="X50" i="3"/>
  <c r="W50" i="3"/>
  <c r="V50" i="3"/>
  <c r="U50" i="3"/>
  <c r="T50" i="3"/>
  <c r="S50" i="3"/>
  <c r="R50" i="3"/>
  <c r="Q50" i="3"/>
  <c r="P50" i="3"/>
  <c r="O50" i="3"/>
  <c r="N50" i="3"/>
  <c r="M50" i="3"/>
  <c r="L50" i="3"/>
  <c r="K50" i="3"/>
  <c r="J50" i="3"/>
  <c r="H50" i="3"/>
  <c r="G50" i="3"/>
  <c r="F50" i="3"/>
  <c r="E50" i="3"/>
  <c r="D50" i="3"/>
  <c r="C50" i="3"/>
  <c r="B50" i="3"/>
  <c r="A50" i="3"/>
  <c r="X49" i="3"/>
  <c r="W49" i="3"/>
  <c r="U49" i="3"/>
  <c r="T49" i="3"/>
  <c r="S49" i="3"/>
  <c r="R49" i="3"/>
  <c r="Q49" i="3"/>
  <c r="P49" i="3"/>
  <c r="O49" i="3"/>
  <c r="N49" i="3"/>
  <c r="M49" i="3"/>
  <c r="L49" i="3"/>
  <c r="K49" i="3"/>
  <c r="J49" i="3"/>
  <c r="H49" i="3"/>
  <c r="G49" i="3"/>
  <c r="F49" i="3"/>
  <c r="E49" i="3"/>
  <c r="D49" i="3"/>
  <c r="C49" i="3"/>
  <c r="B49" i="3"/>
  <c r="A49" i="3"/>
  <c r="X48" i="3"/>
  <c r="W48" i="3"/>
  <c r="U48" i="3"/>
  <c r="T48" i="3"/>
  <c r="S48" i="3"/>
  <c r="R48" i="3"/>
  <c r="Q48" i="3"/>
  <c r="P48" i="3"/>
  <c r="O48" i="3"/>
  <c r="N48" i="3"/>
  <c r="M48" i="3"/>
  <c r="L48" i="3"/>
  <c r="K48" i="3"/>
  <c r="J48" i="3"/>
  <c r="H48" i="3"/>
  <c r="G48" i="3"/>
  <c r="F48" i="3"/>
  <c r="E48" i="3"/>
  <c r="D48" i="3"/>
  <c r="C48" i="3"/>
  <c r="B48" i="3"/>
  <c r="A48" i="3"/>
  <c r="X47" i="3"/>
  <c r="W47" i="3"/>
  <c r="V47" i="3"/>
  <c r="U47" i="3"/>
  <c r="T47" i="3"/>
  <c r="S47" i="3"/>
  <c r="R47" i="3"/>
  <c r="Q47" i="3"/>
  <c r="P47" i="3"/>
  <c r="O47" i="3"/>
  <c r="N47" i="3"/>
  <c r="M47" i="3"/>
  <c r="L47" i="3"/>
  <c r="K47" i="3"/>
  <c r="J47" i="3"/>
  <c r="H47" i="3"/>
  <c r="F47" i="3"/>
  <c r="E47" i="3"/>
  <c r="D47" i="3"/>
  <c r="C47" i="3"/>
  <c r="B47" i="3"/>
  <c r="A47" i="3"/>
  <c r="X46" i="3"/>
  <c r="W46" i="3"/>
  <c r="U46" i="3"/>
  <c r="T46" i="3"/>
  <c r="S46" i="3"/>
  <c r="R46" i="3"/>
  <c r="Q46" i="3"/>
  <c r="P46" i="3"/>
  <c r="O46" i="3"/>
  <c r="N46" i="3"/>
  <c r="M46" i="3"/>
  <c r="L46" i="3"/>
  <c r="K46" i="3"/>
  <c r="J46" i="3"/>
  <c r="H46" i="3"/>
  <c r="G46" i="3"/>
  <c r="F46" i="3"/>
  <c r="E46" i="3"/>
  <c r="D46" i="3"/>
  <c r="C46" i="3"/>
  <c r="B46" i="3"/>
  <c r="A46" i="3"/>
  <c r="X45" i="3"/>
  <c r="W45" i="3"/>
  <c r="V45" i="3"/>
  <c r="U45" i="3"/>
  <c r="T45" i="3"/>
  <c r="S45" i="3"/>
  <c r="R45" i="3"/>
  <c r="Q45" i="3"/>
  <c r="P45" i="3"/>
  <c r="O45" i="3"/>
  <c r="N45" i="3"/>
  <c r="M45" i="3"/>
  <c r="L45" i="3"/>
  <c r="K45" i="3"/>
  <c r="J45" i="3"/>
  <c r="H45" i="3"/>
  <c r="G45" i="3"/>
  <c r="F45" i="3"/>
  <c r="E45" i="3"/>
  <c r="D45" i="3"/>
  <c r="C45" i="3"/>
  <c r="B45" i="3"/>
  <c r="A45" i="3"/>
  <c r="X44" i="3"/>
  <c r="W44" i="3"/>
  <c r="U44" i="3"/>
  <c r="T44" i="3"/>
  <c r="S44" i="3"/>
  <c r="R44" i="3"/>
  <c r="Q44" i="3"/>
  <c r="P44" i="3"/>
  <c r="O44" i="3"/>
  <c r="N44" i="3"/>
  <c r="M44" i="3"/>
  <c r="L44" i="3"/>
  <c r="K44" i="3"/>
  <c r="J44" i="3"/>
  <c r="H44" i="3"/>
  <c r="G44" i="3"/>
  <c r="F44" i="3"/>
  <c r="E44" i="3"/>
  <c r="D44" i="3"/>
  <c r="C44" i="3"/>
  <c r="B44" i="3"/>
  <c r="A44" i="3"/>
  <c r="X43" i="3"/>
  <c r="W43" i="3"/>
  <c r="U43" i="3"/>
  <c r="T43" i="3"/>
  <c r="S43" i="3"/>
  <c r="R43" i="3"/>
  <c r="Q43" i="3"/>
  <c r="P43" i="3"/>
  <c r="O43" i="3"/>
  <c r="N43" i="3"/>
  <c r="M43" i="3"/>
  <c r="L43" i="3"/>
  <c r="K43" i="3"/>
  <c r="J43" i="3"/>
  <c r="H43" i="3"/>
  <c r="G43" i="3"/>
  <c r="F43" i="3"/>
  <c r="E43" i="3"/>
  <c r="D43" i="3"/>
  <c r="C43" i="3"/>
  <c r="B43" i="3"/>
  <c r="A43" i="3"/>
  <c r="X42" i="3"/>
  <c r="W42" i="3"/>
  <c r="U42" i="3"/>
  <c r="T42" i="3"/>
  <c r="S42" i="3"/>
  <c r="R42" i="3"/>
  <c r="Q42" i="3"/>
  <c r="P42" i="3"/>
  <c r="O42" i="3"/>
  <c r="N42" i="3"/>
  <c r="M42" i="3"/>
  <c r="L42" i="3"/>
  <c r="K42" i="3"/>
  <c r="J42" i="3"/>
  <c r="H42" i="3"/>
  <c r="G42" i="3"/>
  <c r="F42" i="3"/>
  <c r="E42" i="3"/>
  <c r="D42" i="3"/>
  <c r="C42" i="3"/>
  <c r="B42" i="3"/>
  <c r="A42" i="3"/>
  <c r="X41" i="3"/>
  <c r="W41" i="3"/>
  <c r="V41" i="3"/>
  <c r="U41" i="3"/>
  <c r="T41" i="3"/>
  <c r="S41" i="3"/>
  <c r="R41" i="3"/>
  <c r="Q41" i="3"/>
  <c r="P41" i="3"/>
  <c r="O41" i="3"/>
  <c r="N41" i="3"/>
  <c r="M41" i="3"/>
  <c r="L41" i="3"/>
  <c r="K41" i="3"/>
  <c r="J41" i="3"/>
  <c r="H41" i="3"/>
  <c r="G41" i="3"/>
  <c r="F41" i="3"/>
  <c r="E41" i="3"/>
  <c r="D41" i="3"/>
  <c r="C41" i="3"/>
  <c r="B41" i="3"/>
  <c r="A41" i="3"/>
  <c r="X40" i="3"/>
  <c r="W40" i="3"/>
  <c r="U40" i="3"/>
  <c r="T40" i="3"/>
  <c r="S40" i="3"/>
  <c r="R40" i="3"/>
  <c r="Q40" i="3"/>
  <c r="P40" i="3"/>
  <c r="O40" i="3"/>
  <c r="N40" i="3"/>
  <c r="M40" i="3"/>
  <c r="L40" i="3"/>
  <c r="K40" i="3"/>
  <c r="J40" i="3"/>
  <c r="H40" i="3"/>
  <c r="G40" i="3"/>
  <c r="F40" i="3"/>
  <c r="E40" i="3"/>
  <c r="D40" i="3"/>
  <c r="C40" i="3"/>
  <c r="B40" i="3"/>
  <c r="A40" i="3"/>
  <c r="X39" i="3"/>
  <c r="W39" i="3"/>
  <c r="U39" i="3"/>
  <c r="T39" i="3"/>
  <c r="S39" i="3"/>
  <c r="R39" i="3"/>
  <c r="Q39" i="3"/>
  <c r="P39" i="3"/>
  <c r="O39" i="3"/>
  <c r="N39" i="3"/>
  <c r="M39" i="3"/>
  <c r="L39" i="3"/>
  <c r="K39" i="3"/>
  <c r="J39" i="3"/>
  <c r="H39" i="3"/>
  <c r="G39" i="3"/>
  <c r="F39" i="3"/>
  <c r="E39" i="3"/>
  <c r="D39" i="3"/>
  <c r="C39" i="3"/>
  <c r="B39" i="3"/>
  <c r="A39" i="3"/>
  <c r="X38" i="3"/>
  <c r="W38" i="3"/>
  <c r="U38" i="3"/>
  <c r="T38" i="3"/>
  <c r="S38" i="3"/>
  <c r="R38" i="3"/>
  <c r="Q38" i="3"/>
  <c r="P38" i="3"/>
  <c r="O38" i="3"/>
  <c r="N38" i="3"/>
  <c r="M38" i="3"/>
  <c r="L38" i="3"/>
  <c r="K38" i="3"/>
  <c r="J38" i="3"/>
  <c r="H38" i="3"/>
  <c r="G38" i="3"/>
  <c r="F38" i="3"/>
  <c r="E38" i="3"/>
  <c r="D38" i="3"/>
  <c r="C38" i="3"/>
  <c r="B38" i="3"/>
  <c r="A38" i="3"/>
  <c r="X37" i="3"/>
  <c r="W37" i="3"/>
  <c r="U37" i="3"/>
  <c r="T37" i="3"/>
  <c r="S37" i="3"/>
  <c r="R37" i="3"/>
  <c r="Q37" i="3"/>
  <c r="P37" i="3"/>
  <c r="O37" i="3"/>
  <c r="N37" i="3"/>
  <c r="M37" i="3"/>
  <c r="L37" i="3"/>
  <c r="K37" i="3"/>
  <c r="J37" i="3"/>
  <c r="H37" i="3"/>
  <c r="G37" i="3"/>
  <c r="F37" i="3"/>
  <c r="E37" i="3"/>
  <c r="D37" i="3"/>
  <c r="C37" i="3"/>
  <c r="B37" i="3"/>
  <c r="A37" i="3"/>
  <c r="X36" i="3"/>
  <c r="W36" i="3"/>
  <c r="U36" i="3"/>
  <c r="T36" i="3"/>
  <c r="S36" i="3"/>
  <c r="R36" i="3"/>
  <c r="Q36" i="3"/>
  <c r="P36" i="3"/>
  <c r="O36" i="3"/>
  <c r="N36" i="3"/>
  <c r="M36" i="3"/>
  <c r="L36" i="3"/>
  <c r="K36" i="3"/>
  <c r="J36" i="3"/>
  <c r="H36" i="3"/>
  <c r="G36" i="3"/>
  <c r="F36" i="3"/>
  <c r="E36" i="3"/>
  <c r="D36" i="3"/>
  <c r="C36" i="3"/>
  <c r="B36" i="3"/>
  <c r="A36" i="3"/>
  <c r="X35" i="3"/>
  <c r="W35" i="3"/>
  <c r="V35" i="3"/>
  <c r="U35" i="3"/>
  <c r="T35" i="3"/>
  <c r="S35" i="3"/>
  <c r="R35" i="3"/>
  <c r="Q35" i="3"/>
  <c r="P35" i="3"/>
  <c r="O35" i="3"/>
  <c r="N35" i="3"/>
  <c r="M35" i="3"/>
  <c r="L35" i="3"/>
  <c r="K35" i="3"/>
  <c r="J35" i="3"/>
  <c r="I35" i="3"/>
  <c r="H35" i="3"/>
  <c r="G35" i="3"/>
  <c r="F35" i="3"/>
  <c r="E35" i="3"/>
  <c r="D35" i="3"/>
  <c r="C35" i="3"/>
  <c r="B35" i="3"/>
  <c r="A35" i="3"/>
  <c r="X34" i="3"/>
  <c r="W34" i="3"/>
  <c r="U34" i="3"/>
  <c r="T34" i="3"/>
  <c r="S34" i="3"/>
  <c r="R34" i="3"/>
  <c r="Q34" i="3"/>
  <c r="P34" i="3"/>
  <c r="O34" i="3"/>
  <c r="N34" i="3"/>
  <c r="M34" i="3"/>
  <c r="L34" i="3"/>
  <c r="K34" i="3"/>
  <c r="J34" i="3"/>
  <c r="H34" i="3"/>
  <c r="G34" i="3"/>
  <c r="F34" i="3"/>
  <c r="E34" i="3"/>
  <c r="D34" i="3"/>
  <c r="C34" i="3"/>
  <c r="B34" i="3"/>
  <c r="A34" i="3"/>
  <c r="X33" i="3"/>
  <c r="W33" i="3"/>
  <c r="U33" i="3"/>
  <c r="T33" i="3"/>
  <c r="S33" i="3"/>
  <c r="R33" i="3"/>
  <c r="Q33" i="3"/>
  <c r="P33" i="3"/>
  <c r="O33" i="3"/>
  <c r="N33" i="3"/>
  <c r="M33" i="3"/>
  <c r="L33" i="3"/>
  <c r="K33" i="3"/>
  <c r="J33" i="3"/>
  <c r="H33" i="3"/>
  <c r="G33" i="3"/>
  <c r="F33" i="3"/>
  <c r="E33" i="3"/>
  <c r="D33" i="3"/>
  <c r="C33" i="3"/>
  <c r="B33" i="3"/>
  <c r="A33" i="3"/>
  <c r="X32" i="3"/>
  <c r="W32" i="3"/>
  <c r="U32" i="3"/>
  <c r="T32" i="3"/>
  <c r="S32" i="3"/>
  <c r="R32" i="3"/>
  <c r="Q32" i="3"/>
  <c r="P32" i="3"/>
  <c r="O32" i="3"/>
  <c r="N32" i="3"/>
  <c r="M32" i="3"/>
  <c r="L32" i="3"/>
  <c r="K32" i="3"/>
  <c r="J32" i="3"/>
  <c r="H32" i="3"/>
  <c r="G32" i="3"/>
  <c r="F32" i="3"/>
  <c r="E32" i="3"/>
  <c r="D32" i="3"/>
  <c r="C32" i="3"/>
  <c r="B32" i="3"/>
  <c r="A32" i="3"/>
  <c r="X31" i="3"/>
  <c r="W31" i="3"/>
  <c r="U31" i="3"/>
  <c r="T31" i="3"/>
  <c r="S31" i="3"/>
  <c r="R31" i="3"/>
  <c r="Q31" i="3"/>
  <c r="P31" i="3"/>
  <c r="O31" i="3"/>
  <c r="N31" i="3"/>
  <c r="M31" i="3"/>
  <c r="L31" i="3"/>
  <c r="K31" i="3"/>
  <c r="J31" i="3"/>
  <c r="H31" i="3"/>
  <c r="G31" i="3"/>
  <c r="F31" i="3"/>
  <c r="E31" i="3"/>
  <c r="D31" i="3"/>
  <c r="C31" i="3"/>
  <c r="B31" i="3"/>
  <c r="A31" i="3"/>
  <c r="X30" i="3"/>
  <c r="W30" i="3"/>
  <c r="U30" i="3"/>
  <c r="T30" i="3"/>
  <c r="S30" i="3"/>
  <c r="R30" i="3"/>
  <c r="Q30" i="3"/>
  <c r="P30" i="3"/>
  <c r="O30" i="3"/>
  <c r="N30" i="3"/>
  <c r="M30" i="3"/>
  <c r="L30" i="3"/>
  <c r="K30" i="3"/>
  <c r="J30" i="3"/>
  <c r="H30" i="3"/>
  <c r="G30" i="3"/>
  <c r="F30" i="3"/>
  <c r="E30" i="3"/>
  <c r="D30" i="3"/>
  <c r="C30" i="3"/>
  <c r="B30" i="3"/>
  <c r="A30" i="3"/>
  <c r="X29" i="3"/>
  <c r="W29" i="3"/>
  <c r="V29" i="3"/>
  <c r="U29" i="3"/>
  <c r="T29" i="3"/>
  <c r="R29" i="3"/>
  <c r="Q29" i="3"/>
  <c r="P29" i="3"/>
  <c r="O29" i="3"/>
  <c r="N29" i="3"/>
  <c r="M29" i="3"/>
  <c r="L29" i="3"/>
  <c r="K29" i="3"/>
  <c r="J29" i="3"/>
  <c r="H29" i="3"/>
  <c r="G29" i="3"/>
  <c r="F29" i="3"/>
  <c r="E29" i="3"/>
  <c r="D29" i="3"/>
  <c r="C29" i="3"/>
  <c r="B29" i="3"/>
  <c r="A29" i="3"/>
  <c r="X28" i="3"/>
  <c r="W28" i="3"/>
  <c r="V28" i="3"/>
  <c r="U28" i="3"/>
  <c r="T28" i="3"/>
  <c r="S28" i="3"/>
  <c r="R28" i="3"/>
  <c r="Q28" i="3"/>
  <c r="P28" i="3"/>
  <c r="O28" i="3"/>
  <c r="N28" i="3"/>
  <c r="M28" i="3"/>
  <c r="L28" i="3"/>
  <c r="K28" i="3"/>
  <c r="J28" i="3"/>
  <c r="H28" i="3"/>
  <c r="G28" i="3"/>
  <c r="F28" i="3"/>
  <c r="E28" i="3"/>
  <c r="D28" i="3"/>
  <c r="C28" i="3"/>
  <c r="B28" i="3"/>
  <c r="A28" i="3"/>
  <c r="X27" i="3"/>
  <c r="W27" i="3"/>
  <c r="V27" i="3"/>
  <c r="U27" i="3"/>
  <c r="T27" i="3"/>
  <c r="R27" i="3"/>
  <c r="Q27" i="3"/>
  <c r="P27" i="3"/>
  <c r="O27" i="3"/>
  <c r="N27" i="3"/>
  <c r="M27" i="3"/>
  <c r="L27" i="3"/>
  <c r="K27" i="3"/>
  <c r="J27" i="3"/>
  <c r="H27" i="3"/>
  <c r="G27" i="3"/>
  <c r="F27" i="3"/>
  <c r="E27" i="3"/>
  <c r="D27" i="3"/>
  <c r="C27" i="3"/>
  <c r="B27" i="3"/>
  <c r="A27" i="3"/>
  <c r="X26" i="3"/>
  <c r="W26" i="3"/>
  <c r="V26" i="3"/>
  <c r="U26" i="3"/>
  <c r="T26" i="3"/>
  <c r="R26" i="3"/>
  <c r="Q26" i="3"/>
  <c r="P26" i="3"/>
  <c r="O26" i="3"/>
  <c r="N26" i="3"/>
  <c r="M26" i="3"/>
  <c r="L26" i="3"/>
  <c r="K26" i="3"/>
  <c r="J26" i="3"/>
  <c r="H26" i="3"/>
  <c r="G26" i="3"/>
  <c r="F26" i="3"/>
  <c r="E26" i="3"/>
  <c r="D26" i="3"/>
  <c r="C26" i="3"/>
  <c r="B26" i="3"/>
  <c r="A26" i="3"/>
  <c r="X25" i="3"/>
  <c r="W25" i="3"/>
  <c r="V25" i="3"/>
  <c r="U25" i="3"/>
  <c r="T25" i="3"/>
  <c r="S25" i="3"/>
  <c r="R25" i="3"/>
  <c r="Q25" i="3"/>
  <c r="P25" i="3"/>
  <c r="O25" i="3"/>
  <c r="N25" i="3"/>
  <c r="M25" i="3"/>
  <c r="L25" i="3"/>
  <c r="K25" i="3"/>
  <c r="J25" i="3"/>
  <c r="H25" i="3"/>
  <c r="G25" i="3"/>
  <c r="F25" i="3"/>
  <c r="E25" i="3"/>
  <c r="D25" i="3"/>
  <c r="C25" i="3"/>
  <c r="B25" i="3"/>
  <c r="A25" i="3"/>
  <c r="X24" i="3"/>
  <c r="W24" i="3"/>
  <c r="V24" i="3"/>
  <c r="U24" i="3"/>
  <c r="T24" i="3"/>
  <c r="S24" i="3"/>
  <c r="R24" i="3"/>
  <c r="Q24" i="3"/>
  <c r="P24" i="3"/>
  <c r="O24" i="3"/>
  <c r="N24" i="3"/>
  <c r="M24" i="3"/>
  <c r="L24" i="3"/>
  <c r="K24" i="3"/>
  <c r="J24" i="3"/>
  <c r="H24" i="3"/>
  <c r="G24" i="3"/>
  <c r="F24" i="3"/>
  <c r="E24" i="3"/>
  <c r="D24" i="3"/>
  <c r="C24" i="3"/>
  <c r="B24" i="3"/>
  <c r="A24" i="3"/>
  <c r="X23" i="3"/>
  <c r="W23" i="3"/>
  <c r="V23" i="3"/>
  <c r="U23" i="3"/>
  <c r="T23" i="3"/>
  <c r="R23" i="3"/>
  <c r="Q23" i="3"/>
  <c r="P23" i="3"/>
  <c r="O23" i="3"/>
  <c r="N23" i="3"/>
  <c r="M23" i="3"/>
  <c r="L23" i="3"/>
  <c r="K23" i="3"/>
  <c r="J23" i="3"/>
  <c r="H23" i="3"/>
  <c r="G23" i="3"/>
  <c r="F23" i="3"/>
  <c r="E23" i="3"/>
  <c r="D23" i="3"/>
  <c r="C23" i="3"/>
  <c r="B23" i="3"/>
  <c r="A23" i="3"/>
  <c r="X22" i="3"/>
  <c r="W22" i="3"/>
  <c r="V22" i="3"/>
  <c r="U22" i="3"/>
  <c r="T22" i="3"/>
  <c r="S22" i="3"/>
  <c r="R22" i="3"/>
  <c r="Q22" i="3"/>
  <c r="P22" i="3"/>
  <c r="O22" i="3"/>
  <c r="N22" i="3"/>
  <c r="M22" i="3"/>
  <c r="L22" i="3"/>
  <c r="K22" i="3"/>
  <c r="J22" i="3"/>
  <c r="H22" i="3"/>
  <c r="G22" i="3"/>
  <c r="F22" i="3"/>
  <c r="E22" i="3"/>
  <c r="D22" i="3"/>
  <c r="C22" i="3"/>
  <c r="B22" i="3"/>
  <c r="A22" i="3"/>
  <c r="X21" i="3"/>
  <c r="W21" i="3"/>
  <c r="U21" i="3"/>
  <c r="T21" i="3"/>
  <c r="R21" i="3"/>
  <c r="Q21" i="3"/>
  <c r="P21" i="3"/>
  <c r="O21" i="3"/>
  <c r="N21" i="3"/>
  <c r="M21" i="3"/>
  <c r="L21" i="3"/>
  <c r="K21" i="3"/>
  <c r="J21" i="3"/>
  <c r="H21" i="3"/>
  <c r="G21" i="3"/>
  <c r="F21" i="3"/>
  <c r="E21" i="3"/>
  <c r="D21" i="3"/>
  <c r="C21" i="3"/>
  <c r="B21" i="3"/>
  <c r="A21" i="3"/>
  <c r="X20" i="3"/>
  <c r="W20" i="3"/>
  <c r="U20" i="3"/>
  <c r="T20" i="3"/>
  <c r="R20" i="3"/>
  <c r="Q20" i="3"/>
  <c r="P20" i="3"/>
  <c r="O20" i="3"/>
  <c r="N20" i="3"/>
  <c r="M20" i="3"/>
  <c r="L20" i="3"/>
  <c r="K20" i="3"/>
  <c r="J20" i="3"/>
  <c r="H20" i="3"/>
  <c r="G20" i="3"/>
  <c r="F20" i="3"/>
  <c r="E20" i="3"/>
  <c r="D20" i="3"/>
  <c r="C20" i="3"/>
  <c r="B20" i="3"/>
  <c r="A20" i="3"/>
  <c r="X19" i="3"/>
  <c r="W19" i="3"/>
  <c r="U19" i="3"/>
  <c r="T19" i="3"/>
  <c r="R19" i="3"/>
  <c r="Q19" i="3"/>
  <c r="P19" i="3"/>
  <c r="O19" i="3"/>
  <c r="N19" i="3"/>
  <c r="M19" i="3"/>
  <c r="L19" i="3"/>
  <c r="K19" i="3"/>
  <c r="J19" i="3"/>
  <c r="H19" i="3"/>
  <c r="G19" i="3"/>
  <c r="F19" i="3"/>
  <c r="E19" i="3"/>
  <c r="D19" i="3"/>
  <c r="C19" i="3"/>
  <c r="B19" i="3"/>
  <c r="A19" i="3"/>
  <c r="X18" i="3"/>
  <c r="W18" i="3"/>
  <c r="V18" i="3"/>
  <c r="U18" i="3"/>
  <c r="T18" i="3"/>
  <c r="R18" i="3"/>
  <c r="Q18" i="3"/>
  <c r="P18" i="3"/>
  <c r="O18" i="3"/>
  <c r="N18" i="3"/>
  <c r="M18" i="3"/>
  <c r="L18" i="3"/>
  <c r="K18" i="3"/>
  <c r="J18" i="3"/>
  <c r="H18" i="3"/>
  <c r="G18" i="3"/>
  <c r="F18" i="3"/>
  <c r="E18" i="3"/>
  <c r="D18" i="3"/>
  <c r="C18" i="3"/>
  <c r="B18" i="3"/>
  <c r="A18" i="3"/>
  <c r="X17" i="3"/>
  <c r="W17" i="3"/>
  <c r="V17" i="3"/>
  <c r="U17" i="3"/>
  <c r="T17" i="3"/>
  <c r="R17" i="3"/>
  <c r="Q17" i="3"/>
  <c r="P17" i="3"/>
  <c r="O17" i="3"/>
  <c r="N17" i="3"/>
  <c r="M17" i="3"/>
  <c r="L17" i="3"/>
  <c r="K17" i="3"/>
  <c r="J17" i="3"/>
  <c r="H17" i="3"/>
  <c r="G17" i="3"/>
  <c r="F17" i="3"/>
  <c r="E17" i="3"/>
  <c r="D17" i="3"/>
  <c r="C17" i="3"/>
  <c r="B17" i="3"/>
  <c r="A17" i="3"/>
  <c r="X16" i="3"/>
  <c r="W16" i="3"/>
  <c r="V16" i="3"/>
  <c r="U16" i="3"/>
  <c r="T16" i="3"/>
  <c r="R16" i="3"/>
  <c r="Q16" i="3"/>
  <c r="P16" i="3"/>
  <c r="O16" i="3"/>
  <c r="N16" i="3"/>
  <c r="M16" i="3"/>
  <c r="L16" i="3"/>
  <c r="K16" i="3"/>
  <c r="J16" i="3"/>
  <c r="H16" i="3"/>
  <c r="G16" i="3"/>
  <c r="F16" i="3"/>
  <c r="C16" i="3"/>
  <c r="B16" i="3"/>
  <c r="A16" i="3"/>
  <c r="X15" i="3"/>
  <c r="W15" i="3"/>
  <c r="U15" i="3"/>
  <c r="T15" i="3"/>
  <c r="R15" i="3"/>
  <c r="Q15" i="3"/>
  <c r="P15" i="3"/>
  <c r="O15" i="3"/>
  <c r="N15" i="3"/>
  <c r="M15" i="3"/>
  <c r="L15" i="3"/>
  <c r="K15" i="3"/>
  <c r="J15" i="3"/>
  <c r="H15" i="3"/>
  <c r="G15" i="3"/>
  <c r="F15" i="3"/>
  <c r="E15" i="3"/>
  <c r="D15" i="3"/>
  <c r="C15" i="3"/>
  <c r="B15" i="3"/>
  <c r="A15" i="3"/>
  <c r="X14" i="3"/>
  <c r="W14" i="3"/>
  <c r="U14" i="3"/>
  <c r="T14" i="3"/>
  <c r="R14" i="3"/>
  <c r="Q14" i="3"/>
  <c r="P14" i="3"/>
  <c r="O14" i="3"/>
  <c r="N14" i="3"/>
  <c r="M14" i="3"/>
  <c r="L14" i="3"/>
  <c r="K14" i="3"/>
  <c r="J14" i="3"/>
  <c r="H14" i="3"/>
  <c r="G14" i="3"/>
  <c r="F14" i="3"/>
  <c r="E14" i="3"/>
  <c r="D14" i="3"/>
  <c r="C14" i="3"/>
  <c r="B14" i="3"/>
  <c r="A14" i="3"/>
  <c r="X13" i="3"/>
  <c r="W13" i="3"/>
  <c r="U13" i="3"/>
  <c r="T13" i="3"/>
  <c r="R13" i="3"/>
  <c r="Q13" i="3"/>
  <c r="P13" i="3"/>
  <c r="O13" i="3"/>
  <c r="N13" i="3"/>
  <c r="M13" i="3"/>
  <c r="L13" i="3"/>
  <c r="K13" i="3"/>
  <c r="J13" i="3"/>
  <c r="H13" i="3"/>
  <c r="G13" i="3"/>
  <c r="F13" i="3"/>
  <c r="E13" i="3"/>
  <c r="D13" i="3"/>
  <c r="C13" i="3"/>
  <c r="B13" i="3"/>
  <c r="A13" i="3"/>
  <c r="X12" i="3"/>
  <c r="W12" i="3"/>
  <c r="U12" i="3"/>
  <c r="T12" i="3"/>
  <c r="R12" i="3"/>
  <c r="Q12" i="3"/>
  <c r="P12" i="3"/>
  <c r="O12" i="3"/>
  <c r="N12" i="3"/>
  <c r="M12" i="3"/>
  <c r="L12" i="3"/>
  <c r="K12" i="3"/>
  <c r="J12" i="3"/>
  <c r="H12" i="3"/>
  <c r="G12" i="3"/>
  <c r="F12" i="3"/>
  <c r="E12" i="3"/>
  <c r="D12" i="3"/>
  <c r="C12" i="3"/>
  <c r="B12" i="3"/>
  <c r="A12" i="3"/>
  <c r="X11" i="3"/>
  <c r="W11" i="3"/>
  <c r="U11" i="3"/>
  <c r="T11" i="3"/>
  <c r="R11" i="3"/>
  <c r="Q11" i="3"/>
  <c r="P11" i="3"/>
  <c r="O11" i="3"/>
  <c r="N11" i="3"/>
  <c r="M11" i="3"/>
  <c r="L11" i="3"/>
  <c r="K11" i="3"/>
  <c r="J11" i="3"/>
  <c r="H11" i="3"/>
  <c r="G11" i="3"/>
  <c r="F11" i="3"/>
  <c r="E11" i="3"/>
  <c r="D11" i="3"/>
  <c r="C11" i="3"/>
  <c r="B11" i="3"/>
  <c r="A11" i="3"/>
  <c r="X10" i="3"/>
  <c r="W10" i="3"/>
  <c r="U10" i="3"/>
  <c r="T10" i="3"/>
  <c r="R10" i="3"/>
  <c r="Q10" i="3"/>
  <c r="P10" i="3"/>
  <c r="O10" i="3"/>
  <c r="N10" i="3"/>
  <c r="M10" i="3"/>
  <c r="L10" i="3"/>
  <c r="K10" i="3"/>
  <c r="J10" i="3"/>
  <c r="H10" i="3"/>
  <c r="G10" i="3"/>
  <c r="F10" i="3"/>
  <c r="E10" i="3"/>
  <c r="D10" i="3"/>
  <c r="C10" i="3"/>
  <c r="B10" i="3"/>
  <c r="A10" i="3"/>
  <c r="X9" i="3"/>
  <c r="W9" i="3"/>
  <c r="U9" i="3"/>
  <c r="T9" i="3"/>
  <c r="R9" i="3"/>
  <c r="Q9" i="3"/>
  <c r="P9" i="3"/>
  <c r="O9" i="3"/>
  <c r="N9" i="3"/>
  <c r="M9" i="3"/>
  <c r="L9" i="3"/>
  <c r="K9" i="3"/>
  <c r="J9" i="3"/>
  <c r="H9" i="3"/>
  <c r="G9" i="3"/>
  <c r="F9" i="3"/>
  <c r="D9" i="3"/>
  <c r="C9" i="3"/>
  <c r="B9" i="3"/>
  <c r="A9" i="3"/>
  <c r="X8" i="3"/>
  <c r="W8" i="3"/>
  <c r="U8" i="3"/>
  <c r="T8" i="3"/>
  <c r="R8" i="3"/>
  <c r="Q8" i="3"/>
  <c r="P8" i="3"/>
  <c r="O8" i="3"/>
  <c r="N8" i="3"/>
  <c r="M8" i="3"/>
  <c r="L8" i="3"/>
  <c r="K8" i="3"/>
  <c r="J8" i="3"/>
  <c r="H8" i="3"/>
  <c r="G8" i="3"/>
  <c r="F8" i="3"/>
  <c r="E8" i="3"/>
  <c r="D8" i="3"/>
  <c r="C8" i="3"/>
  <c r="B8" i="3"/>
  <c r="A8" i="3"/>
  <c r="X7" i="3"/>
  <c r="W7" i="3"/>
  <c r="V7" i="3"/>
  <c r="U7" i="3"/>
  <c r="T7" i="3"/>
  <c r="R7" i="3"/>
  <c r="Q7" i="3"/>
  <c r="P7" i="3"/>
  <c r="O7" i="3"/>
  <c r="N7" i="3"/>
  <c r="M7" i="3"/>
  <c r="L7" i="3"/>
  <c r="K7" i="3"/>
  <c r="J7" i="3"/>
  <c r="H7" i="3"/>
  <c r="G7" i="3"/>
  <c r="F7" i="3"/>
  <c r="E7" i="3"/>
  <c r="D7" i="3"/>
  <c r="C7" i="3"/>
  <c r="B7" i="3"/>
  <c r="A7" i="3"/>
  <c r="X6" i="3"/>
  <c r="W6" i="3"/>
  <c r="U6" i="3"/>
  <c r="T6" i="3"/>
  <c r="R6" i="3"/>
  <c r="Q6" i="3"/>
  <c r="P6" i="3"/>
  <c r="O6" i="3"/>
  <c r="N6" i="3"/>
  <c r="M6" i="3"/>
  <c r="L6" i="3"/>
  <c r="K6" i="3"/>
  <c r="J6" i="3"/>
  <c r="H6" i="3"/>
  <c r="G6" i="3"/>
  <c r="F6" i="3"/>
  <c r="E6" i="3"/>
  <c r="D6" i="3"/>
  <c r="C6" i="3"/>
  <c r="B6" i="3"/>
  <c r="A6" i="3"/>
  <c r="X5" i="3"/>
  <c r="W5" i="3"/>
  <c r="U5" i="3"/>
  <c r="T5" i="3"/>
  <c r="R5" i="3"/>
  <c r="Q5" i="3"/>
  <c r="P5" i="3"/>
  <c r="O5" i="3"/>
  <c r="N5" i="3"/>
  <c r="M5" i="3"/>
  <c r="L5" i="3"/>
  <c r="K5" i="3"/>
  <c r="J5" i="3"/>
  <c r="H5" i="3"/>
  <c r="G5" i="3"/>
  <c r="F5" i="3"/>
  <c r="E5" i="3"/>
  <c r="D5" i="3"/>
  <c r="C5" i="3"/>
  <c r="B5" i="3"/>
  <c r="A5" i="3"/>
  <c r="X4" i="3"/>
  <c r="W4" i="3"/>
  <c r="U4" i="3"/>
  <c r="T4" i="3"/>
  <c r="R4" i="3"/>
  <c r="Q4" i="3"/>
  <c r="P4" i="3"/>
  <c r="O4" i="3"/>
  <c r="N4" i="3"/>
  <c r="M4" i="3"/>
  <c r="L4" i="3"/>
  <c r="K4" i="3"/>
  <c r="J4" i="3"/>
  <c r="H4" i="3"/>
  <c r="G4" i="3"/>
  <c r="F4" i="3"/>
  <c r="E4" i="3"/>
  <c r="D4" i="3"/>
  <c r="C4" i="3"/>
  <c r="B4" i="3"/>
  <c r="A4" i="3"/>
  <c r="X3" i="3"/>
  <c r="W3" i="3"/>
  <c r="V3" i="3"/>
  <c r="U3" i="3"/>
  <c r="T3" i="3"/>
  <c r="R3" i="3"/>
  <c r="Q3" i="3"/>
  <c r="P3" i="3"/>
  <c r="O3" i="3"/>
  <c r="N3" i="3"/>
  <c r="M3" i="3"/>
  <c r="L3" i="3"/>
  <c r="K3" i="3"/>
  <c r="J3" i="3"/>
  <c r="H3" i="3"/>
  <c r="G3" i="3"/>
  <c r="F3" i="3"/>
  <c r="E3" i="3"/>
  <c r="D3" i="3"/>
  <c r="C3" i="3"/>
  <c r="B3" i="3"/>
  <c r="A3" i="3"/>
  <c r="X2" i="3"/>
  <c r="W2" i="3"/>
  <c r="U2" i="3"/>
  <c r="T2" i="3"/>
  <c r="R2" i="3"/>
  <c r="Q2" i="3"/>
  <c r="P2" i="3"/>
  <c r="O2" i="3"/>
  <c r="N2" i="3"/>
  <c r="M2" i="3"/>
  <c r="L2" i="3"/>
  <c r="K2" i="3"/>
  <c r="J2" i="3"/>
  <c r="H2" i="3"/>
  <c r="G2" i="3"/>
  <c r="F2" i="3"/>
  <c r="E2" i="3"/>
  <c r="D2" i="3"/>
  <c r="C2" i="3"/>
  <c r="B2" i="3"/>
  <c r="A2" i="3"/>
  <c r="X1" i="3"/>
  <c r="W1" i="3"/>
  <c r="V1" i="3"/>
  <c r="U1" i="3"/>
  <c r="T1" i="3"/>
  <c r="S1" i="3"/>
  <c r="R1" i="3"/>
  <c r="Q1" i="3"/>
  <c r="P1" i="3"/>
  <c r="O1" i="3"/>
  <c r="N1" i="3"/>
  <c r="M1" i="3"/>
  <c r="L1" i="3"/>
  <c r="K1" i="3"/>
  <c r="J1" i="3"/>
  <c r="I1" i="3"/>
  <c r="H1" i="3"/>
  <c r="G1" i="3"/>
  <c r="F1" i="3"/>
  <c r="E1" i="3"/>
  <c r="D1" i="3"/>
  <c r="C1" i="3"/>
  <c r="B1" i="3"/>
  <c r="A1" i="3"/>
  <c r="B37" i="4" l="1"/>
  <c r="A37" i="4"/>
  <c r="B45" i="4"/>
  <c r="A45" i="4"/>
  <c r="B72" i="4"/>
  <c r="A72" i="4"/>
  <c r="B71" i="4"/>
  <c r="A71" i="4"/>
  <c r="B70" i="4"/>
  <c r="A70" i="4"/>
  <c r="B69" i="4"/>
  <c r="A69" i="4"/>
  <c r="B51" i="4"/>
  <c r="A51" i="4"/>
  <c r="B44" i="4"/>
  <c r="A44" i="4"/>
  <c r="B42" i="4"/>
  <c r="A42" i="4"/>
  <c r="B40" i="4"/>
  <c r="A40" i="4"/>
  <c r="B39" i="4"/>
  <c r="A39" i="4"/>
  <c r="B46" i="4"/>
  <c r="A46" i="4"/>
  <c r="B26" i="4"/>
  <c r="A26" i="4"/>
  <c r="A8" i="4"/>
  <c r="B8" i="4"/>
  <c r="B83" i="4"/>
  <c r="A83" i="4"/>
  <c r="A82" i="4"/>
  <c r="B82" i="4"/>
  <c r="B43" i="4"/>
  <c r="A43" i="4"/>
  <c r="B41" i="4"/>
  <c r="A41" i="4"/>
  <c r="B36" i="4"/>
  <c r="A36" i="4"/>
  <c r="B35" i="4"/>
  <c r="A35" i="4"/>
  <c r="B31" i="4"/>
  <c r="A31" i="4"/>
  <c r="B30" i="4"/>
  <c r="A30" i="4"/>
  <c r="B27" i="4"/>
  <c r="A27" i="4"/>
  <c r="B24" i="4"/>
  <c r="A24" i="4"/>
  <c r="B4" i="4"/>
  <c r="A4" i="4"/>
  <c r="A3" i="4"/>
  <c r="B3" i="4"/>
  <c r="B2" i="4"/>
  <c r="A2" i="4"/>
  <c r="B38" i="4"/>
  <c r="A38" i="4"/>
  <c r="B34" i="4"/>
  <c r="A34" i="4"/>
  <c r="B29" i="4"/>
  <c r="A29" i="4"/>
  <c r="B32" i="4"/>
  <c r="A32" i="4"/>
  <c r="B25" i="4"/>
  <c r="A25" i="4"/>
  <c r="A33" i="4"/>
  <c r="B33" i="4"/>
</calcChain>
</file>

<file path=xl/sharedStrings.xml><?xml version="1.0" encoding="utf-8"?>
<sst xmlns="http://schemas.openxmlformats.org/spreadsheetml/2006/main" count="73" uniqueCount="35">
  <si>
    <t>Processo</t>
  </si>
  <si>
    <t>Nº processo</t>
  </si>
  <si>
    <t>Data</t>
  </si>
  <si>
    <t>nº da ata</t>
  </si>
  <si>
    <t>Secretária</t>
  </si>
  <si>
    <t>Franciane</t>
  </si>
  <si>
    <t>Patricia</t>
  </si>
  <si>
    <t>Micheline</t>
  </si>
  <si>
    <t>Débora Ribeiro</t>
  </si>
  <si>
    <t>Isadora</t>
  </si>
  <si>
    <t>SEI-260006/026927/2025</t>
  </si>
  <si>
    <t>SEI-260006/020608/2024</t>
  </si>
  <si>
    <t>SEI-260007/066075/2023</t>
  </si>
  <si>
    <t>SEI-260006/022205/2024</t>
  </si>
  <si>
    <t>SEI-260006/054138/2025</t>
  </si>
  <si>
    <t>SEI-260006/031398/2024</t>
  </si>
  <si>
    <t>SEI-260006/049393/2025</t>
  </si>
  <si>
    <t>SEI-260006/001087/2026</t>
  </si>
  <si>
    <t>SEI-260006/006530/2026</t>
  </si>
  <si>
    <t>SEI-260006/006535/2026</t>
  </si>
  <si>
    <t>SEI-260006/052805/2025</t>
  </si>
  <si>
    <t>SEI-260006/001094/2026</t>
  </si>
  <si>
    <t>SEI-260006/004904/2026</t>
  </si>
  <si>
    <t>SEI-260006/017555/2026</t>
  </si>
  <si>
    <t>SEI-260006/017550/2026</t>
  </si>
  <si>
    <t>SEI-260006/021953/2026</t>
  </si>
  <si>
    <t>SEI-260006/025174/2026</t>
  </si>
  <si>
    <t>SEI-260006/024394/2026</t>
  </si>
  <si>
    <t>SEI-260006/031053/2026</t>
  </si>
  <si>
    <t>SEI-260007/004642/2021</t>
  </si>
  <si>
    <t>SEI-260006/036056/2026</t>
  </si>
  <si>
    <t>SEI-260006/029085/2026</t>
  </si>
  <si>
    <t>SEI-260006/040128/2026</t>
  </si>
  <si>
    <t>https://sei.rj.gov.br/sei/controlador.php?acao=procedimento_trabalhar&amp;id_procedimento=134991990</t>
  </si>
  <si>
    <t>Link do processo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</si>
</sst>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
  </numFmts>
  <fonts count="5" x14ac:knownFonts="1">
    <font>
      <sz val="10"/>
      <color rgb="FF000000"/>
      <name val="Arial"/>
      <scheme val="minor"/>
    </font>
    <font>
      <sz val="10"/>
      <color theme="1"/>
      <name val="Arial"/>
      <scheme val="minor"/>
    </font>
    <font>
      <sz val="10"/>
      <color theme="1"/>
      <name val="Calibri"/>
    </font>
    <font>
      <sz val="10"/>
      <color rgb="FF000000"/>
      <name val="Calibri"/>
    </font>
    <font>
      <u/>
      <sz val="10"/>
      <color theme="10"/>
      <name val="Arial"/>
      <scheme val="minor"/>
    </font>
  </fonts>
  <fills count="4">
    <fill>
      <patternFill patternType="none"/>
    </fill>
    <fill>
      <patternFill patternType="gray125"/>
    </fill>
    <fill>
      <patternFill patternType="solid">
        <fgColor rgb="FFFFFFFF"/>
        <bgColor rgb="FFFFFFFF"/>
      </patternFill>
    </fill>
    <fill>
      <patternFill patternType="solid">
        <fgColor rgb="FFFFFF0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6">
    <xf numFmtId="0" fontId="0" fillId="0" borderId="0" xfId="0"/>
    <xf numFmtId="0" fontId="1" fillId="0" borderId="0" xfId="0" applyFont="1" applyAlignment="1">
      <alignment horizontal="center" vertical="top" wrapText="1"/>
    </xf>
    <xf numFmtId="0" fontId="2" fillId="0" borderId="0" xfId="0" applyFont="1" applyAlignment="1">
      <alignment horizontal="center" vertical="center" wrapText="1"/>
    </xf>
    <xf numFmtId="0" fontId="1" fillId="0" borderId="0" xfId="0" applyFont="1"/>
    <xf numFmtId="0" fontId="1" fillId="0" borderId="0" xfId="0" applyFont="1" applyAlignment="1">
      <alignment vertical="top"/>
    </xf>
    <xf numFmtId="14" fontId="1" fillId="0" borderId="0" xfId="0" applyNumberFormat="1" applyFont="1"/>
    <xf numFmtId="14" fontId="1" fillId="0" borderId="0" xfId="0" applyNumberFormat="1" applyFont="1" applyAlignment="1">
      <alignment vertical="top"/>
    </xf>
    <xf numFmtId="164" fontId="1" fillId="0" borderId="0" xfId="0" applyNumberFormat="1" applyFont="1"/>
    <xf numFmtId="164" fontId="1" fillId="0" borderId="0" xfId="0" applyNumberFormat="1" applyFont="1" applyAlignment="1">
      <alignment vertical="top"/>
    </xf>
    <xf numFmtId="165" fontId="1" fillId="0" borderId="0" xfId="0" applyNumberFormat="1" applyFont="1"/>
    <xf numFmtId="0" fontId="3" fillId="2" borderId="0" xfId="0" applyFont="1" applyFill="1" applyAlignment="1">
      <alignment horizontal="center" vertical="top" wrapText="1"/>
    </xf>
    <xf numFmtId="0" fontId="3" fillId="0" borderId="0" xfId="0" applyFont="1" applyAlignment="1">
      <alignment horizontal="center"/>
    </xf>
    <xf numFmtId="14" fontId="3" fillId="0" borderId="0" xfId="0" applyNumberFormat="1" applyFont="1" applyAlignment="1">
      <alignment horizontal="center"/>
    </xf>
    <xf numFmtId="0" fontId="3" fillId="0" borderId="0" xfId="0" applyFont="1" applyAlignment="1">
      <alignment horizontal="center" vertical="top"/>
    </xf>
    <xf numFmtId="0" fontId="3" fillId="3" borderId="0" xfId="0" applyFont="1" applyFill="1" applyAlignment="1">
      <alignment horizontal="center"/>
    </xf>
    <xf numFmtId="0" fontId="4" fillId="0" borderId="0" xfId="1"/>
  </cellXfs>
  <cellStyles count="2">
    <cellStyle name="Hyperlink" xfId="1" builtinId="8"/>
    <cellStyle name="Normal" xfId="0" builtinId="0"/>
  </cellStyles>
  <dxfs count="1">
    <dxf>
      <font>
        <b/>
      </font>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ei.rj.gov.br/sei/controlador.php?acao=procedimento_trabalhar&amp;id_procedimento=1349919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23"/>
  <sheetViews>
    <sheetView tabSelected="1" workbookViewId="0">
      <pane xSplit="2" ySplit="1" topLeftCell="C2" activePane="bottomRight" state="frozen"/>
      <selection pane="topRight" activeCell="C1" sqref="C1"/>
      <selection pane="bottomLeft" activeCell="A3" sqref="A3"/>
      <selection pane="bottomRight" activeCell="E12" sqref="E12"/>
    </sheetView>
  </sheetViews>
  <sheetFormatPr defaultColWidth="12.5703125" defaultRowHeight="15.75" customHeight="1" x14ac:dyDescent="0.2"/>
  <cols>
    <col min="1" max="1" width="20" customWidth="1"/>
    <col min="2" max="2" width="10.42578125" bestFit="1" customWidth="1"/>
    <col min="3" max="3" width="12.7109375" bestFit="1" customWidth="1"/>
    <col min="4" max="4" width="16.7109375" customWidth="1"/>
    <col min="5" max="5" width="85.5703125" bestFit="1" customWidth="1"/>
  </cols>
  <sheetData>
    <row r="1" spans="1:5" ht="12.75" x14ac:dyDescent="0.2">
      <c r="A1" s="2" t="s">
        <v>1</v>
      </c>
      <c r="B1" s="2" t="s">
        <v>2</v>
      </c>
      <c r="C1" s="2" t="s">
        <v>3</v>
      </c>
      <c r="D1" s="2" t="s">
        <v>4</v>
      </c>
      <c r="E1" s="2" t="s">
        <v>34</v>
      </c>
    </row>
    <row r="2" spans="1:5" ht="12.75" x14ac:dyDescent="0.2">
      <c r="A2" s="14" t="s">
        <v>23</v>
      </c>
      <c r="B2" s="12">
        <v>46266</v>
      </c>
      <c r="C2" s="11">
        <v>140451633</v>
      </c>
      <c r="D2" s="10" t="s">
        <v>5</v>
      </c>
      <c r="E2" s="15" t="s">
        <v>33</v>
      </c>
    </row>
    <row r="3" spans="1:5" ht="12.75" x14ac:dyDescent="0.2">
      <c r="A3" s="14" t="s">
        <v>17</v>
      </c>
      <c r="B3" s="12">
        <v>46266</v>
      </c>
      <c r="C3" s="11">
        <v>140507621</v>
      </c>
      <c r="D3" s="10" t="s">
        <v>9</v>
      </c>
    </row>
    <row r="4" spans="1:5" ht="12.75" x14ac:dyDescent="0.2">
      <c r="A4" s="14" t="s">
        <v>14</v>
      </c>
      <c r="B4" s="12">
        <v>46267</v>
      </c>
      <c r="C4" s="11">
        <v>140592160</v>
      </c>
      <c r="D4" s="10" t="s">
        <v>5</v>
      </c>
    </row>
    <row r="5" spans="1:5" ht="12.75" x14ac:dyDescent="0.2">
      <c r="A5" s="14" t="s">
        <v>19</v>
      </c>
      <c r="B5" s="12">
        <v>46267</v>
      </c>
      <c r="C5" s="11">
        <v>140616648</v>
      </c>
      <c r="D5" s="10" t="s">
        <v>5</v>
      </c>
    </row>
    <row r="6" spans="1:5" ht="12.75" x14ac:dyDescent="0.2">
      <c r="A6" s="14" t="s">
        <v>24</v>
      </c>
      <c r="B6" s="12">
        <v>46268</v>
      </c>
      <c r="C6" s="11">
        <v>140685134</v>
      </c>
      <c r="D6" s="10" t="s">
        <v>8</v>
      </c>
    </row>
    <row r="7" spans="1:5" ht="12.75" x14ac:dyDescent="0.2">
      <c r="A7" s="14" t="s">
        <v>22</v>
      </c>
      <c r="B7" s="12">
        <v>46268</v>
      </c>
      <c r="C7" s="11">
        <v>140710759</v>
      </c>
      <c r="D7" s="10" t="s">
        <v>8</v>
      </c>
    </row>
    <row r="8" spans="1:5" ht="12.75" x14ac:dyDescent="0.2">
      <c r="A8" s="14" t="s">
        <v>16</v>
      </c>
      <c r="B8" s="12">
        <v>46268</v>
      </c>
      <c r="C8" s="11">
        <v>140723113</v>
      </c>
      <c r="D8" s="10" t="s">
        <v>6</v>
      </c>
    </row>
    <row r="9" spans="1:5" ht="12.75" x14ac:dyDescent="0.2">
      <c r="A9" s="14" t="s">
        <v>15</v>
      </c>
      <c r="B9" s="12">
        <v>46269</v>
      </c>
      <c r="C9" s="11">
        <v>140729269</v>
      </c>
      <c r="D9" s="10" t="s">
        <v>7</v>
      </c>
    </row>
    <row r="10" spans="1:5" ht="12.75" x14ac:dyDescent="0.2">
      <c r="A10" s="14" t="s">
        <v>25</v>
      </c>
      <c r="B10" s="12">
        <v>46269</v>
      </c>
      <c r="C10" s="11">
        <v>140789921</v>
      </c>
      <c r="D10" s="10" t="s">
        <v>7</v>
      </c>
    </row>
    <row r="11" spans="1:5" ht="12.75" x14ac:dyDescent="0.2">
      <c r="A11" s="14" t="s">
        <v>11</v>
      </c>
      <c r="B11" s="12">
        <v>46269</v>
      </c>
      <c r="C11" s="11">
        <v>140803061</v>
      </c>
      <c r="D11" s="10" t="s">
        <v>6</v>
      </c>
    </row>
    <row r="12" spans="1:5" ht="12.75" x14ac:dyDescent="0.2">
      <c r="A12" s="14" t="s">
        <v>22</v>
      </c>
      <c r="B12" s="12">
        <v>46269</v>
      </c>
      <c r="C12" s="11">
        <v>140837706</v>
      </c>
      <c r="D12" s="10" t="s">
        <v>9</v>
      </c>
    </row>
    <row r="13" spans="1:5" ht="12.75" x14ac:dyDescent="0.2">
      <c r="A13" s="14" t="s">
        <v>16</v>
      </c>
      <c r="B13" s="12">
        <v>46269</v>
      </c>
      <c r="C13" s="11">
        <v>140844373</v>
      </c>
      <c r="D13" s="10" t="s">
        <v>5</v>
      </c>
    </row>
    <row r="14" spans="1:5" ht="12.75" x14ac:dyDescent="0.2">
      <c r="A14" s="14" t="s">
        <v>12</v>
      </c>
      <c r="B14" s="12">
        <v>46269</v>
      </c>
      <c r="C14" s="11">
        <v>140845756</v>
      </c>
      <c r="D14" s="10" t="s">
        <v>9</v>
      </c>
    </row>
    <row r="15" spans="1:5" ht="12.75" x14ac:dyDescent="0.2">
      <c r="A15" s="14" t="s">
        <v>26</v>
      </c>
      <c r="B15" s="12">
        <v>46273</v>
      </c>
      <c r="C15" s="11">
        <v>140943570</v>
      </c>
      <c r="D15" s="10" t="s">
        <v>5</v>
      </c>
    </row>
    <row r="16" spans="1:5" ht="12.75" x14ac:dyDescent="0.2">
      <c r="A16" s="14" t="s">
        <v>17</v>
      </c>
      <c r="B16" s="12">
        <v>46273</v>
      </c>
      <c r="C16" s="11">
        <v>140989257</v>
      </c>
      <c r="D16" s="10" t="s">
        <v>9</v>
      </c>
    </row>
    <row r="17" spans="1:4" ht="12.75" x14ac:dyDescent="0.2">
      <c r="A17" s="14" t="s">
        <v>30</v>
      </c>
      <c r="B17" s="12">
        <v>46274</v>
      </c>
      <c r="C17" s="11">
        <v>141064147</v>
      </c>
      <c r="D17" s="10" t="s">
        <v>9</v>
      </c>
    </row>
    <row r="18" spans="1:4" ht="12.75" x14ac:dyDescent="0.2">
      <c r="A18" s="14" t="s">
        <v>31</v>
      </c>
      <c r="B18" s="12">
        <v>46274</v>
      </c>
      <c r="C18" s="11">
        <v>141094795</v>
      </c>
      <c r="D18" s="10" t="s">
        <v>6</v>
      </c>
    </row>
    <row r="19" spans="1:4" ht="12.75" x14ac:dyDescent="0.2">
      <c r="A19" s="14" t="s">
        <v>29</v>
      </c>
      <c r="B19" s="12">
        <v>46274</v>
      </c>
      <c r="C19" s="11">
        <v>141099962</v>
      </c>
      <c r="D19" s="10" t="s">
        <v>5</v>
      </c>
    </row>
    <row r="20" spans="1:4" ht="12.75" x14ac:dyDescent="0.2">
      <c r="A20" s="14" t="s">
        <v>28</v>
      </c>
      <c r="B20" s="12">
        <v>46275</v>
      </c>
      <c r="C20" s="11">
        <v>141169240</v>
      </c>
      <c r="D20" s="10" t="s">
        <v>9</v>
      </c>
    </row>
    <row r="21" spans="1:4" ht="12.75" x14ac:dyDescent="0.2">
      <c r="A21" s="14" t="s">
        <v>21</v>
      </c>
      <c r="B21" s="12">
        <v>46275</v>
      </c>
      <c r="C21" s="11">
        <v>141243207</v>
      </c>
      <c r="D21" s="10" t="s">
        <v>9</v>
      </c>
    </row>
    <row r="22" spans="1:4" ht="12.75" x14ac:dyDescent="0.2">
      <c r="A22" s="14" t="s">
        <v>22</v>
      </c>
      <c r="B22" s="12">
        <v>46276</v>
      </c>
      <c r="C22" s="11">
        <v>141331963</v>
      </c>
      <c r="D22" s="10" t="s">
        <v>8</v>
      </c>
    </row>
    <row r="23" spans="1:4" ht="12.75" x14ac:dyDescent="0.2">
      <c r="A23" s="14" t="s">
        <v>32</v>
      </c>
      <c r="B23" s="12">
        <v>46276</v>
      </c>
      <c r="C23" s="13">
        <v>141332418</v>
      </c>
      <c r="D23" s="10" t="s">
        <v>8</v>
      </c>
    </row>
    <row r="24" spans="1:4" ht="12.75" x14ac:dyDescent="0.2">
      <c r="A24" s="14" t="s">
        <v>13</v>
      </c>
      <c r="B24" s="12">
        <v>46279</v>
      </c>
      <c r="C24" s="11">
        <v>141444037</v>
      </c>
      <c r="D24" s="10" t="s">
        <v>6</v>
      </c>
    </row>
    <row r="25" spans="1:4" ht="12.75" x14ac:dyDescent="0.2">
      <c r="A25" s="14" t="s">
        <v>17</v>
      </c>
      <c r="B25" s="12">
        <v>46279</v>
      </c>
      <c r="C25" s="11">
        <v>141458004</v>
      </c>
      <c r="D25" s="10" t="s">
        <v>9</v>
      </c>
    </row>
    <row r="26" spans="1:4" ht="12.75" x14ac:dyDescent="0.2">
      <c r="A26" s="14" t="s">
        <v>30</v>
      </c>
      <c r="B26" s="12">
        <v>46280</v>
      </c>
      <c r="C26" s="11">
        <v>141541778</v>
      </c>
      <c r="D26" s="10" t="s">
        <v>9</v>
      </c>
    </row>
    <row r="27" spans="1:4" ht="12.75" x14ac:dyDescent="0.2">
      <c r="A27" s="14" t="s">
        <v>19</v>
      </c>
      <c r="B27" s="12">
        <v>46280</v>
      </c>
      <c r="C27" s="11">
        <v>141555949</v>
      </c>
      <c r="D27" s="10" t="s">
        <v>5</v>
      </c>
    </row>
    <row r="28" spans="1:4" ht="12.75" x14ac:dyDescent="0.2">
      <c r="A28" s="14" t="s">
        <v>17</v>
      </c>
      <c r="B28" s="12">
        <v>46280</v>
      </c>
      <c r="C28" s="11">
        <v>141574460</v>
      </c>
      <c r="D28" s="10" t="s">
        <v>9</v>
      </c>
    </row>
    <row r="29" spans="1:4" ht="12.75" x14ac:dyDescent="0.2">
      <c r="A29" s="14" t="s">
        <v>16</v>
      </c>
      <c r="B29" s="12">
        <v>46281</v>
      </c>
      <c r="C29" s="11">
        <v>141663755</v>
      </c>
      <c r="D29" s="10" t="s">
        <v>6</v>
      </c>
    </row>
    <row r="30" spans="1:4" ht="12.75" x14ac:dyDescent="0.2">
      <c r="A30" s="14" t="s">
        <v>26</v>
      </c>
      <c r="B30" s="12">
        <v>46281</v>
      </c>
      <c r="C30" s="11">
        <v>141667569</v>
      </c>
      <c r="D30" s="10" t="s">
        <v>5</v>
      </c>
    </row>
    <row r="31" spans="1:4" ht="12.75" x14ac:dyDescent="0.2">
      <c r="A31" s="14" t="s">
        <v>18</v>
      </c>
      <c r="B31" s="12"/>
      <c r="C31" s="11">
        <v>141676577</v>
      </c>
      <c r="D31" s="10" t="s">
        <v>6</v>
      </c>
    </row>
    <row r="32" spans="1:4" ht="12.75" x14ac:dyDescent="0.2">
      <c r="A32" s="14" t="s">
        <v>27</v>
      </c>
      <c r="B32" s="11"/>
      <c r="C32" s="11">
        <v>140836070</v>
      </c>
      <c r="D32" s="10" t="s">
        <v>5</v>
      </c>
    </row>
    <row r="33" spans="1:4" ht="12.75" x14ac:dyDescent="0.2">
      <c r="A33" s="14" t="s">
        <v>20</v>
      </c>
      <c r="B33" s="11"/>
      <c r="C33" s="11">
        <v>138908792</v>
      </c>
      <c r="D33" s="10" t="s">
        <v>7</v>
      </c>
    </row>
    <row r="34" spans="1:4" ht="12.75" x14ac:dyDescent="0.2">
      <c r="A34" s="14" t="s">
        <v>10</v>
      </c>
      <c r="B34" s="11"/>
      <c r="C34" s="11">
        <v>141634610</v>
      </c>
      <c r="D34" s="10" t="s">
        <v>8</v>
      </c>
    </row>
    <row r="35" spans="1:4" ht="12.75" x14ac:dyDescent="0.2">
      <c r="A35" s="11"/>
      <c r="B35" s="11"/>
      <c r="C35" s="11"/>
      <c r="D35" s="10"/>
    </row>
    <row r="36" spans="1:4" ht="12.75" x14ac:dyDescent="0.2">
      <c r="A36" s="11"/>
      <c r="B36" s="11"/>
      <c r="C36" s="11"/>
      <c r="D36" s="10"/>
    </row>
    <row r="37" spans="1:4" ht="12.75" x14ac:dyDescent="0.2">
      <c r="A37" s="11"/>
      <c r="B37" s="11"/>
      <c r="C37" s="11"/>
      <c r="D37" s="10"/>
    </row>
    <row r="38" spans="1:4" ht="12.75" x14ac:dyDescent="0.2">
      <c r="A38" s="11"/>
      <c r="B38" s="11"/>
      <c r="C38" s="11"/>
      <c r="D38" s="10"/>
    </row>
    <row r="39" spans="1:4" ht="12.75" x14ac:dyDescent="0.2">
      <c r="A39" s="11"/>
      <c r="B39" s="11"/>
      <c r="C39" s="11"/>
      <c r="D39" s="10"/>
    </row>
    <row r="40" spans="1:4" ht="12.75" x14ac:dyDescent="0.2">
      <c r="A40" s="11"/>
      <c r="B40" s="11"/>
      <c r="C40" s="11"/>
      <c r="D40" s="10"/>
    </row>
    <row r="41" spans="1:4" ht="12.75" x14ac:dyDescent="0.2">
      <c r="A41" s="11"/>
      <c r="B41" s="11"/>
      <c r="C41" s="11"/>
      <c r="D41" s="10"/>
    </row>
    <row r="42" spans="1:4" ht="12.75" x14ac:dyDescent="0.2">
      <c r="A42" s="11"/>
      <c r="B42" s="11"/>
      <c r="C42" s="11"/>
      <c r="D42" s="10"/>
    </row>
    <row r="43" spans="1:4" ht="12.75" x14ac:dyDescent="0.2">
      <c r="A43" s="11"/>
      <c r="B43" s="11"/>
      <c r="C43" s="11"/>
      <c r="D43" s="10"/>
    </row>
    <row r="44" spans="1:4" ht="12.75" x14ac:dyDescent="0.2">
      <c r="A44" s="11"/>
      <c r="B44" s="11"/>
      <c r="C44" s="11"/>
      <c r="D44" s="10"/>
    </row>
    <row r="45" spans="1:4" ht="12.75" x14ac:dyDescent="0.2">
      <c r="A45" s="11"/>
      <c r="B45" s="11"/>
      <c r="C45" s="11"/>
      <c r="D45" s="10"/>
    </row>
    <row r="46" spans="1:4" ht="12.75" x14ac:dyDescent="0.2">
      <c r="A46" s="11"/>
      <c r="B46" s="11"/>
      <c r="C46" s="11"/>
      <c r="D46" s="10"/>
    </row>
    <row r="47" spans="1:4" ht="12.75" x14ac:dyDescent="0.2">
      <c r="A47" s="11"/>
      <c r="B47" s="11"/>
      <c r="C47" s="11"/>
      <c r="D47" s="10"/>
    </row>
    <row r="48" spans="1:4" ht="12.75" x14ac:dyDescent="0.2">
      <c r="A48" s="11"/>
      <c r="B48" s="11"/>
      <c r="C48" s="11"/>
      <c r="D48" s="10"/>
    </row>
    <row r="49" spans="1:4" ht="12.75" x14ac:dyDescent="0.2">
      <c r="A49" s="11"/>
      <c r="B49" s="11"/>
      <c r="C49" s="11"/>
      <c r="D49" s="10"/>
    </row>
    <row r="50" spans="1:4" ht="12.75" x14ac:dyDescent="0.2">
      <c r="A50" s="11"/>
      <c r="B50" s="11"/>
      <c r="C50" s="11"/>
      <c r="D50" s="10"/>
    </row>
    <row r="51" spans="1:4" ht="12.75" x14ac:dyDescent="0.2">
      <c r="A51" s="11"/>
      <c r="B51" s="11"/>
      <c r="C51" s="11"/>
      <c r="D51" s="10"/>
    </row>
    <row r="52" spans="1:4" ht="12.75" x14ac:dyDescent="0.2">
      <c r="A52" s="11"/>
      <c r="B52" s="11"/>
      <c r="C52" s="11"/>
      <c r="D52" s="10"/>
    </row>
    <row r="53" spans="1:4" ht="12.75" x14ac:dyDescent="0.2">
      <c r="A53" s="11"/>
      <c r="B53" s="11"/>
      <c r="C53" s="11"/>
      <c r="D53" s="10"/>
    </row>
    <row r="54" spans="1:4" ht="12.75" x14ac:dyDescent="0.2">
      <c r="A54" s="11"/>
      <c r="B54" s="11"/>
      <c r="C54" s="11"/>
      <c r="D54" s="10"/>
    </row>
    <row r="55" spans="1:4" ht="12.75" x14ac:dyDescent="0.2">
      <c r="A55" s="11"/>
      <c r="B55" s="11"/>
      <c r="C55" s="11"/>
      <c r="D55" s="10"/>
    </row>
    <row r="56" spans="1:4" ht="12.75" x14ac:dyDescent="0.2">
      <c r="A56" s="11"/>
      <c r="B56" s="11"/>
      <c r="C56" s="11"/>
      <c r="D56" s="10"/>
    </row>
    <row r="57" spans="1:4" ht="12.75" x14ac:dyDescent="0.2">
      <c r="A57" s="11"/>
      <c r="B57" s="11"/>
      <c r="C57" s="11"/>
      <c r="D57" s="10"/>
    </row>
    <row r="58" spans="1:4" ht="12.75" x14ac:dyDescent="0.2">
      <c r="A58" s="11"/>
      <c r="B58" s="11"/>
      <c r="C58" s="11"/>
      <c r="D58" s="10"/>
    </row>
    <row r="59" spans="1:4" ht="12.75" x14ac:dyDescent="0.2">
      <c r="A59" s="11"/>
      <c r="B59" s="11"/>
      <c r="C59" s="11"/>
      <c r="D59" s="10"/>
    </row>
    <row r="60" spans="1:4" ht="12.75" x14ac:dyDescent="0.2">
      <c r="A60" s="11"/>
      <c r="B60" s="11"/>
      <c r="C60" s="11"/>
      <c r="D60" s="10"/>
    </row>
    <row r="61" spans="1:4" ht="12.75" x14ac:dyDescent="0.2">
      <c r="A61" s="11"/>
      <c r="B61" s="11"/>
      <c r="C61" s="11"/>
      <c r="D61" s="10"/>
    </row>
    <row r="62" spans="1:4" ht="12.75" x14ac:dyDescent="0.2">
      <c r="A62" s="11"/>
      <c r="B62" s="11"/>
      <c r="C62" s="11"/>
      <c r="D62" s="10"/>
    </row>
    <row r="63" spans="1:4" ht="12.75" x14ac:dyDescent="0.2">
      <c r="A63" s="11"/>
      <c r="B63" s="11"/>
      <c r="C63" s="11"/>
      <c r="D63" s="10"/>
    </row>
    <row r="64" spans="1:4" ht="12.75" x14ac:dyDescent="0.2">
      <c r="A64" s="11"/>
      <c r="B64" s="11"/>
      <c r="C64" s="11"/>
      <c r="D64" s="10"/>
    </row>
    <row r="65" spans="1:4" ht="12.75" x14ac:dyDescent="0.2">
      <c r="A65" s="11"/>
      <c r="B65" s="11"/>
      <c r="C65" s="11"/>
      <c r="D65" s="10"/>
    </row>
    <row r="66" spans="1:4" ht="12.75" x14ac:dyDescent="0.2">
      <c r="A66" s="11"/>
      <c r="B66" s="11"/>
      <c r="C66" s="11"/>
      <c r="D66" s="10"/>
    </row>
    <row r="67" spans="1:4" ht="12.75" x14ac:dyDescent="0.2">
      <c r="A67" s="11"/>
      <c r="B67" s="11"/>
      <c r="C67" s="11"/>
      <c r="D67" s="10"/>
    </row>
    <row r="68" spans="1:4" ht="12.75" x14ac:dyDescent="0.2">
      <c r="A68" s="11"/>
      <c r="B68" s="11"/>
      <c r="C68" s="11"/>
      <c r="D68" s="10"/>
    </row>
    <row r="69" spans="1:4" ht="12.75" x14ac:dyDescent="0.2">
      <c r="A69" s="11"/>
      <c r="B69" s="11"/>
      <c r="C69" s="11"/>
      <c r="D69" s="10"/>
    </row>
    <row r="70" spans="1:4" ht="12.75" x14ac:dyDescent="0.2">
      <c r="A70" s="11"/>
      <c r="B70" s="11"/>
      <c r="C70" s="11"/>
      <c r="D70" s="10"/>
    </row>
    <row r="71" spans="1:4" ht="12.75" x14ac:dyDescent="0.2">
      <c r="A71" s="11"/>
      <c r="B71" s="11"/>
      <c r="C71" s="11"/>
      <c r="D71" s="10"/>
    </row>
    <row r="72" spans="1:4" ht="12.75" x14ac:dyDescent="0.2">
      <c r="A72" s="11"/>
      <c r="B72" s="11"/>
      <c r="C72" s="11"/>
      <c r="D72" s="10"/>
    </row>
    <row r="73" spans="1:4" ht="12.75" x14ac:dyDescent="0.2">
      <c r="A73" s="11"/>
      <c r="B73" s="11"/>
      <c r="C73" s="11"/>
      <c r="D73" s="10"/>
    </row>
    <row r="74" spans="1:4" ht="12.75" x14ac:dyDescent="0.2">
      <c r="A74" s="11"/>
      <c r="B74" s="11"/>
      <c r="C74" s="11"/>
      <c r="D74" s="10"/>
    </row>
    <row r="75" spans="1:4" ht="12.75" x14ac:dyDescent="0.2">
      <c r="A75" s="11"/>
      <c r="B75" s="11"/>
      <c r="C75" s="11"/>
      <c r="D75" s="10"/>
    </row>
    <row r="76" spans="1:4" ht="12.75" x14ac:dyDescent="0.2">
      <c r="A76" s="11"/>
      <c r="B76" s="11"/>
      <c r="C76" s="11"/>
      <c r="D76" s="10"/>
    </row>
    <row r="77" spans="1:4" ht="12.75" x14ac:dyDescent="0.2">
      <c r="A77" s="11"/>
      <c r="B77" s="11"/>
      <c r="C77" s="11"/>
      <c r="D77" s="10"/>
    </row>
    <row r="78" spans="1:4" ht="12.75" x14ac:dyDescent="0.2">
      <c r="A78" s="11"/>
      <c r="B78" s="11"/>
      <c r="C78" s="11"/>
      <c r="D78" s="10"/>
    </row>
    <row r="79" spans="1:4" ht="12.75" x14ac:dyDescent="0.2">
      <c r="A79" s="11"/>
      <c r="B79" s="11"/>
      <c r="C79" s="11"/>
      <c r="D79" s="10"/>
    </row>
    <row r="80" spans="1:4" ht="12.75" x14ac:dyDescent="0.2">
      <c r="A80" s="11"/>
      <c r="B80" s="11"/>
      <c r="C80" s="11"/>
      <c r="D80" s="10"/>
    </row>
    <row r="81" spans="1:4" ht="12.75" x14ac:dyDescent="0.2">
      <c r="A81" s="11"/>
      <c r="B81" s="11"/>
      <c r="C81" s="11"/>
      <c r="D81" s="10"/>
    </row>
    <row r="82" spans="1:4" ht="12.75" x14ac:dyDescent="0.2">
      <c r="A82" s="11"/>
      <c r="B82" s="11"/>
      <c r="C82" s="11"/>
      <c r="D82" s="10"/>
    </row>
    <row r="83" spans="1:4" ht="12.75" x14ac:dyDescent="0.2">
      <c r="A83" s="11"/>
      <c r="B83" s="11"/>
      <c r="C83" s="11"/>
      <c r="D83" s="10"/>
    </row>
    <row r="84" spans="1:4" ht="12.75" x14ac:dyDescent="0.2">
      <c r="A84" s="11"/>
      <c r="B84" s="11"/>
      <c r="C84" s="11"/>
      <c r="D84" s="10"/>
    </row>
    <row r="85" spans="1:4" ht="12.75" x14ac:dyDescent="0.2">
      <c r="A85" s="11"/>
      <c r="B85" s="11"/>
      <c r="C85" s="11"/>
      <c r="D85" s="10"/>
    </row>
    <row r="86" spans="1:4" ht="12.75" x14ac:dyDescent="0.2">
      <c r="A86" s="11"/>
      <c r="B86" s="11"/>
      <c r="C86" s="11"/>
      <c r="D86" s="10"/>
    </row>
    <row r="87" spans="1:4" ht="12.75" x14ac:dyDescent="0.2">
      <c r="A87" s="11"/>
      <c r="B87" s="11"/>
      <c r="C87" s="11"/>
      <c r="D87" s="10"/>
    </row>
    <row r="88" spans="1:4" ht="12.75" x14ac:dyDescent="0.2">
      <c r="A88" s="11"/>
      <c r="B88" s="11"/>
      <c r="C88" s="11"/>
      <c r="D88" s="10"/>
    </row>
    <row r="89" spans="1:4" ht="12.75" x14ac:dyDescent="0.2">
      <c r="A89" s="11"/>
      <c r="B89" s="11"/>
      <c r="C89" s="11"/>
      <c r="D89" s="10"/>
    </row>
    <row r="90" spans="1:4" ht="12.75" x14ac:dyDescent="0.2">
      <c r="A90" s="11"/>
      <c r="B90" s="11"/>
      <c r="C90" s="11"/>
      <c r="D90" s="10"/>
    </row>
    <row r="91" spans="1:4" ht="12.75" x14ac:dyDescent="0.2">
      <c r="A91" s="11"/>
      <c r="B91" s="11"/>
      <c r="C91" s="11"/>
      <c r="D91" s="10"/>
    </row>
    <row r="92" spans="1:4" ht="12.75" x14ac:dyDescent="0.2">
      <c r="A92" s="11"/>
      <c r="B92" s="11"/>
      <c r="C92" s="11"/>
      <c r="D92" s="10"/>
    </row>
    <row r="93" spans="1:4" ht="12.75" x14ac:dyDescent="0.2">
      <c r="A93" s="11"/>
      <c r="B93" s="11"/>
      <c r="C93" s="11"/>
      <c r="D93" s="10"/>
    </row>
    <row r="94" spans="1:4" ht="12.75" x14ac:dyDescent="0.2">
      <c r="A94" s="11"/>
      <c r="B94" s="11"/>
      <c r="C94" s="11"/>
      <c r="D94" s="10"/>
    </row>
    <row r="95" spans="1:4" ht="12.75" x14ac:dyDescent="0.2">
      <c r="A95" s="11"/>
      <c r="B95" s="11"/>
      <c r="C95" s="11"/>
      <c r="D95" s="10"/>
    </row>
    <row r="96" spans="1:4" ht="12.75" x14ac:dyDescent="0.2">
      <c r="A96" s="11"/>
      <c r="B96" s="11"/>
      <c r="C96" s="11"/>
      <c r="D96" s="10"/>
    </row>
    <row r="97" spans="1:4" ht="12.75" x14ac:dyDescent="0.2">
      <c r="A97" s="11"/>
      <c r="B97" s="11"/>
      <c r="C97" s="11"/>
      <c r="D97" s="10"/>
    </row>
    <row r="98" spans="1:4" ht="12.75" x14ac:dyDescent="0.2">
      <c r="A98" s="11"/>
      <c r="B98" s="11"/>
      <c r="C98" s="11"/>
      <c r="D98" s="10"/>
    </row>
    <row r="99" spans="1:4" ht="12.75" x14ac:dyDescent="0.2">
      <c r="A99" s="11"/>
      <c r="B99" s="11"/>
      <c r="C99" s="11"/>
      <c r="D99" s="10"/>
    </row>
    <row r="100" spans="1:4" ht="12.75" x14ac:dyDescent="0.2">
      <c r="A100" s="11"/>
      <c r="B100" s="11"/>
      <c r="C100" s="11"/>
      <c r="D100" s="10"/>
    </row>
    <row r="101" spans="1:4" ht="12.75" x14ac:dyDescent="0.2">
      <c r="A101" s="11"/>
      <c r="B101" s="11"/>
      <c r="C101" s="11"/>
      <c r="D101" s="10"/>
    </row>
    <row r="102" spans="1:4" ht="12.75" x14ac:dyDescent="0.2">
      <c r="A102" s="11"/>
      <c r="B102" s="11"/>
      <c r="C102" s="11"/>
      <c r="D102" s="10"/>
    </row>
    <row r="103" spans="1:4" ht="12.75" x14ac:dyDescent="0.2">
      <c r="A103" s="11"/>
      <c r="B103" s="11"/>
      <c r="C103" s="11"/>
      <c r="D103" s="10"/>
    </row>
    <row r="104" spans="1:4" ht="12.75" x14ac:dyDescent="0.2">
      <c r="A104" s="11"/>
      <c r="B104" s="11"/>
      <c r="C104" s="11"/>
      <c r="D104" s="10"/>
    </row>
    <row r="105" spans="1:4" ht="12.75" x14ac:dyDescent="0.2">
      <c r="A105" s="11"/>
      <c r="B105" s="11"/>
      <c r="C105" s="11"/>
      <c r="D105" s="10"/>
    </row>
    <row r="106" spans="1:4" ht="12.75" x14ac:dyDescent="0.2">
      <c r="A106" s="11"/>
      <c r="B106" s="11"/>
      <c r="C106" s="11"/>
      <c r="D106" s="10"/>
    </row>
    <row r="107" spans="1:4" ht="12.75" x14ac:dyDescent="0.2">
      <c r="A107" s="11"/>
      <c r="B107" s="11"/>
      <c r="C107" s="11"/>
      <c r="D107" s="10"/>
    </row>
    <row r="108" spans="1:4" ht="12.75" x14ac:dyDescent="0.2">
      <c r="A108" s="11"/>
      <c r="B108" s="11"/>
      <c r="C108" s="11"/>
      <c r="D108" s="10"/>
    </row>
    <row r="109" spans="1:4" ht="12.75" x14ac:dyDescent="0.2">
      <c r="A109" s="11"/>
      <c r="B109" s="11"/>
      <c r="C109" s="11"/>
      <c r="D109" s="10"/>
    </row>
    <row r="110" spans="1:4" ht="12.75" x14ac:dyDescent="0.2">
      <c r="A110" s="11"/>
      <c r="B110" s="11"/>
      <c r="C110" s="11"/>
      <c r="D110" s="10"/>
    </row>
    <row r="111" spans="1:4" ht="12.75" x14ac:dyDescent="0.2">
      <c r="A111" s="11"/>
      <c r="B111" s="11"/>
      <c r="C111" s="11"/>
      <c r="D111" s="10"/>
    </row>
    <row r="112" spans="1:4" ht="12.75" x14ac:dyDescent="0.2">
      <c r="A112" s="11"/>
      <c r="B112" s="11"/>
      <c r="C112" s="11"/>
      <c r="D112" s="10"/>
    </row>
    <row r="113" spans="1:4" ht="12.75" x14ac:dyDescent="0.2">
      <c r="A113" s="11"/>
      <c r="B113" s="11"/>
      <c r="C113" s="11"/>
      <c r="D113" s="10"/>
    </row>
    <row r="114" spans="1:4" ht="12.75" x14ac:dyDescent="0.2">
      <c r="A114" s="11"/>
      <c r="B114" s="11"/>
      <c r="C114" s="11"/>
      <c r="D114" s="10"/>
    </row>
    <row r="115" spans="1:4" ht="12.75" x14ac:dyDescent="0.2">
      <c r="A115" s="11"/>
      <c r="B115" s="11"/>
      <c r="C115" s="11"/>
      <c r="D115" s="10"/>
    </row>
    <row r="116" spans="1:4" ht="12.75" x14ac:dyDescent="0.2">
      <c r="A116" s="11"/>
      <c r="B116" s="11"/>
      <c r="C116" s="11"/>
      <c r="D116" s="10"/>
    </row>
    <row r="117" spans="1:4" ht="12.75" x14ac:dyDescent="0.2">
      <c r="A117" s="11"/>
      <c r="B117" s="11"/>
      <c r="C117" s="11"/>
      <c r="D117" s="10"/>
    </row>
    <row r="118" spans="1:4" ht="12.75" x14ac:dyDescent="0.2">
      <c r="A118" s="11"/>
      <c r="B118" s="11"/>
      <c r="C118" s="11"/>
      <c r="D118" s="10"/>
    </row>
    <row r="119" spans="1:4" ht="12.75" x14ac:dyDescent="0.2">
      <c r="A119" s="11"/>
      <c r="B119" s="11"/>
      <c r="C119" s="11"/>
      <c r="D119" s="10"/>
    </row>
    <row r="120" spans="1:4" ht="12.75" x14ac:dyDescent="0.2">
      <c r="A120" s="11"/>
      <c r="B120" s="11"/>
      <c r="C120" s="11"/>
      <c r="D120" s="10"/>
    </row>
    <row r="121" spans="1:4" ht="12.75" x14ac:dyDescent="0.2">
      <c r="A121" s="11"/>
      <c r="B121" s="11"/>
      <c r="C121" s="11"/>
      <c r="D121" s="10"/>
    </row>
    <row r="122" spans="1:4" ht="12.75" x14ac:dyDescent="0.2">
      <c r="A122" s="11"/>
      <c r="B122" s="11"/>
      <c r="C122" s="11"/>
      <c r="D122" s="10"/>
    </row>
    <row r="123" spans="1:4" ht="12.75" x14ac:dyDescent="0.2">
      <c r="A123" s="11"/>
      <c r="B123" s="11"/>
      <c r="C123" s="11"/>
      <c r="D123" s="10"/>
    </row>
    <row r="124" spans="1:4" ht="12.75" x14ac:dyDescent="0.2">
      <c r="A124" s="11"/>
      <c r="B124" s="11"/>
      <c r="C124" s="11"/>
      <c r="D124" s="10"/>
    </row>
    <row r="125" spans="1:4" ht="12.75" x14ac:dyDescent="0.2">
      <c r="A125" s="11"/>
      <c r="B125" s="11"/>
      <c r="C125" s="11"/>
      <c r="D125" s="10"/>
    </row>
    <row r="126" spans="1:4" ht="12.75" x14ac:dyDescent="0.2">
      <c r="A126" s="11"/>
      <c r="B126" s="11"/>
      <c r="C126" s="11"/>
      <c r="D126" s="10"/>
    </row>
    <row r="127" spans="1:4" ht="12.75" x14ac:dyDescent="0.2">
      <c r="A127" s="11"/>
      <c r="B127" s="11"/>
      <c r="C127" s="11"/>
      <c r="D127" s="10"/>
    </row>
    <row r="128" spans="1:4" ht="12.75" x14ac:dyDescent="0.2">
      <c r="A128" s="11"/>
      <c r="B128" s="11"/>
      <c r="C128" s="11"/>
      <c r="D128" s="10"/>
    </row>
    <row r="129" spans="1:4" ht="12.75" x14ac:dyDescent="0.2">
      <c r="A129" s="11"/>
      <c r="B129" s="11"/>
      <c r="C129" s="11"/>
      <c r="D129" s="10"/>
    </row>
    <row r="130" spans="1:4" ht="12.75" x14ac:dyDescent="0.2">
      <c r="A130" s="11"/>
      <c r="B130" s="11"/>
      <c r="C130" s="11"/>
      <c r="D130" s="10"/>
    </row>
    <row r="131" spans="1:4" ht="12.75" x14ac:dyDescent="0.2">
      <c r="A131" s="11"/>
      <c r="B131" s="11"/>
      <c r="C131" s="11"/>
      <c r="D131" s="10"/>
    </row>
    <row r="132" spans="1:4" ht="12.75" x14ac:dyDescent="0.2">
      <c r="A132" s="11"/>
      <c r="B132" s="11"/>
      <c r="C132" s="11"/>
      <c r="D132" s="10"/>
    </row>
    <row r="133" spans="1:4" ht="12.75" x14ac:dyDescent="0.2">
      <c r="A133" s="11"/>
      <c r="B133" s="11"/>
      <c r="C133" s="11"/>
      <c r="D133" s="10"/>
    </row>
    <row r="134" spans="1:4" ht="12.75" x14ac:dyDescent="0.2">
      <c r="A134" s="11"/>
      <c r="B134" s="11"/>
      <c r="C134" s="11"/>
      <c r="D134" s="10"/>
    </row>
    <row r="135" spans="1:4" ht="12.75" x14ac:dyDescent="0.2">
      <c r="A135" s="11"/>
      <c r="B135" s="11"/>
      <c r="C135" s="11"/>
      <c r="D135" s="10"/>
    </row>
    <row r="136" spans="1:4" ht="12.75" x14ac:dyDescent="0.2">
      <c r="A136" s="11"/>
      <c r="B136" s="11"/>
      <c r="C136" s="11"/>
      <c r="D136" s="10"/>
    </row>
    <row r="137" spans="1:4" ht="12.75" x14ac:dyDescent="0.2">
      <c r="A137" s="11"/>
      <c r="B137" s="11"/>
      <c r="C137" s="11"/>
      <c r="D137" s="10"/>
    </row>
    <row r="138" spans="1:4" ht="12.75" x14ac:dyDescent="0.2">
      <c r="A138" s="11"/>
      <c r="B138" s="11"/>
      <c r="C138" s="11"/>
      <c r="D138" s="10"/>
    </row>
    <row r="139" spans="1:4" ht="12.75" x14ac:dyDescent="0.2">
      <c r="A139" s="11"/>
      <c r="B139" s="11"/>
      <c r="C139" s="11"/>
      <c r="D139" s="10"/>
    </row>
    <row r="140" spans="1:4" ht="12.75" x14ac:dyDescent="0.2">
      <c r="A140" s="11"/>
      <c r="B140" s="11"/>
      <c r="C140" s="11"/>
      <c r="D140" s="10"/>
    </row>
    <row r="141" spans="1:4" ht="12.75" x14ac:dyDescent="0.2">
      <c r="A141" s="11"/>
      <c r="B141" s="11"/>
      <c r="C141" s="11"/>
      <c r="D141" s="10"/>
    </row>
    <row r="142" spans="1:4" ht="12.75" x14ac:dyDescent="0.2">
      <c r="A142" s="11"/>
      <c r="B142" s="11"/>
      <c r="C142" s="11"/>
      <c r="D142" s="10"/>
    </row>
    <row r="143" spans="1:4" ht="12.75" x14ac:dyDescent="0.2">
      <c r="A143" s="11"/>
      <c r="B143" s="11"/>
      <c r="C143" s="11"/>
      <c r="D143" s="10"/>
    </row>
    <row r="144" spans="1:4" ht="12.75" x14ac:dyDescent="0.2">
      <c r="A144" s="11"/>
      <c r="B144" s="11"/>
      <c r="C144" s="11"/>
      <c r="D144" s="10"/>
    </row>
    <row r="145" spans="1:4" ht="12.75" x14ac:dyDescent="0.2">
      <c r="A145" s="11"/>
      <c r="B145" s="11"/>
      <c r="C145" s="11"/>
      <c r="D145" s="10"/>
    </row>
    <row r="146" spans="1:4" ht="12.75" x14ac:dyDescent="0.2">
      <c r="A146" s="11"/>
      <c r="B146" s="11"/>
      <c r="C146" s="11"/>
      <c r="D146" s="10"/>
    </row>
    <row r="147" spans="1:4" ht="12.75" x14ac:dyDescent="0.2">
      <c r="A147" s="11"/>
      <c r="B147" s="11"/>
      <c r="C147" s="11"/>
      <c r="D147" s="10"/>
    </row>
    <row r="148" spans="1:4" ht="12.75" x14ac:dyDescent="0.2">
      <c r="A148" s="11"/>
      <c r="B148" s="11"/>
      <c r="C148" s="11"/>
      <c r="D148" s="10"/>
    </row>
    <row r="149" spans="1:4" ht="12.75" x14ac:dyDescent="0.2">
      <c r="A149" s="11"/>
      <c r="B149" s="11"/>
      <c r="C149" s="11"/>
      <c r="D149" s="10"/>
    </row>
    <row r="150" spans="1:4" ht="12.75" x14ac:dyDescent="0.2">
      <c r="A150" s="11"/>
      <c r="B150" s="11"/>
      <c r="C150" s="11"/>
      <c r="D150" s="10"/>
    </row>
    <row r="151" spans="1:4" ht="12.75" x14ac:dyDescent="0.2">
      <c r="A151" s="11"/>
      <c r="B151" s="11"/>
      <c r="C151" s="11"/>
      <c r="D151" s="10"/>
    </row>
    <row r="152" spans="1:4" ht="12.75" x14ac:dyDescent="0.2">
      <c r="A152" s="11"/>
      <c r="B152" s="11"/>
      <c r="C152" s="11"/>
      <c r="D152" s="10"/>
    </row>
    <row r="153" spans="1:4" ht="12.75" x14ac:dyDescent="0.2">
      <c r="A153" s="11"/>
      <c r="B153" s="11"/>
      <c r="C153" s="11"/>
      <c r="D153" s="10"/>
    </row>
    <row r="154" spans="1:4" ht="12.75" x14ac:dyDescent="0.2">
      <c r="A154" s="11"/>
      <c r="B154" s="11"/>
      <c r="C154" s="11"/>
      <c r="D154" s="10"/>
    </row>
    <row r="155" spans="1:4" ht="12.75" x14ac:dyDescent="0.2">
      <c r="A155" s="11"/>
      <c r="B155" s="11"/>
      <c r="C155" s="11"/>
      <c r="D155" s="10"/>
    </row>
    <row r="156" spans="1:4" ht="12.75" x14ac:dyDescent="0.2">
      <c r="A156" s="11"/>
      <c r="B156" s="11"/>
      <c r="C156" s="11"/>
      <c r="D156" s="10"/>
    </row>
    <row r="157" spans="1:4" ht="12.75" x14ac:dyDescent="0.2">
      <c r="A157" s="11"/>
      <c r="B157" s="11"/>
      <c r="C157" s="11"/>
      <c r="D157" s="10"/>
    </row>
    <row r="158" spans="1:4" ht="12.75" x14ac:dyDescent="0.2">
      <c r="A158" s="11"/>
      <c r="B158" s="11"/>
      <c r="C158" s="11"/>
      <c r="D158" s="10"/>
    </row>
    <row r="159" spans="1:4" ht="12.75" x14ac:dyDescent="0.2">
      <c r="A159" s="11"/>
      <c r="B159" s="11"/>
      <c r="C159" s="11"/>
      <c r="D159" s="10"/>
    </row>
    <row r="160" spans="1:4" ht="12.75" x14ac:dyDescent="0.2">
      <c r="A160" s="11"/>
      <c r="B160" s="11"/>
      <c r="C160" s="11"/>
      <c r="D160" s="10"/>
    </row>
    <row r="161" spans="1:4" ht="12.75" x14ac:dyDescent="0.2">
      <c r="A161" s="11"/>
      <c r="B161" s="11"/>
      <c r="C161" s="11"/>
      <c r="D161" s="10"/>
    </row>
    <row r="162" spans="1:4" ht="12.75" x14ac:dyDescent="0.2">
      <c r="A162" s="11"/>
      <c r="B162" s="11"/>
      <c r="C162" s="11"/>
      <c r="D162" s="10"/>
    </row>
    <row r="163" spans="1:4" ht="12.75" x14ac:dyDescent="0.2">
      <c r="A163" s="11"/>
      <c r="B163" s="11"/>
      <c r="C163" s="11"/>
      <c r="D163" s="10"/>
    </row>
    <row r="164" spans="1:4" ht="12.75" x14ac:dyDescent="0.2">
      <c r="A164" s="11"/>
      <c r="B164" s="11"/>
      <c r="C164" s="11"/>
      <c r="D164" s="10"/>
    </row>
    <row r="165" spans="1:4" ht="12.75" x14ac:dyDescent="0.2">
      <c r="A165" s="11"/>
      <c r="B165" s="11"/>
      <c r="C165" s="11"/>
      <c r="D165" s="10"/>
    </row>
    <row r="166" spans="1:4" ht="12.75" x14ac:dyDescent="0.2">
      <c r="A166" s="11"/>
      <c r="B166" s="11"/>
      <c r="C166" s="11"/>
      <c r="D166" s="10"/>
    </row>
    <row r="167" spans="1:4" ht="12.75" x14ac:dyDescent="0.2">
      <c r="A167" s="11"/>
      <c r="B167" s="11"/>
      <c r="C167" s="11"/>
      <c r="D167" s="10"/>
    </row>
    <row r="168" spans="1:4" ht="12.75" x14ac:dyDescent="0.2">
      <c r="A168" s="11"/>
      <c r="B168" s="11"/>
      <c r="C168" s="11"/>
      <c r="D168" s="10"/>
    </row>
    <row r="169" spans="1:4" ht="12.75" x14ac:dyDescent="0.2">
      <c r="A169" s="11"/>
      <c r="B169" s="11"/>
      <c r="C169" s="11"/>
      <c r="D169" s="10"/>
    </row>
    <row r="170" spans="1:4" ht="12.75" x14ac:dyDescent="0.2">
      <c r="A170" s="11"/>
      <c r="B170" s="11"/>
      <c r="C170" s="11"/>
      <c r="D170" s="10"/>
    </row>
    <row r="171" spans="1:4" ht="12.75" x14ac:dyDescent="0.2">
      <c r="A171" s="11"/>
      <c r="B171" s="11"/>
      <c r="C171" s="11"/>
      <c r="D171" s="10"/>
    </row>
    <row r="172" spans="1:4" ht="12.75" x14ac:dyDescent="0.2">
      <c r="A172" s="11"/>
      <c r="B172" s="11"/>
      <c r="C172" s="11"/>
      <c r="D172" s="10"/>
    </row>
    <row r="173" spans="1:4" ht="12.75" x14ac:dyDescent="0.2">
      <c r="A173" s="11"/>
      <c r="B173" s="11"/>
      <c r="C173" s="11"/>
      <c r="D173" s="10"/>
    </row>
    <row r="174" spans="1:4" ht="12.75" x14ac:dyDescent="0.2">
      <c r="A174" s="11"/>
      <c r="B174" s="11"/>
      <c r="C174" s="11"/>
      <c r="D174" s="10"/>
    </row>
    <row r="175" spans="1:4" ht="12.75" x14ac:dyDescent="0.2">
      <c r="A175" s="11"/>
      <c r="B175" s="11"/>
      <c r="C175" s="11"/>
      <c r="D175" s="10"/>
    </row>
    <row r="176" spans="1:4" ht="12.75" x14ac:dyDescent="0.2">
      <c r="A176" s="11"/>
      <c r="B176" s="11"/>
      <c r="C176" s="11"/>
      <c r="D176" s="10"/>
    </row>
    <row r="177" spans="1:4" ht="12.75" x14ac:dyDescent="0.2">
      <c r="A177" s="11"/>
      <c r="B177" s="11"/>
      <c r="C177" s="11"/>
      <c r="D177" s="10"/>
    </row>
    <row r="178" spans="1:4" ht="12.75" x14ac:dyDescent="0.2">
      <c r="A178" s="11"/>
      <c r="B178" s="11"/>
      <c r="C178" s="11"/>
      <c r="D178" s="10"/>
    </row>
    <row r="179" spans="1:4" ht="12.75" x14ac:dyDescent="0.2">
      <c r="A179" s="11"/>
      <c r="B179" s="11"/>
      <c r="C179" s="11"/>
      <c r="D179" s="10"/>
    </row>
    <row r="180" spans="1:4" ht="12.75" x14ac:dyDescent="0.2">
      <c r="A180" s="11"/>
      <c r="B180" s="11"/>
      <c r="C180" s="11"/>
      <c r="D180" s="10"/>
    </row>
    <row r="181" spans="1:4" ht="12.75" x14ac:dyDescent="0.2">
      <c r="A181" s="11"/>
      <c r="B181" s="11"/>
      <c r="C181" s="11"/>
      <c r="D181" s="10"/>
    </row>
    <row r="182" spans="1:4" ht="12.75" x14ac:dyDescent="0.2">
      <c r="A182" s="11"/>
      <c r="B182" s="11"/>
      <c r="C182" s="11"/>
      <c r="D182" s="10"/>
    </row>
    <row r="183" spans="1:4" ht="12.75" x14ac:dyDescent="0.2">
      <c r="A183" s="11"/>
      <c r="B183" s="11"/>
      <c r="C183" s="11"/>
      <c r="D183" s="10"/>
    </row>
    <row r="184" spans="1:4" ht="12.75" x14ac:dyDescent="0.2">
      <c r="A184" s="11"/>
      <c r="B184" s="11"/>
      <c r="C184" s="11"/>
      <c r="D184" s="10"/>
    </row>
    <row r="185" spans="1:4" ht="12.75" x14ac:dyDescent="0.2">
      <c r="A185" s="11"/>
      <c r="B185" s="11"/>
      <c r="C185" s="11"/>
      <c r="D185" s="10"/>
    </row>
    <row r="186" spans="1:4" ht="12.75" x14ac:dyDescent="0.2">
      <c r="A186" s="11"/>
      <c r="B186" s="11"/>
      <c r="C186" s="11"/>
      <c r="D186" s="10"/>
    </row>
    <row r="187" spans="1:4" ht="12.75" x14ac:dyDescent="0.2">
      <c r="A187" s="11"/>
      <c r="B187" s="11"/>
      <c r="C187" s="11"/>
      <c r="D187" s="10"/>
    </row>
    <row r="188" spans="1:4" ht="12.75" x14ac:dyDescent="0.2">
      <c r="A188" s="11"/>
      <c r="B188" s="11"/>
      <c r="C188" s="11"/>
      <c r="D188" s="10"/>
    </row>
    <row r="189" spans="1:4" ht="12.75" x14ac:dyDescent="0.2">
      <c r="A189" s="11"/>
      <c r="B189" s="11"/>
      <c r="C189" s="11"/>
      <c r="D189" s="10"/>
    </row>
    <row r="190" spans="1:4" ht="12.75" x14ac:dyDescent="0.2">
      <c r="A190" s="11"/>
      <c r="B190" s="11"/>
      <c r="C190" s="11"/>
      <c r="D190" s="10"/>
    </row>
    <row r="191" spans="1:4" ht="12.75" x14ac:dyDescent="0.2">
      <c r="A191" s="11"/>
      <c r="B191" s="11"/>
      <c r="C191" s="11"/>
      <c r="D191" s="10"/>
    </row>
    <row r="192" spans="1:4" ht="12.75" x14ac:dyDescent="0.2">
      <c r="A192" s="11"/>
      <c r="B192" s="11"/>
      <c r="C192" s="11"/>
      <c r="D192" s="10"/>
    </row>
    <row r="193" spans="1:4" ht="12.75" x14ac:dyDescent="0.2">
      <c r="A193" s="11"/>
      <c r="B193" s="11"/>
      <c r="C193" s="11"/>
      <c r="D193" s="10"/>
    </row>
    <row r="194" spans="1:4" ht="12.75" x14ac:dyDescent="0.2">
      <c r="A194" s="11"/>
      <c r="B194" s="11"/>
      <c r="C194" s="11"/>
      <c r="D194" s="10"/>
    </row>
    <row r="195" spans="1:4" ht="12.75" x14ac:dyDescent="0.2">
      <c r="A195" s="11"/>
      <c r="B195" s="11"/>
      <c r="C195" s="11"/>
      <c r="D195" s="10"/>
    </row>
    <row r="196" spans="1:4" ht="12.75" x14ac:dyDescent="0.2">
      <c r="A196" s="11"/>
      <c r="B196" s="11"/>
      <c r="C196" s="11"/>
      <c r="D196" s="10"/>
    </row>
    <row r="197" spans="1:4" ht="12.75" x14ac:dyDescent="0.2">
      <c r="A197" s="11"/>
      <c r="B197" s="11"/>
      <c r="C197" s="11"/>
      <c r="D197" s="10"/>
    </row>
    <row r="198" spans="1:4" ht="12.75" x14ac:dyDescent="0.2">
      <c r="A198" s="11"/>
      <c r="B198" s="11"/>
      <c r="C198" s="11"/>
      <c r="D198" s="10"/>
    </row>
    <row r="199" spans="1:4" ht="12.75" x14ac:dyDescent="0.2">
      <c r="A199" s="11"/>
      <c r="B199" s="11"/>
      <c r="C199" s="11"/>
      <c r="D199" s="10"/>
    </row>
    <row r="200" spans="1:4" ht="12.75" x14ac:dyDescent="0.2">
      <c r="A200" s="11"/>
      <c r="B200" s="11"/>
      <c r="C200" s="11"/>
      <c r="D200" s="10"/>
    </row>
    <row r="201" spans="1:4" ht="12.75" x14ac:dyDescent="0.2">
      <c r="A201" s="11"/>
      <c r="B201" s="11"/>
      <c r="C201" s="11"/>
      <c r="D201" s="10"/>
    </row>
    <row r="202" spans="1:4" ht="12.75" x14ac:dyDescent="0.2">
      <c r="A202" s="11"/>
      <c r="B202" s="11"/>
      <c r="C202" s="11"/>
      <c r="D202" s="10"/>
    </row>
    <row r="203" spans="1:4" ht="12.75" x14ac:dyDescent="0.2">
      <c r="A203" s="11"/>
      <c r="B203" s="11"/>
      <c r="C203" s="11"/>
      <c r="D203" s="10"/>
    </row>
    <row r="204" spans="1:4" ht="12.75" x14ac:dyDescent="0.2">
      <c r="A204" s="11"/>
      <c r="B204" s="11"/>
      <c r="C204" s="11"/>
      <c r="D204" s="10"/>
    </row>
    <row r="205" spans="1:4" ht="12.75" x14ac:dyDescent="0.2">
      <c r="A205" s="11"/>
      <c r="B205" s="11"/>
      <c r="C205" s="11"/>
      <c r="D205" s="10"/>
    </row>
    <row r="206" spans="1:4" ht="12.75" x14ac:dyDescent="0.2">
      <c r="A206" s="11"/>
      <c r="B206" s="11"/>
      <c r="C206" s="11"/>
      <c r="D206" s="10"/>
    </row>
    <row r="207" spans="1:4" ht="12.75" x14ac:dyDescent="0.2">
      <c r="A207" s="11"/>
      <c r="B207" s="11"/>
      <c r="C207" s="11"/>
      <c r="D207" s="10"/>
    </row>
    <row r="208" spans="1:4" ht="12.75" x14ac:dyDescent="0.2">
      <c r="A208" s="11"/>
      <c r="B208" s="11"/>
      <c r="C208" s="11"/>
      <c r="D208" s="10"/>
    </row>
    <row r="209" spans="1:4" ht="12.75" x14ac:dyDescent="0.2">
      <c r="A209" s="11"/>
      <c r="B209" s="11"/>
      <c r="C209" s="11"/>
      <c r="D209" s="10"/>
    </row>
    <row r="210" spans="1:4" ht="12.75" x14ac:dyDescent="0.2">
      <c r="A210" s="11"/>
      <c r="B210" s="11"/>
      <c r="C210" s="11"/>
      <c r="D210" s="10"/>
    </row>
    <row r="211" spans="1:4" ht="12.75" x14ac:dyDescent="0.2">
      <c r="A211" s="11"/>
      <c r="B211" s="11"/>
      <c r="C211" s="11"/>
      <c r="D211" s="10"/>
    </row>
    <row r="212" spans="1:4" ht="12.75" x14ac:dyDescent="0.2">
      <c r="A212" s="11"/>
      <c r="B212" s="11"/>
      <c r="C212" s="11"/>
      <c r="D212" s="10"/>
    </row>
    <row r="213" spans="1:4" ht="12.75" x14ac:dyDescent="0.2">
      <c r="A213" s="11"/>
      <c r="B213" s="11"/>
      <c r="C213" s="11"/>
      <c r="D213" s="10"/>
    </row>
    <row r="214" spans="1:4" ht="12.75" x14ac:dyDescent="0.2">
      <c r="A214" s="11"/>
      <c r="B214" s="11"/>
      <c r="C214" s="11"/>
      <c r="D214" s="10"/>
    </row>
    <row r="215" spans="1:4" ht="12.75" x14ac:dyDescent="0.2">
      <c r="A215" s="11"/>
      <c r="B215" s="11"/>
      <c r="C215" s="11"/>
      <c r="D215" s="10"/>
    </row>
    <row r="216" spans="1:4" ht="12.75" x14ac:dyDescent="0.2">
      <c r="A216" s="11"/>
      <c r="B216" s="11"/>
      <c r="C216" s="11"/>
      <c r="D216" s="10"/>
    </row>
    <row r="217" spans="1:4" ht="12.75" x14ac:dyDescent="0.2">
      <c r="A217" s="11"/>
      <c r="B217" s="11"/>
      <c r="C217" s="11"/>
      <c r="D217" s="10"/>
    </row>
    <row r="218" spans="1:4" ht="12.75" x14ac:dyDescent="0.2">
      <c r="A218" s="11"/>
      <c r="B218" s="11"/>
      <c r="C218" s="11"/>
      <c r="D218" s="10"/>
    </row>
    <row r="219" spans="1:4" ht="12.75" x14ac:dyDescent="0.2">
      <c r="A219" s="11"/>
      <c r="B219" s="11"/>
      <c r="C219" s="11"/>
      <c r="D219" s="10"/>
    </row>
    <row r="220" spans="1:4" ht="12.75" x14ac:dyDescent="0.2">
      <c r="A220" s="11"/>
      <c r="B220" s="11"/>
      <c r="C220" s="11"/>
      <c r="D220" s="10"/>
    </row>
    <row r="221" spans="1:4" ht="12.75" x14ac:dyDescent="0.2">
      <c r="A221" s="11"/>
      <c r="B221" s="11"/>
      <c r="C221" s="11"/>
      <c r="D221" s="10"/>
    </row>
    <row r="222" spans="1:4" ht="12.75" x14ac:dyDescent="0.2">
      <c r="A222" s="11"/>
      <c r="B222" s="11"/>
      <c r="C222" s="11"/>
      <c r="D222" s="10"/>
    </row>
    <row r="223" spans="1:4" ht="12.75" x14ac:dyDescent="0.2">
      <c r="A223" s="11"/>
      <c r="B223" s="11"/>
      <c r="C223" s="11"/>
      <c r="D223" s="10"/>
    </row>
    <row r="224" spans="1:4" ht="12.75" x14ac:dyDescent="0.2">
      <c r="A224" s="11"/>
      <c r="B224" s="11"/>
      <c r="C224" s="11"/>
      <c r="D224" s="10"/>
    </row>
    <row r="225" spans="1:4" ht="12.75" x14ac:dyDescent="0.2">
      <c r="A225" s="11"/>
      <c r="B225" s="11"/>
      <c r="C225" s="11"/>
      <c r="D225" s="10"/>
    </row>
    <row r="226" spans="1:4" ht="12.75" x14ac:dyDescent="0.2">
      <c r="A226" s="11"/>
      <c r="B226" s="11"/>
      <c r="C226" s="11"/>
      <c r="D226" s="10"/>
    </row>
    <row r="227" spans="1:4" ht="12.75" x14ac:dyDescent="0.2">
      <c r="A227" s="11"/>
      <c r="B227" s="11"/>
      <c r="C227" s="11"/>
      <c r="D227" s="10"/>
    </row>
    <row r="228" spans="1:4" ht="12.75" x14ac:dyDescent="0.2">
      <c r="A228" s="11"/>
      <c r="B228" s="11"/>
      <c r="C228" s="11"/>
      <c r="D228" s="10"/>
    </row>
    <row r="229" spans="1:4" ht="12.75" x14ac:dyDescent="0.2">
      <c r="A229" s="11"/>
      <c r="B229" s="11"/>
      <c r="C229" s="11"/>
      <c r="D229" s="10"/>
    </row>
    <row r="230" spans="1:4" ht="12.75" x14ac:dyDescent="0.2">
      <c r="A230" s="11"/>
      <c r="B230" s="11"/>
      <c r="C230" s="11"/>
      <c r="D230" s="10"/>
    </row>
    <row r="231" spans="1:4" ht="12.75" x14ac:dyDescent="0.2">
      <c r="A231" s="11"/>
      <c r="B231" s="11"/>
      <c r="C231" s="11"/>
      <c r="D231" s="10"/>
    </row>
    <row r="232" spans="1:4" ht="12.75" x14ac:dyDescent="0.2">
      <c r="A232" s="11"/>
      <c r="B232" s="11"/>
      <c r="C232" s="11"/>
      <c r="D232" s="10"/>
    </row>
    <row r="233" spans="1:4" ht="12.75" x14ac:dyDescent="0.2">
      <c r="A233" s="11"/>
      <c r="B233" s="11"/>
      <c r="C233" s="11"/>
      <c r="D233" s="10"/>
    </row>
    <row r="234" spans="1:4" ht="12.75" x14ac:dyDescent="0.2">
      <c r="A234" s="11"/>
      <c r="B234" s="11"/>
      <c r="C234" s="11"/>
      <c r="D234" s="10"/>
    </row>
    <row r="235" spans="1:4" ht="12.75" x14ac:dyDescent="0.2">
      <c r="A235" s="11"/>
      <c r="B235" s="11"/>
      <c r="C235" s="11"/>
      <c r="D235" s="10"/>
    </row>
    <row r="236" spans="1:4" ht="12.75" x14ac:dyDescent="0.2">
      <c r="A236" s="11"/>
      <c r="B236" s="11"/>
      <c r="C236" s="11"/>
      <c r="D236" s="10"/>
    </row>
    <row r="237" spans="1:4" ht="12.75" x14ac:dyDescent="0.2">
      <c r="A237" s="11"/>
      <c r="B237" s="11"/>
      <c r="C237" s="11"/>
      <c r="D237" s="10"/>
    </row>
    <row r="238" spans="1:4" ht="12.75" x14ac:dyDescent="0.2">
      <c r="A238" s="11"/>
      <c r="B238" s="11"/>
      <c r="C238" s="11"/>
      <c r="D238" s="10"/>
    </row>
    <row r="239" spans="1:4" ht="12.75" x14ac:dyDescent="0.2">
      <c r="A239" s="11"/>
      <c r="B239" s="11"/>
      <c r="C239" s="11"/>
      <c r="D239" s="10"/>
    </row>
    <row r="240" spans="1:4" ht="12.75" x14ac:dyDescent="0.2">
      <c r="A240" s="11"/>
      <c r="B240" s="11"/>
      <c r="C240" s="11"/>
      <c r="D240" s="10"/>
    </row>
    <row r="241" spans="1:4" ht="12.75" x14ac:dyDescent="0.2">
      <c r="A241" s="11"/>
      <c r="B241" s="11"/>
      <c r="C241" s="11"/>
      <c r="D241" s="10"/>
    </row>
    <row r="242" spans="1:4" ht="12.75" x14ac:dyDescent="0.2">
      <c r="A242" s="11"/>
      <c r="B242" s="11"/>
      <c r="C242" s="11"/>
      <c r="D242" s="10"/>
    </row>
    <row r="243" spans="1:4" ht="12.75" x14ac:dyDescent="0.2">
      <c r="A243" s="11"/>
      <c r="B243" s="11"/>
      <c r="C243" s="11"/>
      <c r="D243" s="10"/>
    </row>
    <row r="244" spans="1:4" ht="12.75" x14ac:dyDescent="0.2">
      <c r="A244" s="11"/>
      <c r="B244" s="11"/>
      <c r="C244" s="11"/>
      <c r="D244" s="10"/>
    </row>
    <row r="245" spans="1:4" ht="12.75" x14ac:dyDescent="0.2">
      <c r="A245" s="11"/>
      <c r="B245" s="11"/>
      <c r="C245" s="11"/>
      <c r="D245" s="10"/>
    </row>
    <row r="246" spans="1:4" ht="12.75" x14ac:dyDescent="0.2">
      <c r="A246" s="11"/>
      <c r="B246" s="11"/>
      <c r="C246" s="11"/>
      <c r="D246" s="10"/>
    </row>
    <row r="247" spans="1:4" ht="12.75" x14ac:dyDescent="0.2">
      <c r="A247" s="11"/>
      <c r="B247" s="11"/>
      <c r="C247" s="11"/>
      <c r="D247" s="10"/>
    </row>
    <row r="248" spans="1:4" ht="12.75" x14ac:dyDescent="0.2">
      <c r="A248" s="11"/>
      <c r="B248" s="11"/>
      <c r="C248" s="11"/>
      <c r="D248" s="10"/>
    </row>
    <row r="249" spans="1:4" ht="12.75" x14ac:dyDescent="0.2">
      <c r="A249" s="11"/>
      <c r="B249" s="11"/>
      <c r="C249" s="11"/>
      <c r="D249" s="10"/>
    </row>
    <row r="250" spans="1:4" ht="12.75" x14ac:dyDescent="0.2">
      <c r="A250" s="11"/>
      <c r="B250" s="11"/>
      <c r="C250" s="11"/>
      <c r="D250" s="10"/>
    </row>
    <row r="251" spans="1:4" ht="12.75" x14ac:dyDescent="0.2">
      <c r="A251" s="11"/>
      <c r="B251" s="11"/>
      <c r="C251" s="11"/>
      <c r="D251" s="10"/>
    </row>
    <row r="252" spans="1:4" ht="12.75" x14ac:dyDescent="0.2">
      <c r="A252" s="11"/>
      <c r="B252" s="11"/>
      <c r="C252" s="11"/>
      <c r="D252" s="10"/>
    </row>
    <row r="253" spans="1:4" ht="12.75" x14ac:dyDescent="0.2">
      <c r="A253" s="11"/>
      <c r="B253" s="11"/>
      <c r="C253" s="11"/>
      <c r="D253" s="10"/>
    </row>
    <row r="254" spans="1:4" ht="12.75" x14ac:dyDescent="0.2">
      <c r="A254" s="11"/>
      <c r="B254" s="11"/>
      <c r="C254" s="11"/>
      <c r="D254" s="10"/>
    </row>
    <row r="255" spans="1:4" ht="12.75" x14ac:dyDescent="0.2">
      <c r="A255" s="11"/>
      <c r="B255" s="11"/>
      <c r="C255" s="11"/>
      <c r="D255" s="10"/>
    </row>
    <row r="256" spans="1:4" ht="12.75" x14ac:dyDescent="0.2">
      <c r="A256" s="11"/>
      <c r="B256" s="11"/>
      <c r="C256" s="11"/>
      <c r="D256" s="10"/>
    </row>
    <row r="257" spans="1:4" ht="12.75" x14ac:dyDescent="0.2">
      <c r="A257" s="11"/>
      <c r="B257" s="11"/>
      <c r="C257" s="11"/>
      <c r="D257" s="10"/>
    </row>
    <row r="258" spans="1:4" ht="12.75" x14ac:dyDescent="0.2">
      <c r="A258" s="11"/>
      <c r="B258" s="11"/>
      <c r="C258" s="11"/>
      <c r="D258" s="10"/>
    </row>
    <row r="259" spans="1:4" ht="12.75" x14ac:dyDescent="0.2">
      <c r="A259" s="11"/>
      <c r="B259" s="11"/>
      <c r="C259" s="11"/>
      <c r="D259" s="10"/>
    </row>
    <row r="260" spans="1:4" ht="12.75" x14ac:dyDescent="0.2">
      <c r="A260" s="11"/>
      <c r="B260" s="11"/>
      <c r="C260" s="11"/>
      <c r="D260" s="10"/>
    </row>
    <row r="261" spans="1:4" ht="12.75" x14ac:dyDescent="0.2">
      <c r="A261" s="11"/>
      <c r="B261" s="11"/>
      <c r="C261" s="11"/>
      <c r="D261" s="10"/>
    </row>
    <row r="262" spans="1:4" ht="12.75" x14ac:dyDescent="0.2">
      <c r="A262" s="11"/>
      <c r="B262" s="11"/>
      <c r="C262" s="11"/>
      <c r="D262" s="10"/>
    </row>
    <row r="263" spans="1:4" ht="12.75" x14ac:dyDescent="0.2">
      <c r="A263" s="11"/>
      <c r="B263" s="11"/>
      <c r="C263" s="11"/>
      <c r="D263" s="10"/>
    </row>
    <row r="264" spans="1:4" ht="12.75" x14ac:dyDescent="0.2">
      <c r="A264" s="11"/>
      <c r="B264" s="11"/>
      <c r="C264" s="11"/>
      <c r="D264" s="10"/>
    </row>
    <row r="265" spans="1:4" ht="12.75" x14ac:dyDescent="0.2">
      <c r="A265" s="11"/>
      <c r="B265" s="11"/>
      <c r="C265" s="11"/>
      <c r="D265" s="10"/>
    </row>
    <row r="266" spans="1:4" ht="12.75" x14ac:dyDescent="0.2">
      <c r="A266" s="11"/>
      <c r="B266" s="11"/>
      <c r="C266" s="11"/>
      <c r="D266" s="10"/>
    </row>
    <row r="267" spans="1:4" ht="12.75" x14ac:dyDescent="0.2">
      <c r="A267" s="11"/>
      <c r="B267" s="11"/>
      <c r="C267" s="11"/>
      <c r="D267" s="10"/>
    </row>
    <row r="268" spans="1:4" ht="12.75" x14ac:dyDescent="0.2">
      <c r="A268" s="11"/>
      <c r="B268" s="11"/>
      <c r="C268" s="11"/>
      <c r="D268" s="10"/>
    </row>
    <row r="269" spans="1:4" ht="12.75" x14ac:dyDescent="0.2">
      <c r="A269" s="11"/>
      <c r="B269" s="11"/>
      <c r="C269" s="11"/>
      <c r="D269" s="10"/>
    </row>
    <row r="270" spans="1:4" ht="12.75" x14ac:dyDescent="0.2">
      <c r="A270" s="11"/>
      <c r="B270" s="11"/>
      <c r="C270" s="11"/>
      <c r="D270" s="10"/>
    </row>
    <row r="271" spans="1:4" ht="12.75" x14ac:dyDescent="0.2">
      <c r="A271" s="11"/>
      <c r="B271" s="11"/>
      <c r="C271" s="11"/>
      <c r="D271" s="10"/>
    </row>
    <row r="272" spans="1:4" ht="12.75" x14ac:dyDescent="0.2">
      <c r="A272" s="11"/>
      <c r="B272" s="11"/>
      <c r="C272" s="11"/>
      <c r="D272" s="10"/>
    </row>
    <row r="273" spans="1:4" ht="12.75" x14ac:dyDescent="0.2">
      <c r="A273" s="11"/>
      <c r="B273" s="11"/>
      <c r="C273" s="11"/>
      <c r="D273" s="10"/>
    </row>
    <row r="274" spans="1:4" ht="12.75" x14ac:dyDescent="0.2">
      <c r="A274" s="11"/>
      <c r="B274" s="11"/>
      <c r="C274" s="11"/>
      <c r="D274" s="10"/>
    </row>
    <row r="275" spans="1:4" ht="12.75" x14ac:dyDescent="0.2">
      <c r="A275" s="11"/>
      <c r="B275" s="11"/>
      <c r="C275" s="11"/>
      <c r="D275" s="10"/>
    </row>
    <row r="276" spans="1:4" ht="12.75" x14ac:dyDescent="0.2">
      <c r="A276" s="11"/>
      <c r="B276" s="11"/>
      <c r="C276" s="11"/>
      <c r="D276" s="10"/>
    </row>
    <row r="277" spans="1:4" ht="12.75" x14ac:dyDescent="0.2">
      <c r="A277" s="11"/>
      <c r="B277" s="11"/>
      <c r="C277" s="11"/>
      <c r="D277" s="10"/>
    </row>
    <row r="278" spans="1:4" ht="12.75" x14ac:dyDescent="0.2">
      <c r="A278" s="11"/>
      <c r="B278" s="11"/>
      <c r="C278" s="11"/>
      <c r="D278" s="10"/>
    </row>
    <row r="279" spans="1:4" ht="12.75" x14ac:dyDescent="0.2">
      <c r="A279" s="11"/>
      <c r="B279" s="11"/>
      <c r="C279" s="11"/>
      <c r="D279" s="10"/>
    </row>
    <row r="280" spans="1:4" ht="12.75" x14ac:dyDescent="0.2">
      <c r="A280" s="11"/>
      <c r="B280" s="11"/>
      <c r="C280" s="11"/>
      <c r="D280" s="10"/>
    </row>
    <row r="281" spans="1:4" ht="12.75" x14ac:dyDescent="0.2">
      <c r="A281" s="11"/>
      <c r="B281" s="11"/>
      <c r="C281" s="11"/>
      <c r="D281" s="10"/>
    </row>
    <row r="282" spans="1:4" ht="12.75" x14ac:dyDescent="0.2">
      <c r="A282" s="11"/>
      <c r="B282" s="11"/>
      <c r="C282" s="11"/>
      <c r="D282" s="10"/>
    </row>
    <row r="283" spans="1:4" ht="12.75" x14ac:dyDescent="0.2">
      <c r="A283" s="11"/>
      <c r="B283" s="11"/>
      <c r="C283" s="11"/>
      <c r="D283" s="10"/>
    </row>
    <row r="284" spans="1:4" ht="12.75" x14ac:dyDescent="0.2">
      <c r="A284" s="11"/>
      <c r="B284" s="11"/>
      <c r="C284" s="11"/>
      <c r="D284" s="10"/>
    </row>
    <row r="285" spans="1:4" ht="12.75" x14ac:dyDescent="0.2">
      <c r="A285" s="11"/>
      <c r="B285" s="11"/>
      <c r="C285" s="11"/>
      <c r="D285" s="10"/>
    </row>
    <row r="286" spans="1:4" ht="12.75" x14ac:dyDescent="0.2">
      <c r="A286" s="11"/>
      <c r="B286" s="11"/>
      <c r="C286" s="11"/>
      <c r="D286" s="10"/>
    </row>
    <row r="287" spans="1:4" ht="12.75" x14ac:dyDescent="0.2">
      <c r="A287" s="11"/>
      <c r="B287" s="11"/>
      <c r="C287" s="11"/>
      <c r="D287" s="10"/>
    </row>
    <row r="288" spans="1:4" ht="12.75" x14ac:dyDescent="0.2">
      <c r="A288" s="11"/>
      <c r="B288" s="11"/>
      <c r="C288" s="11"/>
      <c r="D288" s="10"/>
    </row>
    <row r="289" spans="1:4" ht="12.75" x14ac:dyDescent="0.2">
      <c r="A289" s="11"/>
      <c r="B289" s="11"/>
      <c r="C289" s="11"/>
      <c r="D289" s="10"/>
    </row>
    <row r="290" spans="1:4" ht="12.75" x14ac:dyDescent="0.2">
      <c r="A290" s="11"/>
      <c r="B290" s="11"/>
      <c r="C290" s="11"/>
      <c r="D290" s="10"/>
    </row>
    <row r="291" spans="1:4" ht="12.75" x14ac:dyDescent="0.2">
      <c r="A291" s="11"/>
      <c r="B291" s="11"/>
      <c r="C291" s="11"/>
      <c r="D291" s="10"/>
    </row>
    <row r="292" spans="1:4" ht="12.75" x14ac:dyDescent="0.2">
      <c r="A292" s="11"/>
      <c r="B292" s="11"/>
      <c r="C292" s="11"/>
      <c r="D292" s="10"/>
    </row>
    <row r="293" spans="1:4" ht="12.75" x14ac:dyDescent="0.2">
      <c r="A293" s="11"/>
      <c r="B293" s="11"/>
      <c r="C293" s="11"/>
      <c r="D293" s="10"/>
    </row>
    <row r="294" spans="1:4" ht="12.75" x14ac:dyDescent="0.2">
      <c r="A294" s="11"/>
      <c r="B294" s="11"/>
      <c r="C294" s="11"/>
      <c r="D294" s="10"/>
    </row>
    <row r="295" spans="1:4" ht="12.75" x14ac:dyDescent="0.2">
      <c r="A295" s="11"/>
      <c r="B295" s="11"/>
      <c r="C295" s="11"/>
      <c r="D295" s="10"/>
    </row>
    <row r="296" spans="1:4" ht="12.75" x14ac:dyDescent="0.2">
      <c r="A296" s="11"/>
      <c r="B296" s="11"/>
      <c r="C296" s="11"/>
      <c r="D296" s="10"/>
    </row>
    <row r="297" spans="1:4" ht="12.75" x14ac:dyDescent="0.2">
      <c r="A297" s="11"/>
      <c r="B297" s="11"/>
      <c r="C297" s="11"/>
      <c r="D297" s="10"/>
    </row>
    <row r="298" spans="1:4" ht="12.75" x14ac:dyDescent="0.2">
      <c r="A298" s="11"/>
      <c r="B298" s="11"/>
      <c r="C298" s="11"/>
      <c r="D298" s="10"/>
    </row>
    <row r="299" spans="1:4" ht="12.75" x14ac:dyDescent="0.2">
      <c r="A299" s="11"/>
      <c r="B299" s="11"/>
      <c r="C299" s="11"/>
      <c r="D299" s="10"/>
    </row>
    <row r="300" spans="1:4" ht="12.75" x14ac:dyDescent="0.2">
      <c r="A300" s="11"/>
      <c r="B300" s="11"/>
      <c r="C300" s="11"/>
      <c r="D300" s="10"/>
    </row>
    <row r="301" spans="1:4" ht="12.75" x14ac:dyDescent="0.2">
      <c r="A301" s="11"/>
      <c r="B301" s="11"/>
      <c r="C301" s="11"/>
      <c r="D301" s="10"/>
    </row>
    <row r="302" spans="1:4" ht="12.75" x14ac:dyDescent="0.2">
      <c r="A302" s="11"/>
      <c r="B302" s="11"/>
      <c r="C302" s="11"/>
      <c r="D302" s="10"/>
    </row>
    <row r="303" spans="1:4" ht="12.75" x14ac:dyDescent="0.2">
      <c r="A303" s="11"/>
      <c r="B303" s="11"/>
      <c r="C303" s="11"/>
      <c r="D303" s="10"/>
    </row>
    <row r="304" spans="1:4" ht="12.75" x14ac:dyDescent="0.2">
      <c r="A304" s="11"/>
      <c r="B304" s="11"/>
      <c r="C304" s="11"/>
      <c r="D304" s="10"/>
    </row>
    <row r="305" spans="1:4" ht="12.75" x14ac:dyDescent="0.2">
      <c r="A305" s="11"/>
      <c r="B305" s="11"/>
      <c r="C305" s="11"/>
      <c r="D305" s="10"/>
    </row>
    <row r="306" spans="1:4" ht="12.75" x14ac:dyDescent="0.2">
      <c r="A306" s="11"/>
      <c r="B306" s="11"/>
      <c r="C306" s="11"/>
      <c r="D306" s="10"/>
    </row>
    <row r="307" spans="1:4" ht="12.75" x14ac:dyDescent="0.2">
      <c r="A307" s="11"/>
      <c r="B307" s="11"/>
      <c r="C307" s="11"/>
      <c r="D307" s="10"/>
    </row>
    <row r="308" spans="1:4" ht="12.75" x14ac:dyDescent="0.2">
      <c r="A308" s="11"/>
      <c r="B308" s="11"/>
      <c r="C308" s="11"/>
      <c r="D308" s="10"/>
    </row>
    <row r="309" spans="1:4" ht="12.75" x14ac:dyDescent="0.2">
      <c r="A309" s="11"/>
      <c r="B309" s="11"/>
      <c r="C309" s="11"/>
      <c r="D309" s="10"/>
    </row>
    <row r="310" spans="1:4" ht="12.75" x14ac:dyDescent="0.2">
      <c r="A310" s="11"/>
      <c r="B310" s="11"/>
      <c r="C310" s="11"/>
      <c r="D310" s="10"/>
    </row>
    <row r="311" spans="1:4" ht="12.75" x14ac:dyDescent="0.2">
      <c r="A311" s="11"/>
      <c r="B311" s="11"/>
      <c r="C311" s="11"/>
      <c r="D311" s="10"/>
    </row>
    <row r="312" spans="1:4" ht="12.75" x14ac:dyDescent="0.2">
      <c r="A312" s="11"/>
      <c r="B312" s="11"/>
      <c r="C312" s="11"/>
      <c r="D312" s="10"/>
    </row>
    <row r="313" spans="1:4" ht="12.75" x14ac:dyDescent="0.2">
      <c r="A313" s="11"/>
      <c r="B313" s="11"/>
      <c r="C313" s="11"/>
      <c r="D313" s="10"/>
    </row>
    <row r="314" spans="1:4" ht="12.75" x14ac:dyDescent="0.2">
      <c r="A314" s="11"/>
      <c r="B314" s="11"/>
      <c r="C314" s="11"/>
      <c r="D314" s="10"/>
    </row>
    <row r="315" spans="1:4" ht="12.75" x14ac:dyDescent="0.2">
      <c r="A315" s="11"/>
      <c r="B315" s="11"/>
      <c r="C315" s="11"/>
      <c r="D315" s="10"/>
    </row>
    <row r="316" spans="1:4" ht="12.75" x14ac:dyDescent="0.2">
      <c r="A316" s="11"/>
      <c r="B316" s="11"/>
      <c r="C316" s="11"/>
      <c r="D316" s="10"/>
    </row>
    <row r="317" spans="1:4" ht="12.75" x14ac:dyDescent="0.2">
      <c r="A317" s="11"/>
      <c r="B317" s="11"/>
      <c r="C317" s="11"/>
      <c r="D317" s="10"/>
    </row>
    <row r="318" spans="1:4" ht="12.75" x14ac:dyDescent="0.2">
      <c r="A318" s="11"/>
      <c r="B318" s="11"/>
      <c r="C318" s="11"/>
      <c r="D318" s="10"/>
    </row>
    <row r="319" spans="1:4" ht="12.75" x14ac:dyDescent="0.2">
      <c r="A319" s="11"/>
      <c r="B319" s="11"/>
      <c r="C319" s="11"/>
      <c r="D319" s="10"/>
    </row>
    <row r="320" spans="1:4" ht="12.75" x14ac:dyDescent="0.2">
      <c r="A320" s="11"/>
      <c r="B320" s="11"/>
      <c r="C320" s="11"/>
      <c r="D320" s="10"/>
    </row>
    <row r="321" spans="1:4" ht="12.75" x14ac:dyDescent="0.2">
      <c r="A321" s="11"/>
      <c r="B321" s="11"/>
      <c r="C321" s="11"/>
      <c r="D321" s="10"/>
    </row>
    <row r="322" spans="1:4" ht="12.75" x14ac:dyDescent="0.2">
      <c r="A322" s="11"/>
      <c r="B322" s="11"/>
      <c r="C322" s="11"/>
      <c r="D322" s="10"/>
    </row>
    <row r="323" spans="1:4" ht="12.75" x14ac:dyDescent="0.2">
      <c r="A323" s="11"/>
      <c r="B323" s="11"/>
      <c r="C323" s="11"/>
      <c r="D323" s="10"/>
    </row>
    <row r="324" spans="1:4" ht="12.75" x14ac:dyDescent="0.2">
      <c r="A324" s="11"/>
      <c r="B324" s="11"/>
      <c r="C324" s="11"/>
      <c r="D324" s="10"/>
    </row>
    <row r="325" spans="1:4" ht="12.75" x14ac:dyDescent="0.2">
      <c r="A325" s="11"/>
      <c r="B325" s="11"/>
      <c r="C325" s="11"/>
      <c r="D325" s="10"/>
    </row>
    <row r="326" spans="1:4" ht="12.75" x14ac:dyDescent="0.2">
      <c r="A326" s="11"/>
      <c r="B326" s="11"/>
      <c r="C326" s="11"/>
      <c r="D326" s="10"/>
    </row>
    <row r="327" spans="1:4" ht="12.75" x14ac:dyDescent="0.2">
      <c r="A327" s="11"/>
      <c r="B327" s="11"/>
      <c r="C327" s="11"/>
      <c r="D327" s="10"/>
    </row>
    <row r="328" spans="1:4" ht="12.75" x14ac:dyDescent="0.2">
      <c r="A328" s="11"/>
      <c r="B328" s="11"/>
      <c r="C328" s="11"/>
      <c r="D328" s="10"/>
    </row>
    <row r="329" spans="1:4" ht="12.75" x14ac:dyDescent="0.2">
      <c r="A329" s="11"/>
      <c r="B329" s="11"/>
      <c r="C329" s="11"/>
      <c r="D329" s="10"/>
    </row>
    <row r="330" spans="1:4" ht="12.75" x14ac:dyDescent="0.2">
      <c r="A330" s="11"/>
      <c r="B330" s="11"/>
      <c r="C330" s="11"/>
      <c r="D330" s="10"/>
    </row>
    <row r="331" spans="1:4" ht="12.75" x14ac:dyDescent="0.2">
      <c r="A331" s="11"/>
      <c r="B331" s="11"/>
      <c r="C331" s="11"/>
      <c r="D331" s="10"/>
    </row>
    <row r="332" spans="1:4" ht="12.75" x14ac:dyDescent="0.2">
      <c r="A332" s="11"/>
      <c r="B332" s="11"/>
      <c r="C332" s="11"/>
      <c r="D332" s="10"/>
    </row>
    <row r="333" spans="1:4" ht="12.75" x14ac:dyDescent="0.2">
      <c r="A333" s="11"/>
      <c r="B333" s="11"/>
      <c r="C333" s="11"/>
      <c r="D333" s="10"/>
    </row>
    <row r="334" spans="1:4" ht="12.75" x14ac:dyDescent="0.2">
      <c r="A334" s="11"/>
      <c r="B334" s="11"/>
      <c r="C334" s="11"/>
      <c r="D334" s="10"/>
    </row>
    <row r="335" spans="1:4" ht="12.75" x14ac:dyDescent="0.2">
      <c r="A335" s="11"/>
      <c r="B335" s="11"/>
      <c r="C335" s="11"/>
      <c r="D335" s="10"/>
    </row>
    <row r="336" spans="1:4" ht="12.75" x14ac:dyDescent="0.2">
      <c r="A336" s="11"/>
      <c r="B336" s="11"/>
      <c r="C336" s="11"/>
      <c r="D336" s="10"/>
    </row>
    <row r="337" spans="1:4" ht="12.75" x14ac:dyDescent="0.2">
      <c r="A337" s="11"/>
      <c r="B337" s="11"/>
      <c r="C337" s="11"/>
      <c r="D337" s="10"/>
    </row>
    <row r="338" spans="1:4" ht="12.75" x14ac:dyDescent="0.2">
      <c r="A338" s="11"/>
      <c r="B338" s="11"/>
      <c r="C338" s="11"/>
      <c r="D338" s="10"/>
    </row>
    <row r="339" spans="1:4" ht="12.75" x14ac:dyDescent="0.2">
      <c r="A339" s="11"/>
      <c r="B339" s="11"/>
      <c r="C339" s="11"/>
      <c r="D339" s="10"/>
    </row>
    <row r="340" spans="1:4" ht="12.75" x14ac:dyDescent="0.2">
      <c r="A340" s="11"/>
      <c r="B340" s="11"/>
      <c r="C340" s="11"/>
      <c r="D340" s="10"/>
    </row>
    <row r="341" spans="1:4" ht="12.75" x14ac:dyDescent="0.2">
      <c r="A341" s="11"/>
      <c r="B341" s="11"/>
      <c r="C341" s="11"/>
      <c r="D341" s="10"/>
    </row>
    <row r="342" spans="1:4" ht="12.75" x14ac:dyDescent="0.2">
      <c r="A342" s="11"/>
      <c r="B342" s="11"/>
      <c r="C342" s="11"/>
      <c r="D342" s="10"/>
    </row>
    <row r="343" spans="1:4" ht="12.75" x14ac:dyDescent="0.2">
      <c r="A343" s="11"/>
      <c r="B343" s="11"/>
      <c r="C343" s="11"/>
      <c r="D343" s="10"/>
    </row>
    <row r="344" spans="1:4" ht="12.75" x14ac:dyDescent="0.2">
      <c r="A344" s="11"/>
      <c r="B344" s="11"/>
      <c r="C344" s="11"/>
      <c r="D344" s="10"/>
    </row>
    <row r="345" spans="1:4" ht="12.75" x14ac:dyDescent="0.2">
      <c r="A345" s="11"/>
      <c r="B345" s="11"/>
      <c r="C345" s="11"/>
      <c r="D345" s="10"/>
    </row>
    <row r="346" spans="1:4" ht="12.75" x14ac:dyDescent="0.2">
      <c r="A346" s="11"/>
      <c r="B346" s="11"/>
      <c r="C346" s="11"/>
      <c r="D346" s="10"/>
    </row>
    <row r="347" spans="1:4" ht="12.75" x14ac:dyDescent="0.2">
      <c r="A347" s="11"/>
      <c r="B347" s="11"/>
      <c r="C347" s="11"/>
      <c r="D347" s="10"/>
    </row>
    <row r="348" spans="1:4" ht="12.75" x14ac:dyDescent="0.2">
      <c r="A348" s="11"/>
      <c r="B348" s="11"/>
      <c r="C348" s="11"/>
      <c r="D348" s="10"/>
    </row>
    <row r="349" spans="1:4" ht="12.75" x14ac:dyDescent="0.2">
      <c r="A349" s="11"/>
      <c r="B349" s="11"/>
      <c r="C349" s="11"/>
      <c r="D349" s="10"/>
    </row>
    <row r="350" spans="1:4" ht="12.75" x14ac:dyDescent="0.2">
      <c r="A350" s="11"/>
      <c r="B350" s="11"/>
      <c r="C350" s="11"/>
      <c r="D350" s="10"/>
    </row>
    <row r="351" spans="1:4" ht="12.75" x14ac:dyDescent="0.2">
      <c r="A351" s="11"/>
      <c r="B351" s="11"/>
      <c r="C351" s="11"/>
      <c r="D351" s="10"/>
    </row>
    <row r="352" spans="1:4" ht="12.75" x14ac:dyDescent="0.2">
      <c r="A352" s="11"/>
      <c r="B352" s="11"/>
      <c r="C352" s="11"/>
      <c r="D352" s="10"/>
    </row>
    <row r="353" spans="1:4" ht="12.75" x14ac:dyDescent="0.2">
      <c r="A353" s="11"/>
      <c r="B353" s="11"/>
      <c r="C353" s="11"/>
      <c r="D353" s="10"/>
    </row>
    <row r="354" spans="1:4" ht="12.75" x14ac:dyDescent="0.2">
      <c r="A354" s="11"/>
      <c r="B354" s="11"/>
      <c r="C354" s="11"/>
      <c r="D354" s="10"/>
    </row>
    <row r="355" spans="1:4" ht="12.75" x14ac:dyDescent="0.2">
      <c r="A355" s="11"/>
      <c r="B355" s="11"/>
      <c r="C355" s="11"/>
      <c r="D355" s="10"/>
    </row>
    <row r="356" spans="1:4" ht="12.75" x14ac:dyDescent="0.2">
      <c r="A356" s="11"/>
      <c r="B356" s="11"/>
      <c r="C356" s="11"/>
      <c r="D356" s="10"/>
    </row>
    <row r="357" spans="1:4" ht="12.75" x14ac:dyDescent="0.2">
      <c r="A357" s="11"/>
      <c r="B357" s="11"/>
      <c r="C357" s="11"/>
      <c r="D357" s="10"/>
    </row>
    <row r="358" spans="1:4" ht="12.75" x14ac:dyDescent="0.2">
      <c r="A358" s="11"/>
      <c r="B358" s="11"/>
      <c r="C358" s="11"/>
      <c r="D358" s="10"/>
    </row>
    <row r="359" spans="1:4" ht="12.75" x14ac:dyDescent="0.2">
      <c r="A359" s="11"/>
      <c r="B359" s="11"/>
      <c r="C359" s="11"/>
      <c r="D359" s="10"/>
    </row>
    <row r="360" spans="1:4" ht="12.75" x14ac:dyDescent="0.2">
      <c r="A360" s="11"/>
      <c r="B360" s="11"/>
      <c r="C360" s="11"/>
      <c r="D360" s="10"/>
    </row>
    <row r="361" spans="1:4" ht="12.75" x14ac:dyDescent="0.2">
      <c r="A361" s="11"/>
      <c r="B361" s="11"/>
      <c r="C361" s="11"/>
      <c r="D361" s="10"/>
    </row>
    <row r="362" spans="1:4" ht="12.75" x14ac:dyDescent="0.2">
      <c r="A362" s="11"/>
      <c r="B362" s="11"/>
      <c r="C362" s="11"/>
      <c r="D362" s="10"/>
    </row>
    <row r="363" spans="1:4" ht="12.75" x14ac:dyDescent="0.2">
      <c r="A363" s="11"/>
      <c r="B363" s="11"/>
      <c r="C363" s="11"/>
      <c r="D363" s="10"/>
    </row>
    <row r="364" spans="1:4" ht="12.75" x14ac:dyDescent="0.2">
      <c r="A364" s="11"/>
      <c r="B364" s="11"/>
      <c r="C364" s="11"/>
      <c r="D364" s="10"/>
    </row>
    <row r="365" spans="1:4" ht="12.75" x14ac:dyDescent="0.2">
      <c r="A365" s="11"/>
      <c r="B365" s="11"/>
      <c r="C365" s="11"/>
      <c r="D365" s="10"/>
    </row>
    <row r="366" spans="1:4" ht="12.75" x14ac:dyDescent="0.2">
      <c r="A366" s="11"/>
      <c r="B366" s="11"/>
      <c r="C366" s="11"/>
      <c r="D366" s="10"/>
    </row>
    <row r="367" spans="1:4" ht="12.75" x14ac:dyDescent="0.2">
      <c r="A367" s="11"/>
      <c r="B367" s="11"/>
      <c r="C367" s="11"/>
      <c r="D367" s="10"/>
    </row>
    <row r="368" spans="1:4" ht="12.75" x14ac:dyDescent="0.2">
      <c r="A368" s="11"/>
      <c r="B368" s="11"/>
      <c r="C368" s="11"/>
      <c r="D368" s="10"/>
    </row>
    <row r="369" spans="1:4" ht="12.75" x14ac:dyDescent="0.2">
      <c r="A369" s="11"/>
      <c r="B369" s="11"/>
      <c r="C369" s="11"/>
      <c r="D369" s="10"/>
    </row>
    <row r="370" spans="1:4" ht="12.75" x14ac:dyDescent="0.2">
      <c r="A370" s="11"/>
      <c r="B370" s="11"/>
      <c r="C370" s="11"/>
      <c r="D370" s="10"/>
    </row>
    <row r="371" spans="1:4" ht="12.75" x14ac:dyDescent="0.2">
      <c r="A371" s="11"/>
      <c r="B371" s="11"/>
      <c r="C371" s="11"/>
      <c r="D371" s="10"/>
    </row>
    <row r="372" spans="1:4" ht="12.75" x14ac:dyDescent="0.2">
      <c r="A372" s="11"/>
      <c r="B372" s="11"/>
      <c r="C372" s="11"/>
      <c r="D372" s="10"/>
    </row>
    <row r="373" spans="1:4" ht="12.75" x14ac:dyDescent="0.2">
      <c r="A373" s="11"/>
      <c r="B373" s="11"/>
      <c r="C373" s="11"/>
      <c r="D373" s="10"/>
    </row>
    <row r="374" spans="1:4" ht="12.75" x14ac:dyDescent="0.2">
      <c r="A374" s="11"/>
      <c r="B374" s="11"/>
      <c r="C374" s="11"/>
      <c r="D374" s="10"/>
    </row>
    <row r="375" spans="1:4" ht="12.75" x14ac:dyDescent="0.2">
      <c r="A375" s="11"/>
      <c r="B375" s="11"/>
      <c r="C375" s="11"/>
      <c r="D375" s="10"/>
    </row>
    <row r="376" spans="1:4" ht="12.75" x14ac:dyDescent="0.2">
      <c r="A376" s="11"/>
      <c r="B376" s="11"/>
      <c r="C376" s="11"/>
      <c r="D376" s="10"/>
    </row>
    <row r="377" spans="1:4" ht="12.75" x14ac:dyDescent="0.2">
      <c r="A377" s="11"/>
      <c r="B377" s="11"/>
      <c r="C377" s="11"/>
      <c r="D377" s="10"/>
    </row>
    <row r="378" spans="1:4" ht="12.75" x14ac:dyDescent="0.2">
      <c r="A378" s="11"/>
      <c r="B378" s="11"/>
      <c r="C378" s="11"/>
      <c r="D378" s="10"/>
    </row>
    <row r="379" spans="1:4" ht="12.75" x14ac:dyDescent="0.2">
      <c r="A379" s="11"/>
      <c r="B379" s="11"/>
      <c r="C379" s="11"/>
      <c r="D379" s="10"/>
    </row>
    <row r="380" spans="1:4" ht="12.75" x14ac:dyDescent="0.2">
      <c r="A380" s="11"/>
      <c r="B380" s="11"/>
      <c r="C380" s="11"/>
      <c r="D380" s="10"/>
    </row>
    <row r="381" spans="1:4" ht="12.75" x14ac:dyDescent="0.2">
      <c r="A381" s="11"/>
      <c r="B381" s="11"/>
      <c r="C381" s="11"/>
      <c r="D381" s="10"/>
    </row>
    <row r="382" spans="1:4" ht="12.75" x14ac:dyDescent="0.2">
      <c r="A382" s="11"/>
      <c r="B382" s="11"/>
      <c r="C382" s="11"/>
      <c r="D382" s="10"/>
    </row>
    <row r="383" spans="1:4" ht="12.75" x14ac:dyDescent="0.2">
      <c r="A383" s="11"/>
      <c r="B383" s="11"/>
      <c r="C383" s="11"/>
      <c r="D383" s="10"/>
    </row>
    <row r="384" spans="1:4" ht="12.75" x14ac:dyDescent="0.2">
      <c r="A384" s="11"/>
      <c r="B384" s="11"/>
      <c r="C384" s="11"/>
      <c r="D384" s="10"/>
    </row>
    <row r="385" spans="1:4" ht="12.75" x14ac:dyDescent="0.2">
      <c r="A385" s="11"/>
      <c r="B385" s="11"/>
      <c r="C385" s="11"/>
      <c r="D385" s="10"/>
    </row>
    <row r="386" spans="1:4" ht="12.75" x14ac:dyDescent="0.2">
      <c r="A386" s="11"/>
      <c r="B386" s="11"/>
      <c r="C386" s="11"/>
      <c r="D386" s="10"/>
    </row>
    <row r="387" spans="1:4" ht="12.75" x14ac:dyDescent="0.2">
      <c r="A387" s="11"/>
      <c r="B387" s="11"/>
      <c r="C387" s="11"/>
      <c r="D387" s="10"/>
    </row>
    <row r="388" spans="1:4" ht="12.75" x14ac:dyDescent="0.2">
      <c r="A388" s="11"/>
      <c r="B388" s="11"/>
      <c r="C388" s="11"/>
      <c r="D388" s="10"/>
    </row>
    <row r="389" spans="1:4" ht="12.75" x14ac:dyDescent="0.2">
      <c r="A389" s="11"/>
      <c r="B389" s="11"/>
      <c r="C389" s="11"/>
      <c r="D389" s="10"/>
    </row>
    <row r="390" spans="1:4" ht="12.75" x14ac:dyDescent="0.2">
      <c r="A390" s="11"/>
      <c r="B390" s="11"/>
      <c r="C390" s="11"/>
      <c r="D390" s="10"/>
    </row>
    <row r="391" spans="1:4" ht="12.75" x14ac:dyDescent="0.2">
      <c r="A391" s="11"/>
      <c r="B391" s="11"/>
      <c r="C391" s="11"/>
      <c r="D391" s="10"/>
    </row>
    <row r="392" spans="1:4" ht="12.75" x14ac:dyDescent="0.2">
      <c r="A392" s="11"/>
      <c r="B392" s="11"/>
      <c r="C392" s="11"/>
      <c r="D392" s="10"/>
    </row>
    <row r="393" spans="1:4" ht="12.75" x14ac:dyDescent="0.2">
      <c r="A393" s="11"/>
      <c r="B393" s="11"/>
      <c r="C393" s="11"/>
      <c r="D393" s="10"/>
    </row>
    <row r="394" spans="1:4" ht="12.75" x14ac:dyDescent="0.2">
      <c r="A394" s="11"/>
      <c r="B394" s="11"/>
      <c r="C394" s="11"/>
      <c r="D394" s="10"/>
    </row>
    <row r="395" spans="1:4" ht="12.75" x14ac:dyDescent="0.2">
      <c r="A395" s="11"/>
      <c r="B395" s="11"/>
      <c r="C395" s="11"/>
      <c r="D395" s="10"/>
    </row>
    <row r="396" spans="1:4" ht="12.75" x14ac:dyDescent="0.2">
      <c r="A396" s="11"/>
      <c r="B396" s="11"/>
      <c r="C396" s="11"/>
      <c r="D396" s="10"/>
    </row>
    <row r="397" spans="1:4" ht="12.75" x14ac:dyDescent="0.2">
      <c r="A397" s="11"/>
      <c r="B397" s="11"/>
      <c r="C397" s="11"/>
      <c r="D397" s="10"/>
    </row>
    <row r="398" spans="1:4" ht="12.75" x14ac:dyDescent="0.2">
      <c r="A398" s="11"/>
      <c r="B398" s="11"/>
      <c r="C398" s="11"/>
      <c r="D398" s="10"/>
    </row>
    <row r="399" spans="1:4" ht="12.75" x14ac:dyDescent="0.2">
      <c r="A399" s="11"/>
      <c r="B399" s="11"/>
      <c r="C399" s="11"/>
      <c r="D399" s="10"/>
    </row>
    <row r="400" spans="1:4" ht="12.75" x14ac:dyDescent="0.2">
      <c r="A400" s="11"/>
      <c r="B400" s="11"/>
      <c r="C400" s="11"/>
      <c r="D400" s="10"/>
    </row>
    <row r="401" spans="1:4" ht="12.75" x14ac:dyDescent="0.2">
      <c r="A401" s="11"/>
      <c r="B401" s="11"/>
      <c r="C401" s="11"/>
      <c r="D401" s="10"/>
    </row>
    <row r="402" spans="1:4" ht="12.75" x14ac:dyDescent="0.2">
      <c r="A402" s="11"/>
      <c r="B402" s="11"/>
      <c r="C402" s="11"/>
      <c r="D402" s="10"/>
    </row>
    <row r="403" spans="1:4" ht="12.75" x14ac:dyDescent="0.2">
      <c r="A403" s="11"/>
      <c r="B403" s="11"/>
      <c r="C403" s="11"/>
      <c r="D403" s="10"/>
    </row>
    <row r="404" spans="1:4" ht="12.75" x14ac:dyDescent="0.2">
      <c r="A404" s="11"/>
      <c r="B404" s="11"/>
      <c r="C404" s="11"/>
      <c r="D404" s="10"/>
    </row>
    <row r="405" spans="1:4" ht="12.75" x14ac:dyDescent="0.2">
      <c r="A405" s="11"/>
      <c r="B405" s="11"/>
      <c r="C405" s="11"/>
      <c r="D405" s="10"/>
    </row>
    <row r="406" spans="1:4" ht="12.75" x14ac:dyDescent="0.2">
      <c r="A406" s="11"/>
      <c r="B406" s="11"/>
      <c r="C406" s="11"/>
      <c r="D406" s="10"/>
    </row>
    <row r="407" spans="1:4" ht="12.75" x14ac:dyDescent="0.2">
      <c r="A407" s="11"/>
      <c r="B407" s="11"/>
      <c r="C407" s="11"/>
      <c r="D407" s="10"/>
    </row>
    <row r="408" spans="1:4" ht="12.75" x14ac:dyDescent="0.2">
      <c r="A408" s="11"/>
      <c r="B408" s="11"/>
      <c r="C408" s="11"/>
      <c r="D408" s="10"/>
    </row>
    <row r="409" spans="1:4" ht="12.75" x14ac:dyDescent="0.2">
      <c r="A409" s="11"/>
      <c r="B409" s="11"/>
      <c r="C409" s="11"/>
      <c r="D409" s="10"/>
    </row>
    <row r="410" spans="1:4" ht="12.75" x14ac:dyDescent="0.2">
      <c r="A410" s="11"/>
      <c r="B410" s="11"/>
      <c r="C410" s="11"/>
      <c r="D410" s="10"/>
    </row>
    <row r="411" spans="1:4" ht="12.75" x14ac:dyDescent="0.2">
      <c r="A411" s="11"/>
      <c r="B411" s="11"/>
      <c r="C411" s="11"/>
      <c r="D411" s="10"/>
    </row>
    <row r="412" spans="1:4" ht="12.75" x14ac:dyDescent="0.2">
      <c r="A412" s="11"/>
      <c r="B412" s="11"/>
      <c r="C412" s="11"/>
      <c r="D412" s="10"/>
    </row>
    <row r="413" spans="1:4" ht="12.75" x14ac:dyDescent="0.2">
      <c r="A413" s="11"/>
      <c r="B413" s="11"/>
      <c r="C413" s="11"/>
      <c r="D413" s="10"/>
    </row>
    <row r="414" spans="1:4" ht="12.75" x14ac:dyDescent="0.2">
      <c r="A414" s="11"/>
      <c r="B414" s="11"/>
      <c r="C414" s="11"/>
      <c r="D414" s="10"/>
    </row>
    <row r="415" spans="1:4" ht="12.75" x14ac:dyDescent="0.2">
      <c r="A415" s="11"/>
      <c r="B415" s="11"/>
      <c r="C415" s="11"/>
      <c r="D415" s="10"/>
    </row>
    <row r="416" spans="1:4" ht="12.75" x14ac:dyDescent="0.2">
      <c r="A416" s="11"/>
      <c r="B416" s="11"/>
      <c r="C416" s="11"/>
      <c r="D416" s="10"/>
    </row>
    <row r="417" spans="1:4" ht="12.75" x14ac:dyDescent="0.2">
      <c r="A417" s="11"/>
      <c r="B417" s="11"/>
      <c r="C417" s="11"/>
      <c r="D417" s="10"/>
    </row>
    <row r="418" spans="1:4" ht="12.75" x14ac:dyDescent="0.2">
      <c r="A418" s="11"/>
      <c r="B418" s="11"/>
      <c r="C418" s="11"/>
      <c r="D418" s="10"/>
    </row>
    <row r="419" spans="1:4" ht="12.75" x14ac:dyDescent="0.2">
      <c r="A419" s="11"/>
      <c r="B419" s="11"/>
      <c r="C419" s="11"/>
      <c r="D419" s="10"/>
    </row>
    <row r="420" spans="1:4" ht="12.75" x14ac:dyDescent="0.2">
      <c r="A420" s="11"/>
      <c r="B420" s="11"/>
      <c r="C420" s="11"/>
      <c r="D420" s="10"/>
    </row>
    <row r="421" spans="1:4" ht="12.75" x14ac:dyDescent="0.2">
      <c r="A421" s="11"/>
      <c r="B421" s="11"/>
      <c r="C421" s="11"/>
      <c r="D421" s="10"/>
    </row>
    <row r="422" spans="1:4" ht="12.75" x14ac:dyDescent="0.2">
      <c r="A422" s="11"/>
      <c r="B422" s="11"/>
      <c r="C422" s="11"/>
      <c r="D422" s="10"/>
    </row>
    <row r="423" spans="1:4" ht="12.75" x14ac:dyDescent="0.2">
      <c r="A423" s="11"/>
      <c r="B423" s="11"/>
      <c r="C423" s="11"/>
      <c r="D423" s="10"/>
    </row>
    <row r="424" spans="1:4" ht="12.75" x14ac:dyDescent="0.2">
      <c r="A424" s="11"/>
      <c r="B424" s="11"/>
      <c r="C424" s="11"/>
      <c r="D424" s="10"/>
    </row>
    <row r="425" spans="1:4" ht="12.75" x14ac:dyDescent="0.2">
      <c r="A425" s="11"/>
      <c r="B425" s="11"/>
      <c r="C425" s="11"/>
      <c r="D425" s="10"/>
    </row>
    <row r="426" spans="1:4" ht="12.75" x14ac:dyDescent="0.2">
      <c r="A426" s="11"/>
      <c r="B426" s="11"/>
      <c r="C426" s="11"/>
      <c r="D426" s="10"/>
    </row>
    <row r="427" spans="1:4" ht="12.75" x14ac:dyDescent="0.2">
      <c r="A427" s="11"/>
      <c r="B427" s="11"/>
      <c r="C427" s="11"/>
      <c r="D427" s="10"/>
    </row>
    <row r="428" spans="1:4" ht="12.75" x14ac:dyDescent="0.2">
      <c r="A428" s="11"/>
      <c r="B428" s="11"/>
      <c r="C428" s="11"/>
      <c r="D428" s="10"/>
    </row>
    <row r="429" spans="1:4" ht="12.75" x14ac:dyDescent="0.2">
      <c r="A429" s="11"/>
      <c r="B429" s="11"/>
      <c r="C429" s="11"/>
      <c r="D429" s="10"/>
    </row>
    <row r="430" spans="1:4" ht="12.75" x14ac:dyDescent="0.2">
      <c r="A430" s="11"/>
      <c r="B430" s="11"/>
      <c r="C430" s="11"/>
      <c r="D430" s="10"/>
    </row>
    <row r="431" spans="1:4" ht="12.75" x14ac:dyDescent="0.2">
      <c r="A431" s="11"/>
      <c r="B431" s="11"/>
      <c r="C431" s="11"/>
      <c r="D431" s="10"/>
    </row>
    <row r="432" spans="1:4" ht="12.75" x14ac:dyDescent="0.2">
      <c r="A432" s="11"/>
      <c r="B432" s="11"/>
      <c r="C432" s="11"/>
      <c r="D432" s="10"/>
    </row>
    <row r="433" spans="1:4" ht="12.75" x14ac:dyDescent="0.2">
      <c r="A433" s="11"/>
      <c r="B433" s="11"/>
      <c r="C433" s="11"/>
      <c r="D433" s="10"/>
    </row>
    <row r="434" spans="1:4" ht="12.75" x14ac:dyDescent="0.2">
      <c r="A434" s="11"/>
      <c r="B434" s="11"/>
      <c r="C434" s="11"/>
      <c r="D434" s="10"/>
    </row>
    <row r="435" spans="1:4" ht="12.75" x14ac:dyDescent="0.2">
      <c r="A435" s="11"/>
      <c r="B435" s="11"/>
      <c r="C435" s="11"/>
      <c r="D435" s="10"/>
    </row>
    <row r="436" spans="1:4" ht="12.75" x14ac:dyDescent="0.2">
      <c r="A436" s="11"/>
      <c r="B436" s="11"/>
      <c r="C436" s="11"/>
      <c r="D436" s="10"/>
    </row>
    <row r="437" spans="1:4" ht="12.75" x14ac:dyDescent="0.2">
      <c r="A437" s="11"/>
      <c r="B437" s="11"/>
      <c r="C437" s="11"/>
      <c r="D437" s="10"/>
    </row>
    <row r="438" spans="1:4" ht="12.75" x14ac:dyDescent="0.2">
      <c r="A438" s="11"/>
      <c r="B438" s="11"/>
      <c r="C438" s="11"/>
      <c r="D438" s="10"/>
    </row>
    <row r="439" spans="1:4" ht="12.75" x14ac:dyDescent="0.2">
      <c r="A439" s="11"/>
      <c r="B439" s="11"/>
      <c r="C439" s="11"/>
      <c r="D439" s="10"/>
    </row>
    <row r="440" spans="1:4" ht="12.75" x14ac:dyDescent="0.2">
      <c r="A440" s="11"/>
      <c r="B440" s="11"/>
      <c r="C440" s="11"/>
      <c r="D440" s="10"/>
    </row>
    <row r="441" spans="1:4" ht="12.75" x14ac:dyDescent="0.2">
      <c r="A441" s="11"/>
      <c r="B441" s="11"/>
      <c r="C441" s="11"/>
      <c r="D441" s="10"/>
    </row>
    <row r="442" spans="1:4" ht="12.75" x14ac:dyDescent="0.2">
      <c r="A442" s="11"/>
      <c r="B442" s="11"/>
      <c r="C442" s="11"/>
      <c r="D442" s="10"/>
    </row>
    <row r="443" spans="1:4" ht="12.75" x14ac:dyDescent="0.2">
      <c r="A443" s="11"/>
      <c r="B443" s="11"/>
      <c r="C443" s="11"/>
      <c r="D443" s="10"/>
    </row>
    <row r="444" spans="1:4" ht="12.75" x14ac:dyDescent="0.2">
      <c r="A444" s="11"/>
      <c r="B444" s="11"/>
      <c r="C444" s="11"/>
      <c r="D444" s="10"/>
    </row>
    <row r="445" spans="1:4" ht="12.75" x14ac:dyDescent="0.2">
      <c r="A445" s="11"/>
      <c r="B445" s="11"/>
      <c r="C445" s="11"/>
      <c r="D445" s="10"/>
    </row>
    <row r="446" spans="1:4" ht="12.75" x14ac:dyDescent="0.2">
      <c r="A446" s="11"/>
      <c r="B446" s="11"/>
      <c r="C446" s="11"/>
      <c r="D446" s="10"/>
    </row>
    <row r="447" spans="1:4" ht="12.75" x14ac:dyDescent="0.2">
      <c r="A447" s="11"/>
      <c r="B447" s="11"/>
      <c r="C447" s="11"/>
      <c r="D447" s="10"/>
    </row>
    <row r="448" spans="1:4" ht="12.75" x14ac:dyDescent="0.2">
      <c r="A448" s="11"/>
      <c r="B448" s="11"/>
      <c r="C448" s="11"/>
      <c r="D448" s="10"/>
    </row>
    <row r="449" spans="1:4" ht="12.75" x14ac:dyDescent="0.2">
      <c r="A449" s="11"/>
      <c r="B449" s="11"/>
      <c r="C449" s="11"/>
      <c r="D449" s="10"/>
    </row>
    <row r="450" spans="1:4" ht="12.75" x14ac:dyDescent="0.2">
      <c r="A450" s="11"/>
      <c r="B450" s="11"/>
      <c r="C450" s="11"/>
      <c r="D450" s="10"/>
    </row>
    <row r="451" spans="1:4" ht="12.75" x14ac:dyDescent="0.2">
      <c r="A451" s="11"/>
      <c r="B451" s="11"/>
      <c r="C451" s="11"/>
      <c r="D451" s="10"/>
    </row>
    <row r="452" spans="1:4" ht="12.75" x14ac:dyDescent="0.2">
      <c r="A452" s="11"/>
      <c r="B452" s="11"/>
      <c r="C452" s="11"/>
      <c r="D452" s="10"/>
    </row>
    <row r="453" spans="1:4" ht="12.75" x14ac:dyDescent="0.2">
      <c r="A453" s="11"/>
      <c r="B453" s="11"/>
      <c r="C453" s="11"/>
      <c r="D453" s="10"/>
    </row>
    <row r="454" spans="1:4" ht="12.75" x14ac:dyDescent="0.2">
      <c r="A454" s="11"/>
      <c r="B454" s="11"/>
      <c r="C454" s="11"/>
      <c r="D454" s="10"/>
    </row>
    <row r="455" spans="1:4" ht="12.75" x14ac:dyDescent="0.2">
      <c r="A455" s="11"/>
      <c r="B455" s="11"/>
      <c r="C455" s="11"/>
      <c r="D455" s="10"/>
    </row>
    <row r="456" spans="1:4" ht="12.75" x14ac:dyDescent="0.2">
      <c r="A456" s="11"/>
      <c r="B456" s="11"/>
      <c r="C456" s="11"/>
      <c r="D456" s="10"/>
    </row>
    <row r="457" spans="1:4" ht="12.75" x14ac:dyDescent="0.2">
      <c r="A457" s="11"/>
      <c r="B457" s="11"/>
      <c r="C457" s="11"/>
      <c r="D457" s="10"/>
    </row>
    <row r="458" spans="1:4" ht="12.75" x14ac:dyDescent="0.2">
      <c r="A458" s="11"/>
      <c r="B458" s="11"/>
      <c r="C458" s="11"/>
      <c r="D458" s="10"/>
    </row>
    <row r="459" spans="1:4" ht="12.75" x14ac:dyDescent="0.2">
      <c r="A459" s="11"/>
      <c r="B459" s="11"/>
      <c r="C459" s="11"/>
      <c r="D459" s="10"/>
    </row>
    <row r="460" spans="1:4" ht="12.75" x14ac:dyDescent="0.2">
      <c r="A460" s="11"/>
      <c r="B460" s="11"/>
      <c r="C460" s="11"/>
      <c r="D460" s="10"/>
    </row>
    <row r="461" spans="1:4" ht="12.75" x14ac:dyDescent="0.2">
      <c r="A461" s="11"/>
      <c r="B461" s="11"/>
      <c r="C461" s="11"/>
      <c r="D461" s="10"/>
    </row>
    <row r="462" spans="1:4" ht="12.75" x14ac:dyDescent="0.2">
      <c r="A462" s="11"/>
      <c r="B462" s="11"/>
      <c r="C462" s="11"/>
      <c r="D462" s="10"/>
    </row>
    <row r="463" spans="1:4" ht="12.75" x14ac:dyDescent="0.2">
      <c r="A463" s="11"/>
      <c r="B463" s="11"/>
      <c r="C463" s="11"/>
      <c r="D463" s="10"/>
    </row>
    <row r="464" spans="1:4" ht="12.75" x14ac:dyDescent="0.2">
      <c r="A464" s="11"/>
      <c r="B464" s="11"/>
      <c r="C464" s="11"/>
      <c r="D464" s="10"/>
    </row>
    <row r="465" spans="1:4" ht="12.75" x14ac:dyDescent="0.2">
      <c r="A465" s="11"/>
      <c r="B465" s="11"/>
      <c r="C465" s="11"/>
      <c r="D465" s="10"/>
    </row>
    <row r="466" spans="1:4" ht="12.75" x14ac:dyDescent="0.2">
      <c r="A466" s="11"/>
      <c r="B466" s="11"/>
      <c r="C466" s="11"/>
      <c r="D466" s="10"/>
    </row>
    <row r="467" spans="1:4" ht="12.75" x14ac:dyDescent="0.2">
      <c r="A467" s="11"/>
      <c r="B467" s="11"/>
      <c r="C467" s="11"/>
      <c r="D467" s="10"/>
    </row>
    <row r="468" spans="1:4" ht="12.75" x14ac:dyDescent="0.2">
      <c r="A468" s="11"/>
      <c r="B468" s="11"/>
      <c r="C468" s="11"/>
      <c r="D468" s="10"/>
    </row>
    <row r="469" spans="1:4" ht="12.75" x14ac:dyDescent="0.2">
      <c r="A469" s="11"/>
      <c r="B469" s="11"/>
      <c r="C469" s="11"/>
      <c r="D469" s="10"/>
    </row>
    <row r="470" spans="1:4" ht="12.75" x14ac:dyDescent="0.2">
      <c r="A470" s="11"/>
      <c r="B470" s="11"/>
      <c r="C470" s="11"/>
      <c r="D470" s="10"/>
    </row>
    <row r="471" spans="1:4" ht="12.75" x14ac:dyDescent="0.2">
      <c r="A471" s="11"/>
      <c r="B471" s="11"/>
      <c r="C471" s="11"/>
      <c r="D471" s="10"/>
    </row>
    <row r="472" spans="1:4" ht="12.75" x14ac:dyDescent="0.2">
      <c r="A472" s="11"/>
      <c r="B472" s="11"/>
      <c r="C472" s="11"/>
      <c r="D472" s="10"/>
    </row>
    <row r="473" spans="1:4" ht="12.75" x14ac:dyDescent="0.2">
      <c r="A473" s="11"/>
      <c r="B473" s="11"/>
      <c r="C473" s="11"/>
      <c r="D473" s="10"/>
    </row>
    <row r="474" spans="1:4" ht="12.75" x14ac:dyDescent="0.2">
      <c r="A474" s="11"/>
      <c r="B474" s="11"/>
      <c r="C474" s="11"/>
      <c r="D474" s="10"/>
    </row>
    <row r="475" spans="1:4" ht="12.75" x14ac:dyDescent="0.2">
      <c r="A475" s="11"/>
      <c r="B475" s="11"/>
      <c r="C475" s="11"/>
      <c r="D475" s="10"/>
    </row>
    <row r="476" spans="1:4" ht="12.75" x14ac:dyDescent="0.2">
      <c r="A476" s="11"/>
      <c r="B476" s="11"/>
      <c r="C476" s="11"/>
      <c r="D476" s="10"/>
    </row>
    <row r="477" spans="1:4" ht="12.75" x14ac:dyDescent="0.2">
      <c r="A477" s="11"/>
      <c r="B477" s="11"/>
      <c r="C477" s="11"/>
      <c r="D477" s="10"/>
    </row>
    <row r="478" spans="1:4" ht="12.75" x14ac:dyDescent="0.2">
      <c r="A478" s="11"/>
      <c r="B478" s="11"/>
      <c r="C478" s="11"/>
      <c r="D478" s="10"/>
    </row>
    <row r="479" spans="1:4" ht="12.75" x14ac:dyDescent="0.2">
      <c r="A479" s="11"/>
      <c r="B479" s="11"/>
      <c r="C479" s="11"/>
      <c r="D479" s="10"/>
    </row>
    <row r="480" spans="1:4" ht="12.75" x14ac:dyDescent="0.2">
      <c r="A480" s="11"/>
      <c r="B480" s="11"/>
      <c r="C480" s="11"/>
      <c r="D480" s="10"/>
    </row>
    <row r="481" spans="1:4" ht="12.75" x14ac:dyDescent="0.2">
      <c r="A481" s="11"/>
      <c r="B481" s="11"/>
      <c r="C481" s="11"/>
      <c r="D481" s="10"/>
    </row>
    <row r="482" spans="1:4" ht="12.75" x14ac:dyDescent="0.2">
      <c r="A482" s="11"/>
      <c r="B482" s="11"/>
      <c r="C482" s="11"/>
      <c r="D482" s="10"/>
    </row>
    <row r="483" spans="1:4" ht="12.75" x14ac:dyDescent="0.2">
      <c r="A483" s="11"/>
      <c r="B483" s="11"/>
      <c r="C483" s="11"/>
      <c r="D483" s="10"/>
    </row>
    <row r="484" spans="1:4" ht="12.75" x14ac:dyDescent="0.2">
      <c r="A484" s="11"/>
      <c r="B484" s="11"/>
      <c r="C484" s="11"/>
      <c r="D484" s="10"/>
    </row>
    <row r="485" spans="1:4" ht="12.75" x14ac:dyDescent="0.2">
      <c r="A485" s="11"/>
      <c r="B485" s="11"/>
      <c r="C485" s="11"/>
      <c r="D485" s="10"/>
    </row>
    <row r="486" spans="1:4" ht="12.75" x14ac:dyDescent="0.2">
      <c r="A486" s="11"/>
      <c r="B486" s="11"/>
      <c r="C486" s="11"/>
      <c r="D486" s="10"/>
    </row>
    <row r="487" spans="1:4" ht="12.75" x14ac:dyDescent="0.2">
      <c r="A487" s="11"/>
      <c r="B487" s="11"/>
      <c r="C487" s="11"/>
      <c r="D487" s="10"/>
    </row>
    <row r="488" spans="1:4" ht="12.75" x14ac:dyDescent="0.2">
      <c r="A488" s="11"/>
      <c r="B488" s="11"/>
      <c r="C488" s="11"/>
      <c r="D488" s="10"/>
    </row>
    <row r="489" spans="1:4" ht="12.75" x14ac:dyDescent="0.2">
      <c r="A489" s="11"/>
      <c r="B489" s="11"/>
      <c r="C489" s="11"/>
      <c r="D489" s="10"/>
    </row>
    <row r="490" spans="1:4" ht="12.75" x14ac:dyDescent="0.2">
      <c r="A490" s="11"/>
      <c r="B490" s="11"/>
      <c r="C490" s="11"/>
      <c r="D490" s="10"/>
    </row>
    <row r="491" spans="1:4" ht="12.75" x14ac:dyDescent="0.2">
      <c r="A491" s="11"/>
      <c r="B491" s="11"/>
      <c r="C491" s="11"/>
      <c r="D491" s="10"/>
    </row>
    <row r="492" spans="1:4" ht="12.75" x14ac:dyDescent="0.2">
      <c r="A492" s="11"/>
      <c r="B492" s="11"/>
      <c r="C492" s="11"/>
      <c r="D492" s="10"/>
    </row>
    <row r="493" spans="1:4" ht="12.75" x14ac:dyDescent="0.2">
      <c r="A493" s="11"/>
      <c r="B493" s="11"/>
      <c r="C493" s="11"/>
      <c r="D493" s="10"/>
    </row>
    <row r="494" spans="1:4" ht="12.75" x14ac:dyDescent="0.2">
      <c r="A494" s="11"/>
      <c r="B494" s="11"/>
      <c r="C494" s="11"/>
      <c r="D494" s="10"/>
    </row>
    <row r="495" spans="1:4" ht="12.75" x14ac:dyDescent="0.2">
      <c r="A495" s="11"/>
      <c r="B495" s="11"/>
      <c r="C495" s="11"/>
      <c r="D495" s="10"/>
    </row>
    <row r="496" spans="1:4" ht="12.75" x14ac:dyDescent="0.2">
      <c r="A496" s="11"/>
      <c r="B496" s="11"/>
      <c r="C496" s="11"/>
      <c r="D496" s="10"/>
    </row>
    <row r="497" spans="1:4" ht="12.75" x14ac:dyDescent="0.2">
      <c r="A497" s="11"/>
      <c r="B497" s="11"/>
      <c r="C497" s="11"/>
      <c r="D497" s="10"/>
    </row>
    <row r="498" spans="1:4" ht="12.75" x14ac:dyDescent="0.2">
      <c r="A498" s="11"/>
      <c r="B498" s="11"/>
      <c r="C498" s="11"/>
      <c r="D498" s="10"/>
    </row>
    <row r="499" spans="1:4" ht="12.75" x14ac:dyDescent="0.2">
      <c r="A499" s="11"/>
      <c r="B499" s="11"/>
      <c r="C499" s="11"/>
      <c r="D499" s="10"/>
    </row>
    <row r="500" spans="1:4" ht="12.75" x14ac:dyDescent="0.2">
      <c r="A500" s="11"/>
      <c r="B500" s="11"/>
      <c r="C500" s="11"/>
      <c r="D500" s="10"/>
    </row>
    <row r="501" spans="1:4" ht="12.75" x14ac:dyDescent="0.2">
      <c r="A501" s="11"/>
      <c r="B501" s="11"/>
      <c r="C501" s="11"/>
      <c r="D501" s="10"/>
    </row>
    <row r="502" spans="1:4" ht="12.75" x14ac:dyDescent="0.2">
      <c r="A502" s="11"/>
      <c r="B502" s="11"/>
      <c r="C502" s="11"/>
      <c r="D502" s="10"/>
    </row>
    <row r="503" spans="1:4" ht="12.75" x14ac:dyDescent="0.2">
      <c r="A503" s="11"/>
      <c r="B503" s="11"/>
      <c r="C503" s="11"/>
      <c r="D503" s="10"/>
    </row>
    <row r="504" spans="1:4" ht="12.75" x14ac:dyDescent="0.2">
      <c r="A504" s="11"/>
      <c r="B504" s="11"/>
      <c r="C504" s="11"/>
      <c r="D504" s="10"/>
    </row>
    <row r="505" spans="1:4" ht="12.75" x14ac:dyDescent="0.2">
      <c r="A505" s="11"/>
      <c r="B505" s="11"/>
      <c r="C505" s="11"/>
      <c r="D505" s="10"/>
    </row>
    <row r="506" spans="1:4" ht="12.75" x14ac:dyDescent="0.2">
      <c r="A506" s="11"/>
      <c r="B506" s="11"/>
      <c r="C506" s="11"/>
      <c r="D506" s="10"/>
    </row>
    <row r="507" spans="1:4" ht="12.75" x14ac:dyDescent="0.2">
      <c r="A507" s="11"/>
      <c r="B507" s="11"/>
      <c r="C507" s="11"/>
      <c r="D507" s="10"/>
    </row>
    <row r="508" spans="1:4" ht="12.75" x14ac:dyDescent="0.2">
      <c r="A508" s="11"/>
      <c r="B508" s="11"/>
      <c r="C508" s="11"/>
      <c r="D508" s="10"/>
    </row>
    <row r="509" spans="1:4" ht="12.75" x14ac:dyDescent="0.2">
      <c r="A509" s="11"/>
      <c r="B509" s="11"/>
      <c r="C509" s="11"/>
      <c r="D509" s="10"/>
    </row>
    <row r="510" spans="1:4" ht="12.75" x14ac:dyDescent="0.2">
      <c r="A510" s="11"/>
      <c r="B510" s="11"/>
      <c r="C510" s="11"/>
      <c r="D510" s="10"/>
    </row>
    <row r="511" spans="1:4" ht="12.75" x14ac:dyDescent="0.2">
      <c r="A511" s="11"/>
      <c r="B511" s="11"/>
      <c r="C511" s="11"/>
      <c r="D511" s="10"/>
    </row>
    <row r="512" spans="1:4" ht="12.75" x14ac:dyDescent="0.2">
      <c r="A512" s="11"/>
      <c r="B512" s="11"/>
      <c r="C512" s="11"/>
      <c r="D512" s="10"/>
    </row>
    <row r="513" spans="1:4" ht="12.75" x14ac:dyDescent="0.2">
      <c r="A513" s="11"/>
      <c r="B513" s="11"/>
      <c r="C513" s="11"/>
      <c r="D513" s="10"/>
    </row>
    <row r="514" spans="1:4" ht="12.75" x14ac:dyDescent="0.2">
      <c r="A514" s="11"/>
      <c r="B514" s="11"/>
      <c r="C514" s="11"/>
      <c r="D514" s="10"/>
    </row>
    <row r="515" spans="1:4" ht="12.75" x14ac:dyDescent="0.2">
      <c r="A515" s="11"/>
      <c r="B515" s="11"/>
      <c r="C515" s="11"/>
      <c r="D515" s="10"/>
    </row>
    <row r="516" spans="1:4" ht="12.75" x14ac:dyDescent="0.2">
      <c r="A516" s="11"/>
      <c r="B516" s="11"/>
      <c r="C516" s="11"/>
      <c r="D516" s="10"/>
    </row>
    <row r="517" spans="1:4" ht="12.75" x14ac:dyDescent="0.2">
      <c r="A517" s="11"/>
      <c r="B517" s="11"/>
      <c r="C517" s="11"/>
      <c r="D517" s="10"/>
    </row>
    <row r="518" spans="1:4" ht="12.75" x14ac:dyDescent="0.2">
      <c r="A518" s="11"/>
      <c r="B518" s="11"/>
      <c r="C518" s="11"/>
      <c r="D518" s="10"/>
    </row>
    <row r="519" spans="1:4" ht="12.75" x14ac:dyDescent="0.2">
      <c r="A519" s="11"/>
      <c r="B519" s="11"/>
      <c r="C519" s="11"/>
      <c r="D519" s="10"/>
    </row>
    <row r="520" spans="1:4" ht="12.75" x14ac:dyDescent="0.2">
      <c r="A520" s="11"/>
      <c r="B520" s="11"/>
      <c r="C520" s="11"/>
      <c r="D520" s="10"/>
    </row>
    <row r="521" spans="1:4" ht="12.75" x14ac:dyDescent="0.2">
      <c r="A521" s="11"/>
      <c r="B521" s="11"/>
      <c r="C521" s="11"/>
      <c r="D521" s="10"/>
    </row>
    <row r="522" spans="1:4" ht="12.75" x14ac:dyDescent="0.2">
      <c r="A522" s="11"/>
      <c r="B522" s="11"/>
      <c r="C522" s="11"/>
      <c r="D522" s="10"/>
    </row>
    <row r="523" spans="1:4" ht="12.75" x14ac:dyDescent="0.2">
      <c r="A523" s="11"/>
      <c r="B523" s="11"/>
      <c r="C523" s="11"/>
      <c r="D523" s="10"/>
    </row>
    <row r="524" spans="1:4" ht="12.75" x14ac:dyDescent="0.2">
      <c r="A524" s="11"/>
      <c r="B524" s="11"/>
      <c r="C524" s="11"/>
      <c r="D524" s="10"/>
    </row>
    <row r="525" spans="1:4" ht="12.75" x14ac:dyDescent="0.2">
      <c r="A525" s="11"/>
      <c r="B525" s="11"/>
      <c r="C525" s="11"/>
      <c r="D525" s="10"/>
    </row>
    <row r="526" spans="1:4" ht="12.75" x14ac:dyDescent="0.2">
      <c r="A526" s="11"/>
      <c r="B526" s="11"/>
      <c r="C526" s="11"/>
      <c r="D526" s="10"/>
    </row>
    <row r="527" spans="1:4" ht="12.75" x14ac:dyDescent="0.2">
      <c r="A527" s="11"/>
      <c r="B527" s="11"/>
      <c r="C527" s="11"/>
      <c r="D527" s="10"/>
    </row>
    <row r="528" spans="1:4" ht="12.75" x14ac:dyDescent="0.2">
      <c r="A528" s="11"/>
      <c r="B528" s="11"/>
      <c r="C528" s="11"/>
      <c r="D528" s="10"/>
    </row>
    <row r="529" spans="1:4" ht="12.75" x14ac:dyDescent="0.2">
      <c r="A529" s="11"/>
      <c r="B529" s="11"/>
      <c r="C529" s="11"/>
      <c r="D529" s="10"/>
    </row>
    <row r="530" spans="1:4" ht="12.75" x14ac:dyDescent="0.2">
      <c r="A530" s="11"/>
      <c r="B530" s="11"/>
      <c r="C530" s="11"/>
      <c r="D530" s="10"/>
    </row>
    <row r="531" spans="1:4" ht="12.75" x14ac:dyDescent="0.2">
      <c r="A531" s="11"/>
      <c r="B531" s="11"/>
      <c r="C531" s="11"/>
      <c r="D531" s="10"/>
    </row>
    <row r="532" spans="1:4" ht="12.75" x14ac:dyDescent="0.2">
      <c r="A532" s="11"/>
      <c r="B532" s="11"/>
      <c r="C532" s="11"/>
      <c r="D532" s="10"/>
    </row>
    <row r="533" spans="1:4" ht="12.75" x14ac:dyDescent="0.2">
      <c r="A533" s="11"/>
      <c r="B533" s="11"/>
      <c r="C533" s="11"/>
      <c r="D533" s="10"/>
    </row>
    <row r="534" spans="1:4" ht="12.75" x14ac:dyDescent="0.2">
      <c r="A534" s="11"/>
      <c r="B534" s="11"/>
      <c r="C534" s="11"/>
      <c r="D534" s="10"/>
    </row>
    <row r="535" spans="1:4" ht="12.75" x14ac:dyDescent="0.2">
      <c r="A535" s="11"/>
      <c r="B535" s="11"/>
      <c r="C535" s="11"/>
      <c r="D535" s="10"/>
    </row>
    <row r="536" spans="1:4" ht="12.75" x14ac:dyDescent="0.2">
      <c r="A536" s="11"/>
      <c r="B536" s="11"/>
      <c r="C536" s="11"/>
      <c r="D536" s="10"/>
    </row>
    <row r="537" spans="1:4" ht="12.75" x14ac:dyDescent="0.2">
      <c r="A537" s="11"/>
      <c r="B537" s="11"/>
      <c r="C537" s="11"/>
      <c r="D537" s="10"/>
    </row>
    <row r="538" spans="1:4" ht="12.75" x14ac:dyDescent="0.2">
      <c r="A538" s="11"/>
      <c r="B538" s="11"/>
      <c r="C538" s="11"/>
      <c r="D538" s="10"/>
    </row>
    <row r="539" spans="1:4" ht="12.75" x14ac:dyDescent="0.2">
      <c r="A539" s="11"/>
      <c r="B539" s="11"/>
      <c r="C539" s="11"/>
      <c r="D539" s="10"/>
    </row>
    <row r="540" spans="1:4" ht="12.75" x14ac:dyDescent="0.2">
      <c r="A540" s="11"/>
      <c r="B540" s="11"/>
      <c r="C540" s="11"/>
      <c r="D540" s="10"/>
    </row>
    <row r="541" spans="1:4" ht="12.75" x14ac:dyDescent="0.2">
      <c r="A541" s="11"/>
      <c r="B541" s="11"/>
      <c r="C541" s="11"/>
      <c r="D541" s="10"/>
    </row>
    <row r="542" spans="1:4" ht="12.75" x14ac:dyDescent="0.2">
      <c r="A542" s="11"/>
      <c r="B542" s="11"/>
      <c r="C542" s="11"/>
      <c r="D542" s="10"/>
    </row>
    <row r="543" spans="1:4" ht="12.75" x14ac:dyDescent="0.2">
      <c r="A543" s="11"/>
      <c r="B543" s="11"/>
      <c r="C543" s="11"/>
      <c r="D543" s="10"/>
    </row>
    <row r="544" spans="1:4" ht="12.75" x14ac:dyDescent="0.2">
      <c r="A544" s="11"/>
      <c r="B544" s="11"/>
      <c r="C544" s="11"/>
      <c r="D544" s="10"/>
    </row>
    <row r="545" spans="1:4" ht="12.75" x14ac:dyDescent="0.2">
      <c r="A545" s="11"/>
      <c r="B545" s="11"/>
      <c r="C545" s="11"/>
      <c r="D545" s="10"/>
    </row>
    <row r="546" spans="1:4" ht="12.75" x14ac:dyDescent="0.2">
      <c r="A546" s="11"/>
      <c r="B546" s="11"/>
      <c r="C546" s="11"/>
      <c r="D546" s="10"/>
    </row>
    <row r="547" spans="1:4" ht="12.75" x14ac:dyDescent="0.2">
      <c r="A547" s="11"/>
      <c r="B547" s="11"/>
      <c r="C547" s="11"/>
      <c r="D547" s="10"/>
    </row>
    <row r="548" spans="1:4" ht="12.75" x14ac:dyDescent="0.2">
      <c r="A548" s="11"/>
      <c r="B548" s="11"/>
      <c r="C548" s="11"/>
      <c r="D548" s="10"/>
    </row>
    <row r="549" spans="1:4" ht="12.75" x14ac:dyDescent="0.2">
      <c r="A549" s="11"/>
      <c r="B549" s="11"/>
      <c r="C549" s="11"/>
      <c r="D549" s="10"/>
    </row>
    <row r="550" spans="1:4" ht="12.75" x14ac:dyDescent="0.2">
      <c r="A550" s="11"/>
      <c r="B550" s="11"/>
      <c r="C550" s="11"/>
      <c r="D550" s="10"/>
    </row>
    <row r="551" spans="1:4" ht="12.75" x14ac:dyDescent="0.2">
      <c r="A551" s="11"/>
      <c r="B551" s="11"/>
      <c r="C551" s="11"/>
      <c r="D551" s="10"/>
    </row>
    <row r="552" spans="1:4" ht="12.75" x14ac:dyDescent="0.2">
      <c r="A552" s="11"/>
      <c r="B552" s="11"/>
      <c r="C552" s="11"/>
      <c r="D552" s="10"/>
    </row>
    <row r="553" spans="1:4" ht="12.75" x14ac:dyDescent="0.2">
      <c r="A553" s="11"/>
      <c r="B553" s="11"/>
      <c r="C553" s="11"/>
      <c r="D553" s="10"/>
    </row>
    <row r="554" spans="1:4" ht="12.75" x14ac:dyDescent="0.2">
      <c r="A554" s="11"/>
      <c r="B554" s="11"/>
      <c r="C554" s="11"/>
      <c r="D554" s="10"/>
    </row>
    <row r="555" spans="1:4" ht="12.75" x14ac:dyDescent="0.2">
      <c r="A555" s="11"/>
      <c r="B555" s="11"/>
      <c r="C555" s="11"/>
      <c r="D555" s="10"/>
    </row>
    <row r="556" spans="1:4" ht="12.75" x14ac:dyDescent="0.2">
      <c r="A556" s="11"/>
      <c r="B556" s="11"/>
      <c r="C556" s="11"/>
      <c r="D556" s="10"/>
    </row>
    <row r="557" spans="1:4" ht="12.75" x14ac:dyDescent="0.2">
      <c r="A557" s="11"/>
      <c r="B557" s="11"/>
      <c r="C557" s="11"/>
      <c r="D557" s="10"/>
    </row>
    <row r="558" spans="1:4" ht="12.75" x14ac:dyDescent="0.2">
      <c r="A558" s="11"/>
      <c r="B558" s="11"/>
      <c r="C558" s="11"/>
      <c r="D558" s="10"/>
    </row>
    <row r="559" spans="1:4" ht="12.75" x14ac:dyDescent="0.2">
      <c r="A559" s="11"/>
      <c r="B559" s="11"/>
      <c r="C559" s="11"/>
      <c r="D559" s="10"/>
    </row>
    <row r="560" spans="1:4" ht="12.75" x14ac:dyDescent="0.2">
      <c r="A560" s="11"/>
      <c r="B560" s="11"/>
      <c r="C560" s="11"/>
      <c r="D560" s="10"/>
    </row>
    <row r="561" spans="1:4" ht="12.75" x14ac:dyDescent="0.2">
      <c r="A561" s="11"/>
      <c r="B561" s="11"/>
      <c r="C561" s="11"/>
      <c r="D561" s="10"/>
    </row>
    <row r="562" spans="1:4" ht="12.75" x14ac:dyDescent="0.2">
      <c r="A562" s="11"/>
      <c r="B562" s="11"/>
      <c r="C562" s="11"/>
      <c r="D562" s="10"/>
    </row>
    <row r="563" spans="1:4" ht="12.75" x14ac:dyDescent="0.2">
      <c r="A563" s="11"/>
      <c r="B563" s="11"/>
      <c r="C563" s="11"/>
      <c r="D563" s="10"/>
    </row>
    <row r="564" spans="1:4" ht="12.75" x14ac:dyDescent="0.2">
      <c r="A564" s="11"/>
      <c r="B564" s="11"/>
      <c r="C564" s="11"/>
      <c r="D564" s="10"/>
    </row>
    <row r="565" spans="1:4" ht="12.75" x14ac:dyDescent="0.2">
      <c r="A565" s="11"/>
      <c r="B565" s="11"/>
      <c r="C565" s="11"/>
      <c r="D565" s="10"/>
    </row>
    <row r="566" spans="1:4" ht="12.75" x14ac:dyDescent="0.2">
      <c r="A566" s="11"/>
      <c r="B566" s="11"/>
      <c r="C566" s="11"/>
      <c r="D566" s="10"/>
    </row>
    <row r="567" spans="1:4" ht="12.75" x14ac:dyDescent="0.2">
      <c r="A567" s="11"/>
      <c r="B567" s="11"/>
      <c r="C567" s="11"/>
      <c r="D567" s="10"/>
    </row>
    <row r="568" spans="1:4" ht="12.75" x14ac:dyDescent="0.2">
      <c r="A568" s="11"/>
      <c r="B568" s="11"/>
      <c r="C568" s="11"/>
      <c r="D568" s="10"/>
    </row>
    <row r="569" spans="1:4" ht="12.75" x14ac:dyDescent="0.2">
      <c r="A569" s="11"/>
      <c r="B569" s="11"/>
      <c r="C569" s="11"/>
      <c r="D569" s="10"/>
    </row>
    <row r="570" spans="1:4" ht="12.75" x14ac:dyDescent="0.2">
      <c r="A570" s="11"/>
      <c r="B570" s="11"/>
      <c r="C570" s="11"/>
      <c r="D570" s="10"/>
    </row>
    <row r="571" spans="1:4" ht="12.75" x14ac:dyDescent="0.2">
      <c r="A571" s="11"/>
      <c r="B571" s="11"/>
      <c r="C571" s="11"/>
      <c r="D571" s="10"/>
    </row>
    <row r="572" spans="1:4" ht="12.75" x14ac:dyDescent="0.2">
      <c r="A572" s="11"/>
      <c r="B572" s="11"/>
      <c r="C572" s="11"/>
      <c r="D572" s="10"/>
    </row>
    <row r="573" spans="1:4" ht="12.75" x14ac:dyDescent="0.2">
      <c r="A573" s="11"/>
      <c r="B573" s="11"/>
      <c r="C573" s="11"/>
      <c r="D573" s="10"/>
    </row>
    <row r="574" spans="1:4" ht="12.75" x14ac:dyDescent="0.2">
      <c r="A574" s="11"/>
      <c r="B574" s="11"/>
      <c r="C574" s="11"/>
      <c r="D574" s="10"/>
    </row>
    <row r="575" spans="1:4" ht="12.75" x14ac:dyDescent="0.2">
      <c r="A575" s="11"/>
      <c r="B575" s="11"/>
      <c r="C575" s="11"/>
      <c r="D575" s="10"/>
    </row>
    <row r="576" spans="1:4" ht="12.75" x14ac:dyDescent="0.2">
      <c r="A576" s="11"/>
      <c r="B576" s="11"/>
      <c r="C576" s="11"/>
      <c r="D576" s="10"/>
    </row>
    <row r="577" spans="1:4" ht="12.75" x14ac:dyDescent="0.2">
      <c r="A577" s="11"/>
      <c r="B577" s="11"/>
      <c r="C577" s="11"/>
      <c r="D577" s="10"/>
    </row>
    <row r="578" spans="1:4" ht="12.75" x14ac:dyDescent="0.2">
      <c r="A578" s="11"/>
      <c r="B578" s="11"/>
      <c r="C578" s="11"/>
      <c r="D578" s="10"/>
    </row>
    <row r="579" spans="1:4" ht="12.75" x14ac:dyDescent="0.2">
      <c r="A579" s="11"/>
      <c r="B579" s="11"/>
      <c r="C579" s="11"/>
      <c r="D579" s="10"/>
    </row>
    <row r="580" spans="1:4" ht="12.75" x14ac:dyDescent="0.2">
      <c r="A580" s="11"/>
      <c r="B580" s="11"/>
      <c r="C580" s="11"/>
      <c r="D580" s="10"/>
    </row>
    <row r="581" spans="1:4" ht="12.75" x14ac:dyDescent="0.2">
      <c r="A581" s="11"/>
      <c r="B581" s="11"/>
      <c r="C581" s="11"/>
      <c r="D581" s="10"/>
    </row>
    <row r="582" spans="1:4" ht="12.75" x14ac:dyDescent="0.2">
      <c r="A582" s="11"/>
      <c r="B582" s="11"/>
      <c r="C582" s="11"/>
      <c r="D582" s="10"/>
    </row>
    <row r="583" spans="1:4" ht="12.75" x14ac:dyDescent="0.2">
      <c r="A583" s="11"/>
      <c r="B583" s="11"/>
      <c r="C583" s="11"/>
      <c r="D583" s="10"/>
    </row>
    <row r="584" spans="1:4" ht="12.75" x14ac:dyDescent="0.2">
      <c r="A584" s="11"/>
      <c r="B584" s="11"/>
      <c r="C584" s="11"/>
      <c r="D584" s="10"/>
    </row>
    <row r="585" spans="1:4" ht="12.75" x14ac:dyDescent="0.2">
      <c r="A585" s="11"/>
      <c r="B585" s="11"/>
      <c r="C585" s="11"/>
      <c r="D585" s="10"/>
    </row>
    <row r="586" spans="1:4" ht="12.75" x14ac:dyDescent="0.2">
      <c r="A586" s="11"/>
      <c r="B586" s="11"/>
      <c r="C586" s="11"/>
      <c r="D586" s="10"/>
    </row>
    <row r="587" spans="1:4" ht="12.75" x14ac:dyDescent="0.2">
      <c r="A587" s="11"/>
      <c r="B587" s="11"/>
      <c r="C587" s="11"/>
      <c r="D587" s="10"/>
    </row>
    <row r="588" spans="1:4" ht="12.75" x14ac:dyDescent="0.2">
      <c r="A588" s="11"/>
      <c r="B588" s="11"/>
      <c r="C588" s="11"/>
      <c r="D588" s="10"/>
    </row>
    <row r="589" spans="1:4" ht="12.75" x14ac:dyDescent="0.2">
      <c r="A589" s="11"/>
      <c r="B589" s="11"/>
      <c r="C589" s="11"/>
      <c r="D589" s="10"/>
    </row>
    <row r="590" spans="1:4" ht="12.75" x14ac:dyDescent="0.2">
      <c r="A590" s="11"/>
      <c r="B590" s="11"/>
      <c r="C590" s="11"/>
      <c r="D590" s="10"/>
    </row>
    <row r="591" spans="1:4" ht="12.75" x14ac:dyDescent="0.2">
      <c r="A591" s="11"/>
      <c r="B591" s="11"/>
      <c r="C591" s="11"/>
      <c r="D591" s="10"/>
    </row>
    <row r="592" spans="1:4" ht="12.75" x14ac:dyDescent="0.2">
      <c r="A592" s="11"/>
      <c r="B592" s="11"/>
      <c r="C592" s="11"/>
      <c r="D592" s="10"/>
    </row>
    <row r="593" spans="1:4" ht="12.75" x14ac:dyDescent="0.2">
      <c r="A593" s="11"/>
      <c r="B593" s="11"/>
      <c r="C593" s="11"/>
      <c r="D593" s="10"/>
    </row>
    <row r="594" spans="1:4" ht="12.75" x14ac:dyDescent="0.2">
      <c r="A594" s="11"/>
      <c r="B594" s="11"/>
      <c r="C594" s="11"/>
      <c r="D594" s="10"/>
    </row>
    <row r="595" spans="1:4" ht="12.75" x14ac:dyDescent="0.2">
      <c r="A595" s="11"/>
      <c r="B595" s="11"/>
      <c r="C595" s="11"/>
      <c r="D595" s="10"/>
    </row>
    <row r="596" spans="1:4" ht="12.75" x14ac:dyDescent="0.2">
      <c r="A596" s="11"/>
      <c r="B596" s="11"/>
      <c r="C596" s="11"/>
      <c r="D596" s="10"/>
    </row>
    <row r="597" spans="1:4" ht="12.75" x14ac:dyDescent="0.2">
      <c r="A597" s="11"/>
      <c r="B597" s="11"/>
      <c r="C597" s="11"/>
      <c r="D597" s="10"/>
    </row>
    <row r="598" spans="1:4" ht="12.75" x14ac:dyDescent="0.2">
      <c r="A598" s="11"/>
      <c r="B598" s="11"/>
      <c r="C598" s="11"/>
      <c r="D598" s="10"/>
    </row>
    <row r="599" spans="1:4" ht="12.75" x14ac:dyDescent="0.2">
      <c r="A599" s="11"/>
      <c r="B599" s="11"/>
      <c r="C599" s="11"/>
      <c r="D599" s="10"/>
    </row>
    <row r="600" spans="1:4" ht="12.75" x14ac:dyDescent="0.2">
      <c r="A600" s="11"/>
      <c r="B600" s="11"/>
      <c r="C600" s="11"/>
      <c r="D600" s="10"/>
    </row>
    <row r="601" spans="1:4" ht="12.75" x14ac:dyDescent="0.2">
      <c r="A601" s="11"/>
      <c r="B601" s="11"/>
      <c r="C601" s="11"/>
      <c r="D601" s="10"/>
    </row>
    <row r="602" spans="1:4" ht="12.75" x14ac:dyDescent="0.2">
      <c r="A602" s="11"/>
      <c r="B602" s="11"/>
      <c r="C602" s="11"/>
      <c r="D602" s="10"/>
    </row>
    <row r="603" spans="1:4" ht="12.75" x14ac:dyDescent="0.2">
      <c r="A603" s="11"/>
      <c r="B603" s="11"/>
      <c r="C603" s="11"/>
      <c r="D603" s="10"/>
    </row>
    <row r="604" spans="1:4" ht="12.75" x14ac:dyDescent="0.2">
      <c r="A604" s="11"/>
      <c r="B604" s="11"/>
      <c r="C604" s="11"/>
      <c r="D604" s="10"/>
    </row>
    <row r="605" spans="1:4" ht="12.75" x14ac:dyDescent="0.2">
      <c r="A605" s="11"/>
      <c r="B605" s="11"/>
      <c r="C605" s="11"/>
      <c r="D605" s="10"/>
    </row>
    <row r="606" spans="1:4" ht="12.75" x14ac:dyDescent="0.2">
      <c r="A606" s="11"/>
      <c r="B606" s="11"/>
      <c r="C606" s="11"/>
      <c r="D606" s="10"/>
    </row>
    <row r="607" spans="1:4" ht="12.75" x14ac:dyDescent="0.2">
      <c r="A607" s="11"/>
      <c r="B607" s="11"/>
      <c r="C607" s="11"/>
      <c r="D607" s="10"/>
    </row>
    <row r="608" spans="1:4" ht="12.75" x14ac:dyDescent="0.2">
      <c r="A608" s="11"/>
      <c r="B608" s="11"/>
      <c r="C608" s="11"/>
      <c r="D608" s="10"/>
    </row>
    <row r="609" spans="1:4" ht="12.75" x14ac:dyDescent="0.2">
      <c r="A609" s="11"/>
      <c r="B609" s="11"/>
      <c r="C609" s="11"/>
      <c r="D609" s="10"/>
    </row>
    <row r="610" spans="1:4" ht="12.75" x14ac:dyDescent="0.2">
      <c r="A610" s="11"/>
      <c r="B610" s="11"/>
      <c r="C610" s="11"/>
      <c r="D610" s="10"/>
    </row>
    <row r="611" spans="1:4" ht="12.75" x14ac:dyDescent="0.2">
      <c r="A611" s="11"/>
      <c r="B611" s="11"/>
      <c r="C611" s="11"/>
      <c r="D611" s="10"/>
    </row>
    <row r="612" spans="1:4" ht="12.75" x14ac:dyDescent="0.2">
      <c r="A612" s="11"/>
      <c r="B612" s="11"/>
      <c r="C612" s="11"/>
      <c r="D612" s="10"/>
    </row>
    <row r="613" spans="1:4" ht="12.75" x14ac:dyDescent="0.2">
      <c r="A613" s="11"/>
      <c r="B613" s="11"/>
      <c r="C613" s="11"/>
      <c r="D613" s="10"/>
    </row>
    <row r="614" spans="1:4" ht="12.75" x14ac:dyDescent="0.2">
      <c r="A614" s="11"/>
      <c r="B614" s="11"/>
      <c r="C614" s="11"/>
      <c r="D614" s="10"/>
    </row>
    <row r="615" spans="1:4" ht="12.75" x14ac:dyDescent="0.2">
      <c r="A615" s="11"/>
      <c r="B615" s="11"/>
      <c r="C615" s="11"/>
      <c r="D615" s="10"/>
    </row>
    <row r="616" spans="1:4" ht="12.75" x14ac:dyDescent="0.2">
      <c r="A616" s="11"/>
      <c r="B616" s="11"/>
      <c r="C616" s="11"/>
      <c r="D616" s="10"/>
    </row>
    <row r="617" spans="1:4" ht="12.75" x14ac:dyDescent="0.2">
      <c r="A617" s="11"/>
      <c r="B617" s="11"/>
      <c r="C617" s="11"/>
      <c r="D617" s="10"/>
    </row>
    <row r="618" spans="1:4" ht="12.75" x14ac:dyDescent="0.2">
      <c r="A618" s="11"/>
      <c r="B618" s="11"/>
      <c r="C618" s="11"/>
      <c r="D618" s="10"/>
    </row>
    <row r="619" spans="1:4" ht="12.75" x14ac:dyDescent="0.2">
      <c r="A619" s="11"/>
      <c r="B619" s="11"/>
      <c r="C619" s="11"/>
      <c r="D619" s="10"/>
    </row>
    <row r="620" spans="1:4" ht="12.75" x14ac:dyDescent="0.2">
      <c r="A620" s="11"/>
      <c r="B620" s="11"/>
      <c r="C620" s="11"/>
      <c r="D620" s="10"/>
    </row>
    <row r="621" spans="1:4" ht="12.75" x14ac:dyDescent="0.2">
      <c r="A621" s="11"/>
      <c r="B621" s="11"/>
      <c r="C621" s="11"/>
      <c r="D621" s="10"/>
    </row>
    <row r="622" spans="1:4" ht="12.75" x14ac:dyDescent="0.2">
      <c r="A622" s="11"/>
      <c r="B622" s="11"/>
      <c r="C622" s="11"/>
      <c r="D622" s="10"/>
    </row>
    <row r="623" spans="1:4" ht="12.75" x14ac:dyDescent="0.2">
      <c r="A623" s="11"/>
      <c r="B623" s="11"/>
      <c r="C623" s="11"/>
      <c r="D623" s="10"/>
    </row>
    <row r="624" spans="1:4" ht="12.75" x14ac:dyDescent="0.2">
      <c r="A624" s="11"/>
      <c r="B624" s="11"/>
      <c r="C624" s="11"/>
      <c r="D624" s="10"/>
    </row>
    <row r="625" spans="1:4" ht="12.75" x14ac:dyDescent="0.2">
      <c r="A625" s="11"/>
      <c r="B625" s="11"/>
      <c r="C625" s="11"/>
      <c r="D625" s="10"/>
    </row>
    <row r="626" spans="1:4" ht="12.75" x14ac:dyDescent="0.2">
      <c r="A626" s="11"/>
      <c r="B626" s="11"/>
      <c r="C626" s="11"/>
      <c r="D626" s="10"/>
    </row>
    <row r="627" spans="1:4" ht="12.75" x14ac:dyDescent="0.2">
      <c r="A627" s="11"/>
      <c r="B627" s="11"/>
      <c r="C627" s="11"/>
      <c r="D627" s="10"/>
    </row>
    <row r="628" spans="1:4" ht="12.75" x14ac:dyDescent="0.2">
      <c r="A628" s="11"/>
      <c r="B628" s="11"/>
      <c r="C628" s="11"/>
      <c r="D628" s="10"/>
    </row>
    <row r="629" spans="1:4" ht="12.75" x14ac:dyDescent="0.2">
      <c r="A629" s="11"/>
      <c r="B629" s="11"/>
      <c r="C629" s="11"/>
      <c r="D629" s="10"/>
    </row>
    <row r="630" spans="1:4" ht="12.75" x14ac:dyDescent="0.2">
      <c r="A630" s="11"/>
      <c r="B630" s="11"/>
      <c r="C630" s="11"/>
      <c r="D630" s="10"/>
    </row>
    <row r="631" spans="1:4" ht="12.75" x14ac:dyDescent="0.2">
      <c r="A631" s="11"/>
      <c r="B631" s="11"/>
      <c r="C631" s="11"/>
      <c r="D631" s="10"/>
    </row>
    <row r="632" spans="1:4" ht="12.75" x14ac:dyDescent="0.2">
      <c r="A632" s="11"/>
      <c r="B632" s="11"/>
      <c r="C632" s="11"/>
      <c r="D632" s="10"/>
    </row>
    <row r="633" spans="1:4" ht="12.75" x14ac:dyDescent="0.2">
      <c r="A633" s="11"/>
      <c r="B633" s="11"/>
      <c r="C633" s="11"/>
      <c r="D633" s="10"/>
    </row>
    <row r="634" spans="1:4" ht="12.75" x14ac:dyDescent="0.2">
      <c r="A634" s="11"/>
      <c r="B634" s="11"/>
      <c r="C634" s="11"/>
      <c r="D634" s="10"/>
    </row>
    <row r="635" spans="1:4" ht="12.75" x14ac:dyDescent="0.2">
      <c r="A635" s="11"/>
      <c r="B635" s="11"/>
      <c r="C635" s="11"/>
      <c r="D635" s="10"/>
    </row>
    <row r="636" spans="1:4" ht="12.75" x14ac:dyDescent="0.2">
      <c r="A636" s="11"/>
      <c r="B636" s="11"/>
      <c r="C636" s="11"/>
      <c r="D636" s="10"/>
    </row>
    <row r="637" spans="1:4" ht="12.75" x14ac:dyDescent="0.2">
      <c r="A637" s="11"/>
      <c r="B637" s="11"/>
      <c r="C637" s="11"/>
      <c r="D637" s="10"/>
    </row>
    <row r="638" spans="1:4" ht="12.75" x14ac:dyDescent="0.2">
      <c r="A638" s="11"/>
      <c r="B638" s="11"/>
      <c r="C638" s="11"/>
      <c r="D638" s="10"/>
    </row>
    <row r="639" spans="1:4" ht="12.75" x14ac:dyDescent="0.2">
      <c r="A639" s="11"/>
      <c r="B639" s="11"/>
      <c r="C639" s="11"/>
      <c r="D639" s="10"/>
    </row>
    <row r="640" spans="1:4" ht="12.75" x14ac:dyDescent="0.2">
      <c r="A640" s="11"/>
      <c r="B640" s="11"/>
      <c r="C640" s="11"/>
      <c r="D640" s="10"/>
    </row>
    <row r="641" spans="1:4" ht="12.75" x14ac:dyDescent="0.2">
      <c r="A641" s="11"/>
      <c r="B641" s="11"/>
      <c r="C641" s="11"/>
      <c r="D641" s="10"/>
    </row>
    <row r="642" spans="1:4" ht="12.75" x14ac:dyDescent="0.2">
      <c r="A642" s="11"/>
      <c r="B642" s="11"/>
      <c r="C642" s="11"/>
      <c r="D642" s="10"/>
    </row>
    <row r="643" spans="1:4" ht="12.75" x14ac:dyDescent="0.2">
      <c r="A643" s="11"/>
      <c r="B643" s="11"/>
      <c r="C643" s="11"/>
      <c r="D643" s="10"/>
    </row>
    <row r="644" spans="1:4" ht="12.75" x14ac:dyDescent="0.2">
      <c r="A644" s="11"/>
      <c r="B644" s="11"/>
      <c r="C644" s="11"/>
      <c r="D644" s="10"/>
    </row>
    <row r="645" spans="1:4" ht="12.75" x14ac:dyDescent="0.2">
      <c r="A645" s="11"/>
      <c r="B645" s="11"/>
      <c r="C645" s="11"/>
      <c r="D645" s="10"/>
    </row>
    <row r="646" spans="1:4" ht="12.75" x14ac:dyDescent="0.2">
      <c r="A646" s="11"/>
      <c r="B646" s="11"/>
      <c r="C646" s="11"/>
      <c r="D646" s="10"/>
    </row>
    <row r="647" spans="1:4" ht="12.75" x14ac:dyDescent="0.2">
      <c r="A647" s="11"/>
      <c r="B647" s="11"/>
      <c r="C647" s="11"/>
      <c r="D647" s="10"/>
    </row>
    <row r="648" spans="1:4" ht="12.75" x14ac:dyDescent="0.2">
      <c r="A648" s="11"/>
      <c r="B648" s="11"/>
      <c r="C648" s="11"/>
      <c r="D648" s="10"/>
    </row>
    <row r="649" spans="1:4" ht="12.75" x14ac:dyDescent="0.2">
      <c r="A649" s="11"/>
      <c r="B649" s="11"/>
      <c r="C649" s="11"/>
      <c r="D649" s="10"/>
    </row>
    <row r="650" spans="1:4" ht="12.75" x14ac:dyDescent="0.2">
      <c r="A650" s="11"/>
      <c r="B650" s="11"/>
      <c r="C650" s="11"/>
      <c r="D650" s="10"/>
    </row>
    <row r="651" spans="1:4" ht="12.75" x14ac:dyDescent="0.2">
      <c r="A651" s="11"/>
      <c r="B651" s="11"/>
      <c r="C651" s="11"/>
      <c r="D651" s="10"/>
    </row>
    <row r="652" spans="1:4" ht="12.75" x14ac:dyDescent="0.2">
      <c r="A652" s="11"/>
      <c r="B652" s="11"/>
      <c r="C652" s="11"/>
      <c r="D652" s="10"/>
    </row>
    <row r="653" spans="1:4" ht="12.75" x14ac:dyDescent="0.2">
      <c r="A653" s="11"/>
      <c r="B653" s="11"/>
      <c r="C653" s="11"/>
      <c r="D653" s="10"/>
    </row>
    <row r="654" spans="1:4" ht="12.75" x14ac:dyDescent="0.2">
      <c r="A654" s="11"/>
      <c r="B654" s="11"/>
      <c r="C654" s="11"/>
      <c r="D654" s="10"/>
    </row>
    <row r="655" spans="1:4" ht="12.75" x14ac:dyDescent="0.2">
      <c r="A655" s="11"/>
      <c r="B655" s="11"/>
      <c r="C655" s="11"/>
      <c r="D655" s="10"/>
    </row>
    <row r="656" spans="1:4" ht="12.75" x14ac:dyDescent="0.2">
      <c r="A656" s="11"/>
      <c r="B656" s="11"/>
      <c r="C656" s="11"/>
      <c r="D656" s="10"/>
    </row>
    <row r="657" spans="1:4" ht="12.75" x14ac:dyDescent="0.2">
      <c r="A657" s="11"/>
      <c r="B657" s="11"/>
      <c r="C657" s="11"/>
      <c r="D657" s="10"/>
    </row>
    <row r="658" spans="1:4" ht="12.75" x14ac:dyDescent="0.2">
      <c r="A658" s="11"/>
      <c r="B658" s="11"/>
      <c r="C658" s="11"/>
      <c r="D658" s="10"/>
    </row>
    <row r="659" spans="1:4" ht="12.75" x14ac:dyDescent="0.2">
      <c r="A659" s="11"/>
      <c r="B659" s="11"/>
      <c r="C659" s="11"/>
      <c r="D659" s="10"/>
    </row>
    <row r="660" spans="1:4" ht="12.75" x14ac:dyDescent="0.2">
      <c r="A660" s="11"/>
      <c r="B660" s="11"/>
      <c r="C660" s="11"/>
      <c r="D660" s="10"/>
    </row>
    <row r="661" spans="1:4" ht="12.75" x14ac:dyDescent="0.2">
      <c r="A661" s="11"/>
      <c r="B661" s="11"/>
      <c r="C661" s="11"/>
      <c r="D661" s="10"/>
    </row>
    <row r="662" spans="1:4" ht="12.75" x14ac:dyDescent="0.2">
      <c r="A662" s="11"/>
      <c r="B662" s="11"/>
      <c r="C662" s="11"/>
      <c r="D662" s="10"/>
    </row>
    <row r="663" spans="1:4" ht="12.75" x14ac:dyDescent="0.2">
      <c r="A663" s="11"/>
      <c r="B663" s="11"/>
      <c r="C663" s="11"/>
      <c r="D663" s="10"/>
    </row>
    <row r="664" spans="1:4" ht="12.75" x14ac:dyDescent="0.2">
      <c r="A664" s="11"/>
      <c r="B664" s="11"/>
      <c r="C664" s="11"/>
      <c r="D664" s="10"/>
    </row>
    <row r="665" spans="1:4" ht="12.75" x14ac:dyDescent="0.2">
      <c r="A665" s="11"/>
      <c r="B665" s="11"/>
      <c r="C665" s="11"/>
      <c r="D665" s="10"/>
    </row>
    <row r="666" spans="1:4" ht="12.75" x14ac:dyDescent="0.2">
      <c r="A666" s="11"/>
      <c r="B666" s="11"/>
      <c r="C666" s="11"/>
      <c r="D666" s="10"/>
    </row>
    <row r="667" spans="1:4" ht="12.75" x14ac:dyDescent="0.2">
      <c r="A667" s="11"/>
      <c r="B667" s="11"/>
      <c r="C667" s="11"/>
      <c r="D667" s="10"/>
    </row>
    <row r="668" spans="1:4" ht="12.75" x14ac:dyDescent="0.2">
      <c r="A668" s="11"/>
      <c r="B668" s="11"/>
      <c r="C668" s="11"/>
      <c r="D668" s="10"/>
    </row>
    <row r="669" spans="1:4" ht="12.75" x14ac:dyDescent="0.2">
      <c r="A669" s="11"/>
      <c r="B669" s="11"/>
      <c r="C669" s="11"/>
      <c r="D669" s="10"/>
    </row>
    <row r="670" spans="1:4" ht="12.75" x14ac:dyDescent="0.2">
      <c r="A670" s="11"/>
      <c r="B670" s="11"/>
      <c r="C670" s="11"/>
      <c r="D670" s="10"/>
    </row>
    <row r="671" spans="1:4" ht="12.75" x14ac:dyDescent="0.2">
      <c r="A671" s="11"/>
      <c r="B671" s="11"/>
      <c r="C671" s="11"/>
      <c r="D671" s="10"/>
    </row>
    <row r="672" spans="1:4" ht="12.75" x14ac:dyDescent="0.2">
      <c r="A672" s="11"/>
      <c r="B672" s="11"/>
      <c r="C672" s="11"/>
      <c r="D672" s="10"/>
    </row>
    <row r="673" spans="1:4" ht="12.75" x14ac:dyDescent="0.2">
      <c r="A673" s="11"/>
      <c r="B673" s="11"/>
      <c r="C673" s="11"/>
      <c r="D673" s="10"/>
    </row>
    <row r="674" spans="1:4" ht="12.75" x14ac:dyDescent="0.2">
      <c r="A674" s="11"/>
      <c r="B674" s="11"/>
      <c r="C674" s="11"/>
      <c r="D674" s="10"/>
    </row>
    <row r="675" spans="1:4" ht="12.75" x14ac:dyDescent="0.2">
      <c r="A675" s="11"/>
      <c r="B675" s="11"/>
      <c r="C675" s="11"/>
      <c r="D675" s="10"/>
    </row>
    <row r="676" spans="1:4" ht="12.75" x14ac:dyDescent="0.2">
      <c r="A676" s="11"/>
      <c r="B676" s="11"/>
      <c r="C676" s="11"/>
      <c r="D676" s="10"/>
    </row>
    <row r="677" spans="1:4" ht="12.75" x14ac:dyDescent="0.2">
      <c r="A677" s="11"/>
      <c r="B677" s="11"/>
      <c r="C677" s="11"/>
      <c r="D677" s="10"/>
    </row>
    <row r="678" spans="1:4" ht="12.75" x14ac:dyDescent="0.2">
      <c r="A678" s="11"/>
      <c r="B678" s="11"/>
      <c r="C678" s="11"/>
      <c r="D678" s="10"/>
    </row>
    <row r="679" spans="1:4" ht="12.75" x14ac:dyDescent="0.2">
      <c r="A679" s="11"/>
      <c r="B679" s="11"/>
      <c r="C679" s="11"/>
      <c r="D679" s="10"/>
    </row>
    <row r="680" spans="1:4" ht="12.75" x14ac:dyDescent="0.2">
      <c r="A680" s="11"/>
      <c r="B680" s="11"/>
      <c r="C680" s="11"/>
      <c r="D680" s="10"/>
    </row>
    <row r="681" spans="1:4" ht="12.75" x14ac:dyDescent="0.2">
      <c r="A681" s="11"/>
      <c r="B681" s="11"/>
      <c r="C681" s="11"/>
      <c r="D681" s="10"/>
    </row>
    <row r="682" spans="1:4" ht="12.75" x14ac:dyDescent="0.2">
      <c r="A682" s="11"/>
      <c r="B682" s="11"/>
      <c r="C682" s="11"/>
      <c r="D682" s="10"/>
    </row>
    <row r="683" spans="1:4" ht="12.75" x14ac:dyDescent="0.2">
      <c r="A683" s="11"/>
      <c r="B683" s="11"/>
      <c r="C683" s="11"/>
      <c r="D683" s="10"/>
    </row>
    <row r="684" spans="1:4" ht="12.75" x14ac:dyDescent="0.2">
      <c r="A684" s="11"/>
      <c r="B684" s="11"/>
      <c r="C684" s="11"/>
      <c r="D684" s="10"/>
    </row>
    <row r="685" spans="1:4" ht="12.75" x14ac:dyDescent="0.2">
      <c r="A685" s="11"/>
      <c r="B685" s="11"/>
      <c r="C685" s="11"/>
      <c r="D685" s="10"/>
    </row>
    <row r="686" spans="1:4" ht="12.75" x14ac:dyDescent="0.2">
      <c r="A686" s="11"/>
      <c r="B686" s="11"/>
      <c r="C686" s="11"/>
      <c r="D686" s="10"/>
    </row>
    <row r="687" spans="1:4" ht="12.75" x14ac:dyDescent="0.2">
      <c r="A687" s="11"/>
      <c r="B687" s="11"/>
      <c r="C687" s="11"/>
      <c r="D687" s="10"/>
    </row>
    <row r="688" spans="1:4" ht="12.75" x14ac:dyDescent="0.2">
      <c r="A688" s="11"/>
      <c r="B688" s="11"/>
      <c r="C688" s="11"/>
      <c r="D688" s="10"/>
    </row>
    <row r="689" spans="1:4" ht="12.75" x14ac:dyDescent="0.2">
      <c r="A689" s="11"/>
      <c r="B689" s="11"/>
      <c r="C689" s="11"/>
      <c r="D689" s="10"/>
    </row>
    <row r="690" spans="1:4" ht="12.75" x14ac:dyDescent="0.2">
      <c r="A690" s="11"/>
      <c r="B690" s="11"/>
      <c r="C690" s="11"/>
      <c r="D690" s="10"/>
    </row>
    <row r="691" spans="1:4" ht="12.75" x14ac:dyDescent="0.2">
      <c r="A691" s="11"/>
      <c r="B691" s="11"/>
      <c r="C691" s="11"/>
      <c r="D691" s="10"/>
    </row>
    <row r="692" spans="1:4" ht="12.75" x14ac:dyDescent="0.2">
      <c r="A692" s="11"/>
      <c r="B692" s="11"/>
      <c r="C692" s="11"/>
      <c r="D692" s="10"/>
    </row>
    <row r="693" spans="1:4" ht="12.75" x14ac:dyDescent="0.2">
      <c r="A693" s="11"/>
      <c r="B693" s="11"/>
      <c r="C693" s="11"/>
      <c r="D693" s="10"/>
    </row>
    <row r="694" spans="1:4" ht="12.75" x14ac:dyDescent="0.2">
      <c r="A694" s="11"/>
      <c r="B694" s="11"/>
      <c r="C694" s="11"/>
      <c r="D694" s="10"/>
    </row>
    <row r="695" spans="1:4" ht="12.75" x14ac:dyDescent="0.2">
      <c r="A695" s="11"/>
      <c r="B695" s="11"/>
      <c r="C695" s="11"/>
      <c r="D695" s="10"/>
    </row>
    <row r="696" spans="1:4" ht="12.75" x14ac:dyDescent="0.2">
      <c r="A696" s="11"/>
      <c r="B696" s="11"/>
      <c r="C696" s="11"/>
      <c r="D696" s="10"/>
    </row>
    <row r="697" spans="1:4" ht="12.75" x14ac:dyDescent="0.2">
      <c r="A697" s="11"/>
      <c r="B697" s="11"/>
      <c r="C697" s="11"/>
      <c r="D697" s="10"/>
    </row>
    <row r="698" spans="1:4" ht="12.75" x14ac:dyDescent="0.2">
      <c r="A698" s="11"/>
      <c r="B698" s="11"/>
      <c r="C698" s="11"/>
      <c r="D698" s="10"/>
    </row>
    <row r="699" spans="1:4" ht="12.75" x14ac:dyDescent="0.2">
      <c r="A699" s="11"/>
      <c r="B699" s="11"/>
      <c r="C699" s="11"/>
      <c r="D699" s="10"/>
    </row>
    <row r="700" spans="1:4" ht="12.75" x14ac:dyDescent="0.2">
      <c r="A700" s="11"/>
      <c r="B700" s="11"/>
      <c r="C700" s="11"/>
      <c r="D700" s="10"/>
    </row>
    <row r="701" spans="1:4" ht="12.75" x14ac:dyDescent="0.2">
      <c r="A701" s="11"/>
      <c r="B701" s="11"/>
      <c r="C701" s="11"/>
      <c r="D701" s="10"/>
    </row>
    <row r="702" spans="1:4" ht="12.75" x14ac:dyDescent="0.2">
      <c r="A702" s="11"/>
      <c r="B702" s="11"/>
      <c r="C702" s="11"/>
      <c r="D702" s="10"/>
    </row>
    <row r="703" spans="1:4" ht="12.75" x14ac:dyDescent="0.2">
      <c r="A703" s="11"/>
      <c r="B703" s="11"/>
      <c r="C703" s="11"/>
      <c r="D703" s="10"/>
    </row>
    <row r="704" spans="1:4" ht="12.75" x14ac:dyDescent="0.2">
      <c r="A704" s="11"/>
      <c r="B704" s="11"/>
      <c r="C704" s="11"/>
      <c r="D704" s="10"/>
    </row>
    <row r="705" spans="1:4" ht="12.75" x14ac:dyDescent="0.2">
      <c r="A705" s="11"/>
      <c r="B705" s="11"/>
      <c r="C705" s="11"/>
      <c r="D705" s="10"/>
    </row>
    <row r="706" spans="1:4" ht="12.75" x14ac:dyDescent="0.2">
      <c r="A706" s="11"/>
      <c r="B706" s="11"/>
      <c r="C706" s="11"/>
      <c r="D706" s="10"/>
    </row>
    <row r="707" spans="1:4" ht="12.75" x14ac:dyDescent="0.2">
      <c r="A707" s="11"/>
      <c r="B707" s="11"/>
      <c r="C707" s="11"/>
      <c r="D707" s="10"/>
    </row>
    <row r="708" spans="1:4" ht="12.75" x14ac:dyDescent="0.2">
      <c r="A708" s="11"/>
      <c r="B708" s="11"/>
      <c r="C708" s="11"/>
      <c r="D708" s="10"/>
    </row>
    <row r="709" spans="1:4" ht="12.75" x14ac:dyDescent="0.2">
      <c r="A709" s="11"/>
      <c r="B709" s="11"/>
      <c r="C709" s="11"/>
      <c r="D709" s="10"/>
    </row>
    <row r="710" spans="1:4" ht="12.75" x14ac:dyDescent="0.2">
      <c r="A710" s="11"/>
      <c r="B710" s="11"/>
      <c r="C710" s="11"/>
      <c r="D710" s="10"/>
    </row>
    <row r="711" spans="1:4" ht="12.75" x14ac:dyDescent="0.2">
      <c r="A711" s="11"/>
      <c r="B711" s="11"/>
      <c r="C711" s="11"/>
      <c r="D711" s="10"/>
    </row>
    <row r="712" spans="1:4" ht="12.75" x14ac:dyDescent="0.2">
      <c r="A712" s="11"/>
      <c r="B712" s="11"/>
      <c r="C712" s="11"/>
      <c r="D712" s="10"/>
    </row>
    <row r="713" spans="1:4" ht="12.75" x14ac:dyDescent="0.2">
      <c r="A713" s="11"/>
      <c r="B713" s="11"/>
      <c r="C713" s="11"/>
      <c r="D713" s="10"/>
    </row>
    <row r="714" spans="1:4" ht="12.75" x14ac:dyDescent="0.2">
      <c r="A714" s="11"/>
      <c r="B714" s="11"/>
      <c r="C714" s="11"/>
      <c r="D714" s="10"/>
    </row>
    <row r="715" spans="1:4" ht="12.75" x14ac:dyDescent="0.2">
      <c r="A715" s="11"/>
      <c r="B715" s="11"/>
      <c r="C715" s="11"/>
      <c r="D715" s="10"/>
    </row>
    <row r="716" spans="1:4" ht="12.75" x14ac:dyDescent="0.2">
      <c r="A716" s="11"/>
      <c r="B716" s="11"/>
      <c r="C716" s="11"/>
      <c r="D716" s="10"/>
    </row>
    <row r="717" spans="1:4" ht="12.75" x14ac:dyDescent="0.2">
      <c r="A717" s="11"/>
      <c r="B717" s="11"/>
      <c r="C717" s="11"/>
      <c r="D717" s="10"/>
    </row>
    <row r="718" spans="1:4" ht="12.75" x14ac:dyDescent="0.2">
      <c r="A718" s="11"/>
      <c r="B718" s="11"/>
      <c r="C718" s="11"/>
      <c r="D718" s="10"/>
    </row>
    <row r="719" spans="1:4" ht="12.75" x14ac:dyDescent="0.2">
      <c r="A719" s="11"/>
      <c r="B719" s="11"/>
      <c r="C719" s="11"/>
      <c r="D719" s="10"/>
    </row>
    <row r="720" spans="1:4" ht="12.75" x14ac:dyDescent="0.2">
      <c r="A720" s="11"/>
      <c r="B720" s="11"/>
      <c r="C720" s="11"/>
      <c r="D720" s="10"/>
    </row>
    <row r="721" spans="1:4" ht="12.75" x14ac:dyDescent="0.2">
      <c r="A721" s="11"/>
      <c r="B721" s="11"/>
      <c r="C721" s="11"/>
      <c r="D721" s="10"/>
    </row>
    <row r="722" spans="1:4" ht="12.75" x14ac:dyDescent="0.2">
      <c r="A722" s="11"/>
      <c r="B722" s="11"/>
      <c r="C722" s="11"/>
      <c r="D722" s="10"/>
    </row>
    <row r="723" spans="1:4" ht="12.75" x14ac:dyDescent="0.2">
      <c r="A723" s="11"/>
      <c r="B723" s="11"/>
      <c r="C723" s="11"/>
      <c r="D723" s="10"/>
    </row>
    <row r="724" spans="1:4" ht="12.75" x14ac:dyDescent="0.2">
      <c r="A724" s="11"/>
      <c r="B724" s="11"/>
      <c r="C724" s="11"/>
      <c r="D724" s="10"/>
    </row>
    <row r="725" spans="1:4" ht="12.75" x14ac:dyDescent="0.2">
      <c r="A725" s="11"/>
      <c r="B725" s="11"/>
      <c r="C725" s="11"/>
      <c r="D725" s="10"/>
    </row>
    <row r="726" spans="1:4" ht="12.75" x14ac:dyDescent="0.2">
      <c r="A726" s="11"/>
      <c r="B726" s="11"/>
      <c r="C726" s="11"/>
      <c r="D726" s="10"/>
    </row>
    <row r="727" spans="1:4" ht="12.75" x14ac:dyDescent="0.2">
      <c r="A727" s="11"/>
      <c r="B727" s="11"/>
      <c r="C727" s="11"/>
      <c r="D727" s="10"/>
    </row>
    <row r="728" spans="1:4" ht="12.75" x14ac:dyDescent="0.2">
      <c r="A728" s="11"/>
      <c r="B728" s="11"/>
      <c r="C728" s="11"/>
      <c r="D728" s="10"/>
    </row>
    <row r="729" spans="1:4" ht="12.75" x14ac:dyDescent="0.2">
      <c r="A729" s="11"/>
      <c r="B729" s="11"/>
      <c r="C729" s="11"/>
      <c r="D729" s="10"/>
    </row>
    <row r="730" spans="1:4" ht="12.75" x14ac:dyDescent="0.2">
      <c r="A730" s="11"/>
      <c r="B730" s="11"/>
      <c r="C730" s="11"/>
      <c r="D730" s="10"/>
    </row>
    <row r="731" spans="1:4" ht="12.75" x14ac:dyDescent="0.2">
      <c r="A731" s="11"/>
      <c r="B731" s="11"/>
      <c r="C731" s="11"/>
      <c r="D731" s="10"/>
    </row>
    <row r="732" spans="1:4" ht="12.75" x14ac:dyDescent="0.2">
      <c r="A732" s="11"/>
      <c r="B732" s="11"/>
      <c r="C732" s="11"/>
      <c r="D732" s="10"/>
    </row>
    <row r="733" spans="1:4" ht="12.75" x14ac:dyDescent="0.2">
      <c r="A733" s="11"/>
      <c r="B733" s="11"/>
      <c r="C733" s="11"/>
      <c r="D733" s="10"/>
    </row>
    <row r="734" spans="1:4" ht="12.75" x14ac:dyDescent="0.2">
      <c r="A734" s="11"/>
      <c r="B734" s="11"/>
      <c r="C734" s="11"/>
      <c r="D734" s="10"/>
    </row>
    <row r="735" spans="1:4" ht="12.75" x14ac:dyDescent="0.2">
      <c r="A735" s="11"/>
      <c r="B735" s="11"/>
      <c r="C735" s="11"/>
      <c r="D735" s="10"/>
    </row>
    <row r="736" spans="1:4" ht="12.75" x14ac:dyDescent="0.2">
      <c r="A736" s="11"/>
      <c r="B736" s="11"/>
      <c r="C736" s="11"/>
      <c r="D736" s="10"/>
    </row>
    <row r="737" spans="1:4" ht="12.75" x14ac:dyDescent="0.2">
      <c r="A737" s="11"/>
      <c r="B737" s="11"/>
      <c r="C737" s="11"/>
      <c r="D737" s="10"/>
    </row>
    <row r="738" spans="1:4" ht="12.75" x14ac:dyDescent="0.2">
      <c r="A738" s="11"/>
      <c r="B738" s="11"/>
      <c r="C738" s="11"/>
      <c r="D738" s="10"/>
    </row>
    <row r="739" spans="1:4" ht="12.75" x14ac:dyDescent="0.2">
      <c r="A739" s="11"/>
      <c r="B739" s="11"/>
      <c r="C739" s="11"/>
      <c r="D739" s="10"/>
    </row>
    <row r="740" spans="1:4" ht="12.75" x14ac:dyDescent="0.2">
      <c r="A740" s="11"/>
      <c r="B740" s="11"/>
      <c r="C740" s="11"/>
      <c r="D740" s="10"/>
    </row>
    <row r="741" spans="1:4" ht="12.75" x14ac:dyDescent="0.2">
      <c r="A741" s="11"/>
      <c r="B741" s="11"/>
      <c r="C741" s="11"/>
      <c r="D741" s="10"/>
    </row>
    <row r="742" spans="1:4" ht="12.75" x14ac:dyDescent="0.2">
      <c r="A742" s="11"/>
      <c r="B742" s="11"/>
      <c r="C742" s="11"/>
      <c r="D742" s="10"/>
    </row>
    <row r="743" spans="1:4" ht="12.75" x14ac:dyDescent="0.2">
      <c r="A743" s="11"/>
      <c r="B743" s="11"/>
      <c r="C743" s="11"/>
      <c r="D743" s="10"/>
    </row>
    <row r="744" spans="1:4" ht="12.75" x14ac:dyDescent="0.2">
      <c r="A744" s="11"/>
      <c r="B744" s="11"/>
      <c r="C744" s="11"/>
      <c r="D744" s="10"/>
    </row>
    <row r="745" spans="1:4" ht="12.75" x14ac:dyDescent="0.2">
      <c r="A745" s="11"/>
      <c r="B745" s="11"/>
      <c r="C745" s="11"/>
      <c r="D745" s="10"/>
    </row>
    <row r="746" spans="1:4" ht="12.75" x14ac:dyDescent="0.2">
      <c r="A746" s="11"/>
      <c r="B746" s="11"/>
      <c r="C746" s="11"/>
      <c r="D746" s="10"/>
    </row>
    <row r="747" spans="1:4" ht="12.75" x14ac:dyDescent="0.2">
      <c r="A747" s="11"/>
      <c r="B747" s="11"/>
      <c r="C747" s="11"/>
      <c r="D747" s="10"/>
    </row>
    <row r="748" spans="1:4" ht="12.75" x14ac:dyDescent="0.2">
      <c r="A748" s="11"/>
      <c r="B748" s="11"/>
      <c r="C748" s="11"/>
      <c r="D748" s="10"/>
    </row>
    <row r="749" spans="1:4" ht="12.75" x14ac:dyDescent="0.2">
      <c r="A749" s="11"/>
      <c r="B749" s="11"/>
      <c r="C749" s="11"/>
      <c r="D749" s="10"/>
    </row>
    <row r="750" spans="1:4" ht="12.75" x14ac:dyDescent="0.2">
      <c r="A750" s="11"/>
      <c r="B750" s="11"/>
      <c r="C750" s="11"/>
      <c r="D750" s="10"/>
    </row>
    <row r="751" spans="1:4" ht="12.75" x14ac:dyDescent="0.2">
      <c r="A751" s="11"/>
      <c r="B751" s="11"/>
      <c r="C751" s="11"/>
      <c r="D751" s="10"/>
    </row>
    <row r="752" spans="1:4" ht="12.75" x14ac:dyDescent="0.2">
      <c r="A752" s="11"/>
      <c r="B752" s="11"/>
      <c r="C752" s="11"/>
      <c r="D752" s="10"/>
    </row>
    <row r="753" spans="1:4" ht="12.75" x14ac:dyDescent="0.2">
      <c r="A753" s="11"/>
      <c r="B753" s="11"/>
      <c r="C753" s="11"/>
      <c r="D753" s="10"/>
    </row>
    <row r="754" spans="1:4" ht="12.75" x14ac:dyDescent="0.2">
      <c r="A754" s="11"/>
      <c r="B754" s="11"/>
      <c r="C754" s="11"/>
      <c r="D754" s="10"/>
    </row>
    <row r="755" spans="1:4" ht="12.75" x14ac:dyDescent="0.2">
      <c r="A755" s="11"/>
      <c r="B755" s="11"/>
      <c r="C755" s="11"/>
      <c r="D755" s="10"/>
    </row>
    <row r="756" spans="1:4" ht="12.75" x14ac:dyDescent="0.2">
      <c r="A756" s="11"/>
      <c r="B756" s="11"/>
      <c r="C756" s="11"/>
      <c r="D756" s="10"/>
    </row>
    <row r="757" spans="1:4" ht="12.75" x14ac:dyDescent="0.2">
      <c r="A757" s="11"/>
      <c r="B757" s="11"/>
      <c r="C757" s="11"/>
      <c r="D757" s="10"/>
    </row>
    <row r="758" spans="1:4" ht="12.75" x14ac:dyDescent="0.2">
      <c r="A758" s="11"/>
      <c r="B758" s="11"/>
      <c r="C758" s="11"/>
      <c r="D758" s="10"/>
    </row>
    <row r="759" spans="1:4" ht="12.75" x14ac:dyDescent="0.2">
      <c r="A759" s="11"/>
      <c r="B759" s="11"/>
      <c r="C759" s="11"/>
      <c r="D759" s="10"/>
    </row>
    <row r="760" spans="1:4" ht="12.75" x14ac:dyDescent="0.2">
      <c r="A760" s="11"/>
      <c r="B760" s="11"/>
      <c r="C760" s="11"/>
      <c r="D760" s="10"/>
    </row>
    <row r="761" spans="1:4" ht="12.75" x14ac:dyDescent="0.2">
      <c r="A761" s="11"/>
      <c r="B761" s="11"/>
      <c r="C761" s="11"/>
      <c r="D761" s="10"/>
    </row>
    <row r="762" spans="1:4" ht="12.75" x14ac:dyDescent="0.2">
      <c r="A762" s="11"/>
      <c r="B762" s="11"/>
      <c r="C762" s="11"/>
      <c r="D762" s="10"/>
    </row>
    <row r="763" spans="1:4" ht="12.75" x14ac:dyDescent="0.2">
      <c r="A763" s="11"/>
      <c r="B763" s="11"/>
      <c r="C763" s="11"/>
      <c r="D763" s="10"/>
    </row>
    <row r="764" spans="1:4" ht="12.75" x14ac:dyDescent="0.2">
      <c r="A764" s="11"/>
      <c r="B764" s="11"/>
      <c r="C764" s="11"/>
      <c r="D764" s="10"/>
    </row>
    <row r="765" spans="1:4" ht="12.75" x14ac:dyDescent="0.2">
      <c r="A765" s="11"/>
      <c r="B765" s="11"/>
      <c r="C765" s="11"/>
      <c r="D765" s="10"/>
    </row>
    <row r="766" spans="1:4" ht="12.75" x14ac:dyDescent="0.2">
      <c r="A766" s="11"/>
      <c r="B766" s="11"/>
      <c r="C766" s="11"/>
      <c r="D766" s="10"/>
    </row>
    <row r="767" spans="1:4" ht="12.75" x14ac:dyDescent="0.2">
      <c r="A767" s="11"/>
      <c r="B767" s="11"/>
      <c r="C767" s="11"/>
      <c r="D767" s="10"/>
    </row>
    <row r="768" spans="1:4" ht="12.75" x14ac:dyDescent="0.2">
      <c r="A768" s="11"/>
      <c r="B768" s="11"/>
      <c r="C768" s="11"/>
      <c r="D768" s="10"/>
    </row>
    <row r="769" spans="1:4" ht="12.75" x14ac:dyDescent="0.2">
      <c r="A769" s="11"/>
      <c r="B769" s="11"/>
      <c r="C769" s="11"/>
      <c r="D769" s="10"/>
    </row>
    <row r="770" spans="1:4" ht="12.75" x14ac:dyDescent="0.2">
      <c r="A770" s="11"/>
      <c r="B770" s="11"/>
      <c r="C770" s="11"/>
      <c r="D770" s="10"/>
    </row>
    <row r="771" spans="1:4" ht="12.75" x14ac:dyDescent="0.2">
      <c r="A771" s="11"/>
      <c r="B771" s="11"/>
      <c r="C771" s="11"/>
      <c r="D771" s="10"/>
    </row>
    <row r="772" spans="1:4" ht="12.75" x14ac:dyDescent="0.2">
      <c r="A772" s="11"/>
      <c r="B772" s="11"/>
      <c r="C772" s="11"/>
      <c r="D772" s="10"/>
    </row>
    <row r="773" spans="1:4" ht="12.75" x14ac:dyDescent="0.2">
      <c r="A773" s="11"/>
      <c r="B773" s="11"/>
      <c r="C773" s="11"/>
      <c r="D773" s="10"/>
    </row>
    <row r="774" spans="1:4" ht="12.75" x14ac:dyDescent="0.2">
      <c r="A774" s="11"/>
      <c r="B774" s="11"/>
      <c r="C774" s="11"/>
      <c r="D774" s="10"/>
    </row>
    <row r="775" spans="1:4" ht="12.75" x14ac:dyDescent="0.2">
      <c r="A775" s="11"/>
      <c r="B775" s="11"/>
      <c r="C775" s="11"/>
      <c r="D775" s="10"/>
    </row>
    <row r="776" spans="1:4" ht="12.75" x14ac:dyDescent="0.2">
      <c r="A776" s="11"/>
      <c r="B776" s="11"/>
      <c r="C776" s="11"/>
      <c r="D776" s="10"/>
    </row>
    <row r="777" spans="1:4" ht="12.75" x14ac:dyDescent="0.2">
      <c r="A777" s="11"/>
      <c r="B777" s="11"/>
      <c r="C777" s="11"/>
      <c r="D777" s="10"/>
    </row>
    <row r="778" spans="1:4" ht="12.75" x14ac:dyDescent="0.2">
      <c r="A778" s="11"/>
      <c r="B778" s="11"/>
      <c r="C778" s="11"/>
      <c r="D778" s="10"/>
    </row>
    <row r="779" spans="1:4" ht="12.75" x14ac:dyDescent="0.2">
      <c r="A779" s="11"/>
      <c r="B779" s="11"/>
      <c r="C779" s="11"/>
      <c r="D779" s="10"/>
    </row>
    <row r="780" spans="1:4" ht="12.75" x14ac:dyDescent="0.2">
      <c r="A780" s="11"/>
      <c r="B780" s="11"/>
      <c r="C780" s="11"/>
      <c r="D780" s="10"/>
    </row>
    <row r="781" spans="1:4" ht="12.75" x14ac:dyDescent="0.2">
      <c r="A781" s="11"/>
      <c r="B781" s="11"/>
      <c r="C781" s="11"/>
      <c r="D781" s="10"/>
    </row>
    <row r="782" spans="1:4" ht="12.75" x14ac:dyDescent="0.2">
      <c r="A782" s="11"/>
      <c r="B782" s="11"/>
      <c r="C782" s="11"/>
      <c r="D782" s="10"/>
    </row>
    <row r="783" spans="1:4" ht="12.75" x14ac:dyDescent="0.2">
      <c r="A783" s="11"/>
      <c r="B783" s="11"/>
      <c r="C783" s="11"/>
      <c r="D783" s="10"/>
    </row>
    <row r="784" spans="1:4" ht="12.75" x14ac:dyDescent="0.2">
      <c r="A784" s="11"/>
      <c r="B784" s="11"/>
      <c r="C784" s="11"/>
      <c r="D784" s="10"/>
    </row>
    <row r="785" spans="1:4" ht="12.75" x14ac:dyDescent="0.2">
      <c r="A785" s="11"/>
      <c r="B785" s="11"/>
      <c r="C785" s="11"/>
      <c r="D785" s="10"/>
    </row>
    <row r="786" spans="1:4" ht="12.75" x14ac:dyDescent="0.2">
      <c r="A786" s="11"/>
      <c r="B786" s="11"/>
      <c r="C786" s="11"/>
      <c r="D786" s="10"/>
    </row>
    <row r="787" spans="1:4" ht="12.75" x14ac:dyDescent="0.2">
      <c r="A787" s="11"/>
      <c r="B787" s="11"/>
      <c r="C787" s="11"/>
      <c r="D787" s="10"/>
    </row>
    <row r="788" spans="1:4" ht="12.75" x14ac:dyDescent="0.2">
      <c r="A788" s="11"/>
      <c r="B788" s="11"/>
      <c r="C788" s="11"/>
      <c r="D788" s="10"/>
    </row>
    <row r="789" spans="1:4" ht="12.75" x14ac:dyDescent="0.2">
      <c r="A789" s="11"/>
      <c r="B789" s="11"/>
      <c r="C789" s="11"/>
      <c r="D789" s="10"/>
    </row>
    <row r="790" spans="1:4" ht="12.75" x14ac:dyDescent="0.2">
      <c r="A790" s="11"/>
      <c r="B790" s="11"/>
      <c r="C790" s="11"/>
      <c r="D790" s="10"/>
    </row>
    <row r="791" spans="1:4" ht="12.75" x14ac:dyDescent="0.2">
      <c r="A791" s="11"/>
      <c r="B791" s="11"/>
      <c r="C791" s="11"/>
      <c r="D791" s="10"/>
    </row>
    <row r="792" spans="1:4" ht="12.75" x14ac:dyDescent="0.2">
      <c r="A792" s="11"/>
      <c r="B792" s="11"/>
      <c r="C792" s="11"/>
      <c r="D792" s="10"/>
    </row>
    <row r="793" spans="1:4" ht="12.75" x14ac:dyDescent="0.2">
      <c r="A793" s="11"/>
      <c r="B793" s="11"/>
      <c r="C793" s="11"/>
      <c r="D793" s="10"/>
    </row>
    <row r="794" spans="1:4" ht="12.75" x14ac:dyDescent="0.2">
      <c r="A794" s="11"/>
      <c r="B794" s="11"/>
      <c r="C794" s="11"/>
      <c r="D794" s="10"/>
    </row>
    <row r="795" spans="1:4" ht="12.75" x14ac:dyDescent="0.2">
      <c r="A795" s="11"/>
      <c r="B795" s="11"/>
      <c r="C795" s="11"/>
      <c r="D795" s="10"/>
    </row>
    <row r="796" spans="1:4" ht="12.75" x14ac:dyDescent="0.2">
      <c r="A796" s="11"/>
      <c r="B796" s="11"/>
      <c r="C796" s="11"/>
      <c r="D796" s="10"/>
    </row>
    <row r="797" spans="1:4" ht="12.75" x14ac:dyDescent="0.2">
      <c r="A797" s="11"/>
      <c r="B797" s="11"/>
      <c r="C797" s="11"/>
      <c r="D797" s="10"/>
    </row>
    <row r="798" spans="1:4" ht="12.75" x14ac:dyDescent="0.2">
      <c r="A798" s="11"/>
      <c r="B798" s="11"/>
      <c r="C798" s="11"/>
      <c r="D798" s="10"/>
    </row>
    <row r="799" spans="1:4" ht="12.75" x14ac:dyDescent="0.2">
      <c r="A799" s="11"/>
      <c r="B799" s="11"/>
      <c r="C799" s="11"/>
      <c r="D799" s="10"/>
    </row>
    <row r="800" spans="1:4" ht="12.75" x14ac:dyDescent="0.2">
      <c r="A800" s="11"/>
      <c r="B800" s="11"/>
      <c r="C800" s="11"/>
      <c r="D800" s="10"/>
    </row>
    <row r="801" spans="1:4" ht="12.75" x14ac:dyDescent="0.2">
      <c r="A801" s="11"/>
      <c r="B801" s="11"/>
      <c r="C801" s="11"/>
      <c r="D801" s="10"/>
    </row>
    <row r="802" spans="1:4" ht="12.75" x14ac:dyDescent="0.2">
      <c r="A802" s="11"/>
      <c r="B802" s="11"/>
      <c r="C802" s="11"/>
      <c r="D802" s="10"/>
    </row>
    <row r="803" spans="1:4" ht="12.75" x14ac:dyDescent="0.2">
      <c r="A803" s="11"/>
      <c r="B803" s="11"/>
      <c r="C803" s="11"/>
      <c r="D803" s="10"/>
    </row>
    <row r="804" spans="1:4" ht="12.75" x14ac:dyDescent="0.2">
      <c r="A804" s="11"/>
      <c r="B804" s="11"/>
      <c r="C804" s="11"/>
      <c r="D804" s="10"/>
    </row>
    <row r="805" spans="1:4" ht="12.75" x14ac:dyDescent="0.2">
      <c r="A805" s="11"/>
      <c r="B805" s="11"/>
      <c r="C805" s="11"/>
      <c r="D805" s="10"/>
    </row>
    <row r="806" spans="1:4" ht="12.75" x14ac:dyDescent="0.2">
      <c r="A806" s="11"/>
      <c r="B806" s="11"/>
      <c r="C806" s="11"/>
      <c r="D806" s="10"/>
    </row>
    <row r="807" spans="1:4" ht="12.75" x14ac:dyDescent="0.2">
      <c r="A807" s="11"/>
      <c r="B807" s="11"/>
      <c r="C807" s="11"/>
      <c r="D807" s="10"/>
    </row>
    <row r="808" spans="1:4" ht="12.75" x14ac:dyDescent="0.2">
      <c r="A808" s="11"/>
      <c r="B808" s="11"/>
      <c r="C808" s="11"/>
      <c r="D808" s="10"/>
    </row>
    <row r="809" spans="1:4" ht="12.75" x14ac:dyDescent="0.2">
      <c r="A809" s="11"/>
      <c r="B809" s="11"/>
      <c r="C809" s="11"/>
      <c r="D809" s="10"/>
    </row>
    <row r="810" spans="1:4" ht="12.75" x14ac:dyDescent="0.2">
      <c r="A810" s="11"/>
      <c r="B810" s="11"/>
      <c r="C810" s="11"/>
      <c r="D810" s="10"/>
    </row>
    <row r="811" spans="1:4" ht="12.75" x14ac:dyDescent="0.2">
      <c r="A811" s="11"/>
      <c r="B811" s="11"/>
      <c r="C811" s="11"/>
      <c r="D811" s="10"/>
    </row>
    <row r="812" spans="1:4" ht="12.75" x14ac:dyDescent="0.2">
      <c r="A812" s="11"/>
      <c r="B812" s="11"/>
      <c r="C812" s="11"/>
      <c r="D812" s="10"/>
    </row>
    <row r="813" spans="1:4" ht="12.75" x14ac:dyDescent="0.2">
      <c r="A813" s="11"/>
      <c r="B813" s="11"/>
      <c r="C813" s="11"/>
      <c r="D813" s="10"/>
    </row>
    <row r="814" spans="1:4" ht="12.75" x14ac:dyDescent="0.2">
      <c r="A814" s="11"/>
      <c r="B814" s="11"/>
      <c r="C814" s="11"/>
      <c r="D814" s="10"/>
    </row>
    <row r="815" spans="1:4" ht="12.75" x14ac:dyDescent="0.2">
      <c r="A815" s="11"/>
      <c r="B815" s="11"/>
      <c r="C815" s="11"/>
      <c r="D815" s="10"/>
    </row>
    <row r="816" spans="1:4" ht="12.75" x14ac:dyDescent="0.2">
      <c r="A816" s="11"/>
      <c r="B816" s="11"/>
      <c r="C816" s="11"/>
      <c r="D816" s="10"/>
    </row>
    <row r="817" spans="1:4" ht="12.75" x14ac:dyDescent="0.2">
      <c r="A817" s="11"/>
      <c r="B817" s="11"/>
      <c r="C817" s="11"/>
      <c r="D817" s="10"/>
    </row>
    <row r="818" spans="1:4" ht="12.75" x14ac:dyDescent="0.2">
      <c r="A818" s="11"/>
      <c r="B818" s="11"/>
      <c r="C818" s="11"/>
      <c r="D818" s="10"/>
    </row>
    <row r="819" spans="1:4" ht="12.75" x14ac:dyDescent="0.2">
      <c r="A819" s="11"/>
      <c r="B819" s="11"/>
      <c r="C819" s="11"/>
      <c r="D819" s="10"/>
    </row>
    <row r="820" spans="1:4" ht="12.75" x14ac:dyDescent="0.2">
      <c r="A820" s="11"/>
      <c r="B820" s="11"/>
      <c r="C820" s="11"/>
      <c r="D820" s="10"/>
    </row>
    <row r="821" spans="1:4" ht="12.75" x14ac:dyDescent="0.2">
      <c r="A821" s="11"/>
      <c r="B821" s="11"/>
      <c r="C821" s="11"/>
      <c r="D821" s="10"/>
    </row>
    <row r="822" spans="1:4" ht="12.75" x14ac:dyDescent="0.2">
      <c r="A822" s="11"/>
      <c r="B822" s="11"/>
      <c r="C822" s="11"/>
      <c r="D822" s="10"/>
    </row>
    <row r="823" spans="1:4" ht="12.75" x14ac:dyDescent="0.2">
      <c r="A823" s="11"/>
      <c r="B823" s="11"/>
      <c r="C823" s="11"/>
      <c r="D823" s="10"/>
    </row>
    <row r="824" spans="1:4" ht="12.75" x14ac:dyDescent="0.2">
      <c r="A824" s="11"/>
      <c r="B824" s="11"/>
      <c r="C824" s="11"/>
      <c r="D824" s="10"/>
    </row>
    <row r="825" spans="1:4" ht="12.75" x14ac:dyDescent="0.2">
      <c r="A825" s="11"/>
      <c r="B825" s="11"/>
      <c r="C825" s="11"/>
      <c r="D825" s="10"/>
    </row>
    <row r="826" spans="1:4" ht="12.75" x14ac:dyDescent="0.2">
      <c r="A826" s="11"/>
      <c r="B826" s="11"/>
      <c r="C826" s="11"/>
      <c r="D826" s="10"/>
    </row>
    <row r="827" spans="1:4" ht="12.75" x14ac:dyDescent="0.2">
      <c r="A827" s="11"/>
      <c r="B827" s="11"/>
      <c r="C827" s="11"/>
      <c r="D827" s="10"/>
    </row>
    <row r="828" spans="1:4" ht="12.75" x14ac:dyDescent="0.2">
      <c r="A828" s="11"/>
      <c r="B828" s="11"/>
      <c r="C828" s="11"/>
      <c r="D828" s="10"/>
    </row>
    <row r="829" spans="1:4" ht="12.75" x14ac:dyDescent="0.2">
      <c r="A829" s="11"/>
      <c r="B829" s="11"/>
      <c r="C829" s="11"/>
      <c r="D829" s="10"/>
    </row>
    <row r="830" spans="1:4" ht="12.75" x14ac:dyDescent="0.2">
      <c r="A830" s="11"/>
      <c r="B830" s="11"/>
      <c r="C830" s="11"/>
      <c r="D830" s="10"/>
    </row>
    <row r="831" spans="1:4" ht="12.75" x14ac:dyDescent="0.2">
      <c r="A831" s="11"/>
      <c r="B831" s="11"/>
      <c r="C831" s="11"/>
      <c r="D831" s="10"/>
    </row>
    <row r="832" spans="1:4" ht="12.75" x14ac:dyDescent="0.2">
      <c r="A832" s="11"/>
      <c r="B832" s="11"/>
      <c r="C832" s="11"/>
      <c r="D832" s="10"/>
    </row>
    <row r="833" spans="1:4" ht="12.75" x14ac:dyDescent="0.2">
      <c r="A833" s="11"/>
      <c r="B833" s="11"/>
      <c r="C833" s="11"/>
      <c r="D833" s="10"/>
    </row>
    <row r="834" spans="1:4" ht="12.75" x14ac:dyDescent="0.2">
      <c r="A834" s="11"/>
      <c r="B834" s="11"/>
      <c r="C834" s="11"/>
      <c r="D834" s="10"/>
    </row>
    <row r="835" spans="1:4" ht="12.75" x14ac:dyDescent="0.2">
      <c r="A835" s="11"/>
      <c r="B835" s="11"/>
      <c r="C835" s="11"/>
      <c r="D835" s="10"/>
    </row>
    <row r="836" spans="1:4" ht="12.75" x14ac:dyDescent="0.2">
      <c r="A836" s="11"/>
      <c r="B836" s="11"/>
      <c r="C836" s="11"/>
      <c r="D836" s="10"/>
    </row>
    <row r="837" spans="1:4" ht="12.75" x14ac:dyDescent="0.2">
      <c r="A837" s="11"/>
      <c r="B837" s="11"/>
      <c r="C837" s="11"/>
      <c r="D837" s="10"/>
    </row>
    <row r="838" spans="1:4" ht="12.75" x14ac:dyDescent="0.2">
      <c r="A838" s="11"/>
      <c r="B838" s="11"/>
      <c r="C838" s="11"/>
      <c r="D838" s="10"/>
    </row>
    <row r="839" spans="1:4" ht="12.75" x14ac:dyDescent="0.2">
      <c r="A839" s="11"/>
      <c r="B839" s="11"/>
      <c r="C839" s="11"/>
      <c r="D839" s="10"/>
    </row>
    <row r="840" spans="1:4" ht="12.75" x14ac:dyDescent="0.2">
      <c r="A840" s="11"/>
      <c r="B840" s="11"/>
      <c r="C840" s="11"/>
      <c r="D840" s="10"/>
    </row>
    <row r="841" spans="1:4" ht="12.75" x14ac:dyDescent="0.2">
      <c r="A841" s="11"/>
      <c r="B841" s="11"/>
      <c r="C841" s="11"/>
      <c r="D841" s="10"/>
    </row>
    <row r="842" spans="1:4" ht="12.75" x14ac:dyDescent="0.2">
      <c r="A842" s="11"/>
      <c r="B842" s="11"/>
      <c r="C842" s="11"/>
      <c r="D842" s="10"/>
    </row>
    <row r="843" spans="1:4" ht="12.75" x14ac:dyDescent="0.2">
      <c r="A843" s="11"/>
      <c r="B843" s="11"/>
      <c r="C843" s="11"/>
      <c r="D843" s="10"/>
    </row>
    <row r="844" spans="1:4" ht="12.75" x14ac:dyDescent="0.2">
      <c r="A844" s="11"/>
      <c r="B844" s="11"/>
      <c r="C844" s="11"/>
      <c r="D844" s="10"/>
    </row>
    <row r="845" spans="1:4" ht="12.75" x14ac:dyDescent="0.2">
      <c r="A845" s="11"/>
      <c r="B845" s="11"/>
      <c r="C845" s="11"/>
      <c r="D845" s="10"/>
    </row>
    <row r="846" spans="1:4" ht="12.75" x14ac:dyDescent="0.2">
      <c r="A846" s="11"/>
      <c r="B846" s="11"/>
      <c r="C846" s="11"/>
      <c r="D846" s="10"/>
    </row>
    <row r="847" spans="1:4" ht="12.75" x14ac:dyDescent="0.2">
      <c r="A847" s="11"/>
      <c r="B847" s="11"/>
      <c r="C847" s="11"/>
      <c r="D847" s="10"/>
    </row>
    <row r="848" spans="1:4" ht="12.75" x14ac:dyDescent="0.2">
      <c r="A848" s="11"/>
      <c r="B848" s="11"/>
      <c r="C848" s="11"/>
      <c r="D848" s="10"/>
    </row>
    <row r="849" spans="1:4" ht="12.75" x14ac:dyDescent="0.2">
      <c r="A849" s="11"/>
      <c r="B849" s="11"/>
      <c r="C849" s="11"/>
      <c r="D849" s="10"/>
    </row>
    <row r="850" spans="1:4" ht="12.75" x14ac:dyDescent="0.2">
      <c r="A850" s="11"/>
      <c r="B850" s="11"/>
      <c r="C850" s="11"/>
      <c r="D850" s="10"/>
    </row>
    <row r="851" spans="1:4" ht="12.75" x14ac:dyDescent="0.2">
      <c r="A851" s="11"/>
      <c r="B851" s="11"/>
      <c r="C851" s="11"/>
      <c r="D851" s="10"/>
    </row>
    <row r="852" spans="1:4" ht="12.75" x14ac:dyDescent="0.2">
      <c r="A852" s="11"/>
      <c r="B852" s="11"/>
      <c r="C852" s="11"/>
      <c r="D852" s="10"/>
    </row>
    <row r="853" spans="1:4" ht="12.75" x14ac:dyDescent="0.2">
      <c r="A853" s="11"/>
      <c r="B853" s="11"/>
      <c r="C853" s="11"/>
      <c r="D853" s="10"/>
    </row>
    <row r="854" spans="1:4" ht="12.75" x14ac:dyDescent="0.2">
      <c r="A854" s="11"/>
      <c r="B854" s="11"/>
      <c r="C854" s="11"/>
      <c r="D854" s="10"/>
    </row>
    <row r="855" spans="1:4" ht="12.75" x14ac:dyDescent="0.2">
      <c r="A855" s="11"/>
      <c r="B855" s="11"/>
      <c r="C855" s="11"/>
      <c r="D855" s="10"/>
    </row>
    <row r="856" spans="1:4" ht="12.75" x14ac:dyDescent="0.2">
      <c r="A856" s="11"/>
      <c r="B856" s="11"/>
      <c r="C856" s="11"/>
      <c r="D856" s="10"/>
    </row>
    <row r="857" spans="1:4" ht="12.75" x14ac:dyDescent="0.2">
      <c r="A857" s="11"/>
      <c r="B857" s="11"/>
      <c r="C857" s="11"/>
      <c r="D857" s="10"/>
    </row>
    <row r="858" spans="1:4" ht="12.75" x14ac:dyDescent="0.2">
      <c r="A858" s="11"/>
      <c r="B858" s="11"/>
      <c r="C858" s="11"/>
      <c r="D858" s="10"/>
    </row>
    <row r="859" spans="1:4" ht="12.75" x14ac:dyDescent="0.2">
      <c r="A859" s="11"/>
      <c r="B859" s="11"/>
      <c r="C859" s="11"/>
      <c r="D859" s="10"/>
    </row>
    <row r="860" spans="1:4" ht="12.75" x14ac:dyDescent="0.2">
      <c r="A860" s="11"/>
      <c r="B860" s="11"/>
      <c r="C860" s="11"/>
      <c r="D860" s="10"/>
    </row>
    <row r="861" spans="1:4" ht="12.75" x14ac:dyDescent="0.2">
      <c r="A861" s="11"/>
      <c r="B861" s="11"/>
      <c r="C861" s="11"/>
      <c r="D861" s="10"/>
    </row>
    <row r="862" spans="1:4" ht="12.75" x14ac:dyDescent="0.2">
      <c r="A862" s="11"/>
      <c r="B862" s="11"/>
      <c r="C862" s="11"/>
      <c r="D862" s="10"/>
    </row>
    <row r="863" spans="1:4" ht="12.75" x14ac:dyDescent="0.2">
      <c r="A863" s="11"/>
      <c r="B863" s="11"/>
      <c r="C863" s="11"/>
      <c r="D863" s="10"/>
    </row>
    <row r="864" spans="1:4" ht="12.75" x14ac:dyDescent="0.2">
      <c r="A864" s="11"/>
      <c r="B864" s="11"/>
      <c r="C864" s="11"/>
      <c r="D864" s="10"/>
    </row>
    <row r="865" spans="1:4" ht="12.75" x14ac:dyDescent="0.2">
      <c r="A865" s="11"/>
      <c r="B865" s="11"/>
      <c r="C865" s="11"/>
      <c r="D865" s="10"/>
    </row>
    <row r="866" spans="1:4" ht="12.75" x14ac:dyDescent="0.2">
      <c r="A866" s="11"/>
      <c r="B866" s="11"/>
      <c r="C866" s="11"/>
      <c r="D866" s="10"/>
    </row>
    <row r="867" spans="1:4" ht="12.75" x14ac:dyDescent="0.2">
      <c r="A867" s="11"/>
      <c r="B867" s="11"/>
      <c r="C867" s="11"/>
      <c r="D867" s="10"/>
    </row>
    <row r="868" spans="1:4" ht="12.75" x14ac:dyDescent="0.2">
      <c r="A868" s="11"/>
      <c r="B868" s="11"/>
      <c r="C868" s="11"/>
      <c r="D868" s="10"/>
    </row>
    <row r="869" spans="1:4" ht="12.75" x14ac:dyDescent="0.2">
      <c r="A869" s="11"/>
      <c r="B869" s="11"/>
      <c r="C869" s="11"/>
      <c r="D869" s="10"/>
    </row>
    <row r="870" spans="1:4" ht="12.75" x14ac:dyDescent="0.2">
      <c r="A870" s="11"/>
      <c r="B870" s="11"/>
      <c r="C870" s="11"/>
      <c r="D870" s="10"/>
    </row>
    <row r="871" spans="1:4" ht="12.75" x14ac:dyDescent="0.2">
      <c r="A871" s="11"/>
      <c r="B871" s="11"/>
      <c r="C871" s="11"/>
      <c r="D871" s="10"/>
    </row>
    <row r="872" spans="1:4" ht="12.75" x14ac:dyDescent="0.2">
      <c r="A872" s="11"/>
      <c r="B872" s="11"/>
      <c r="C872" s="11"/>
      <c r="D872" s="10"/>
    </row>
    <row r="873" spans="1:4" ht="12.75" x14ac:dyDescent="0.2">
      <c r="A873" s="11"/>
      <c r="B873" s="11"/>
      <c r="C873" s="11"/>
      <c r="D873" s="10"/>
    </row>
    <row r="874" spans="1:4" ht="12.75" x14ac:dyDescent="0.2">
      <c r="A874" s="11"/>
      <c r="B874" s="11"/>
      <c r="C874" s="11"/>
      <c r="D874" s="10"/>
    </row>
    <row r="875" spans="1:4" ht="12.75" x14ac:dyDescent="0.2">
      <c r="A875" s="11"/>
      <c r="B875" s="11"/>
      <c r="C875" s="11"/>
      <c r="D875" s="10"/>
    </row>
    <row r="876" spans="1:4" ht="12.75" x14ac:dyDescent="0.2">
      <c r="A876" s="11"/>
      <c r="B876" s="11"/>
      <c r="C876" s="11"/>
      <c r="D876" s="10"/>
    </row>
    <row r="877" spans="1:4" ht="12.75" x14ac:dyDescent="0.2">
      <c r="A877" s="11"/>
      <c r="B877" s="11"/>
      <c r="C877" s="11"/>
      <c r="D877" s="10"/>
    </row>
    <row r="878" spans="1:4" ht="12.75" x14ac:dyDescent="0.2">
      <c r="A878" s="11"/>
      <c r="B878" s="11"/>
      <c r="C878" s="11"/>
      <c r="D878" s="10"/>
    </row>
    <row r="879" spans="1:4" ht="12.75" x14ac:dyDescent="0.2">
      <c r="A879" s="11"/>
      <c r="B879" s="11"/>
      <c r="C879" s="11"/>
      <c r="D879" s="10"/>
    </row>
    <row r="880" spans="1:4" ht="12.75" x14ac:dyDescent="0.2">
      <c r="A880" s="11"/>
      <c r="B880" s="11"/>
      <c r="C880" s="11"/>
      <c r="D880" s="10"/>
    </row>
    <row r="881" spans="1:4" ht="12.75" x14ac:dyDescent="0.2">
      <c r="A881" s="11"/>
      <c r="B881" s="11"/>
      <c r="C881" s="11"/>
      <c r="D881" s="10"/>
    </row>
    <row r="882" spans="1:4" ht="12.75" x14ac:dyDescent="0.2">
      <c r="A882" s="11"/>
      <c r="B882" s="11"/>
      <c r="C882" s="11"/>
      <c r="D882" s="10"/>
    </row>
    <row r="883" spans="1:4" ht="12.75" x14ac:dyDescent="0.2">
      <c r="A883" s="11"/>
      <c r="B883" s="11"/>
      <c r="C883" s="11"/>
      <c r="D883" s="10"/>
    </row>
    <row r="884" spans="1:4" ht="12.75" x14ac:dyDescent="0.2">
      <c r="A884" s="11"/>
      <c r="B884" s="11"/>
      <c r="C884" s="11"/>
      <c r="D884" s="10"/>
    </row>
    <row r="885" spans="1:4" ht="12.75" x14ac:dyDescent="0.2">
      <c r="A885" s="11"/>
      <c r="B885" s="11"/>
      <c r="C885" s="11"/>
      <c r="D885" s="10"/>
    </row>
    <row r="886" spans="1:4" ht="12.75" x14ac:dyDescent="0.2">
      <c r="A886" s="11"/>
      <c r="B886" s="11"/>
      <c r="C886" s="11"/>
      <c r="D886" s="10"/>
    </row>
    <row r="887" spans="1:4" ht="12.75" x14ac:dyDescent="0.2">
      <c r="A887" s="11"/>
      <c r="B887" s="11"/>
      <c r="C887" s="11"/>
      <c r="D887" s="10"/>
    </row>
    <row r="888" spans="1:4" ht="12.75" x14ac:dyDescent="0.2">
      <c r="A888" s="11"/>
      <c r="B888" s="11"/>
      <c r="C888" s="11"/>
      <c r="D888" s="10"/>
    </row>
    <row r="889" spans="1:4" ht="12.75" x14ac:dyDescent="0.2">
      <c r="A889" s="11"/>
      <c r="B889" s="11"/>
      <c r="C889" s="11"/>
      <c r="D889" s="10"/>
    </row>
    <row r="890" spans="1:4" ht="12.75" x14ac:dyDescent="0.2">
      <c r="A890" s="11"/>
      <c r="B890" s="11"/>
      <c r="C890" s="11"/>
      <c r="D890" s="10"/>
    </row>
    <row r="891" spans="1:4" ht="12.75" x14ac:dyDescent="0.2">
      <c r="A891" s="11"/>
      <c r="B891" s="11"/>
      <c r="C891" s="11"/>
      <c r="D891" s="10"/>
    </row>
    <row r="892" spans="1:4" ht="12.75" x14ac:dyDescent="0.2">
      <c r="A892" s="11"/>
      <c r="B892" s="11"/>
      <c r="C892" s="11"/>
      <c r="D892" s="10"/>
    </row>
    <row r="893" spans="1:4" ht="12.75" x14ac:dyDescent="0.2">
      <c r="A893" s="11"/>
      <c r="B893" s="11"/>
      <c r="C893" s="11"/>
      <c r="D893" s="10"/>
    </row>
    <row r="894" spans="1:4" ht="12.75" x14ac:dyDescent="0.2">
      <c r="A894" s="11"/>
      <c r="B894" s="11"/>
      <c r="C894" s="11"/>
      <c r="D894" s="10"/>
    </row>
    <row r="895" spans="1:4" ht="12.75" x14ac:dyDescent="0.2">
      <c r="A895" s="11"/>
      <c r="B895" s="11"/>
      <c r="C895" s="11"/>
      <c r="D895" s="10"/>
    </row>
    <row r="896" spans="1:4" ht="12.75" x14ac:dyDescent="0.2">
      <c r="A896" s="11"/>
      <c r="B896" s="11"/>
      <c r="C896" s="11"/>
      <c r="D896" s="10"/>
    </row>
    <row r="897" spans="1:4" ht="12.75" x14ac:dyDescent="0.2">
      <c r="A897" s="11"/>
      <c r="B897" s="11"/>
      <c r="C897" s="11"/>
      <c r="D897" s="10"/>
    </row>
    <row r="898" spans="1:4" ht="12.75" x14ac:dyDescent="0.2">
      <c r="A898" s="11"/>
      <c r="B898" s="11"/>
      <c r="C898" s="11"/>
      <c r="D898" s="10"/>
    </row>
    <row r="899" spans="1:4" ht="12.75" x14ac:dyDescent="0.2">
      <c r="A899" s="11"/>
      <c r="B899" s="11"/>
      <c r="C899" s="11"/>
      <c r="D899" s="10"/>
    </row>
    <row r="900" spans="1:4" ht="12.75" x14ac:dyDescent="0.2">
      <c r="A900" s="11"/>
      <c r="B900" s="11"/>
      <c r="C900" s="11"/>
      <c r="D900" s="10"/>
    </row>
    <row r="901" spans="1:4" ht="12.75" x14ac:dyDescent="0.2">
      <c r="A901" s="11"/>
      <c r="B901" s="11"/>
      <c r="C901" s="11"/>
      <c r="D901" s="10"/>
    </row>
    <row r="902" spans="1:4" ht="12.75" x14ac:dyDescent="0.2">
      <c r="A902" s="11"/>
      <c r="B902" s="11"/>
      <c r="C902" s="11"/>
      <c r="D902" s="10"/>
    </row>
    <row r="903" spans="1:4" ht="12.75" x14ac:dyDescent="0.2">
      <c r="A903" s="11"/>
      <c r="B903" s="11"/>
      <c r="C903" s="11"/>
      <c r="D903" s="10"/>
    </row>
    <row r="904" spans="1:4" ht="12.75" x14ac:dyDescent="0.2">
      <c r="A904" s="11"/>
      <c r="B904" s="11"/>
      <c r="C904" s="11"/>
      <c r="D904" s="10"/>
    </row>
    <row r="905" spans="1:4" ht="12.75" x14ac:dyDescent="0.2">
      <c r="A905" s="11"/>
      <c r="B905" s="11"/>
      <c r="C905" s="11"/>
      <c r="D905" s="10"/>
    </row>
    <row r="906" spans="1:4" ht="12.75" x14ac:dyDescent="0.2">
      <c r="A906" s="11"/>
      <c r="B906" s="11"/>
      <c r="C906" s="11"/>
      <c r="D906" s="10"/>
    </row>
    <row r="907" spans="1:4" ht="12.75" x14ac:dyDescent="0.2">
      <c r="A907" s="11"/>
      <c r="B907" s="11"/>
      <c r="C907" s="11"/>
      <c r="D907" s="10"/>
    </row>
    <row r="908" spans="1:4" ht="12.75" x14ac:dyDescent="0.2">
      <c r="A908" s="11"/>
      <c r="B908" s="11"/>
      <c r="C908" s="11"/>
      <c r="D908" s="10"/>
    </row>
    <row r="909" spans="1:4" ht="12.75" x14ac:dyDescent="0.2">
      <c r="A909" s="11"/>
      <c r="B909" s="11"/>
      <c r="C909" s="11"/>
      <c r="D909" s="10"/>
    </row>
    <row r="910" spans="1:4" ht="12.75" x14ac:dyDescent="0.2">
      <c r="A910" s="11"/>
      <c r="B910" s="11"/>
      <c r="C910" s="11"/>
      <c r="D910" s="10"/>
    </row>
    <row r="911" spans="1:4" ht="12.75" x14ac:dyDescent="0.2">
      <c r="A911" s="11"/>
      <c r="B911" s="11"/>
      <c r="C911" s="11"/>
      <c r="D911" s="10"/>
    </row>
    <row r="912" spans="1:4" ht="12.75" x14ac:dyDescent="0.2">
      <c r="A912" s="11"/>
      <c r="B912" s="11"/>
      <c r="C912" s="11"/>
      <c r="D912" s="10"/>
    </row>
    <row r="913" spans="1:4" ht="12.75" x14ac:dyDescent="0.2">
      <c r="A913" s="11"/>
      <c r="B913" s="11"/>
      <c r="C913" s="11"/>
      <c r="D913" s="10"/>
    </row>
    <row r="914" spans="1:4" ht="12.75" x14ac:dyDescent="0.2">
      <c r="A914" s="11"/>
      <c r="B914" s="11"/>
      <c r="C914" s="11"/>
      <c r="D914" s="10"/>
    </row>
    <row r="915" spans="1:4" ht="12.75" x14ac:dyDescent="0.2">
      <c r="A915" s="11"/>
      <c r="B915" s="11"/>
      <c r="C915" s="11"/>
      <c r="D915" s="10"/>
    </row>
    <row r="916" spans="1:4" ht="12.75" x14ac:dyDescent="0.2">
      <c r="A916" s="11"/>
      <c r="B916" s="11"/>
      <c r="C916" s="11"/>
      <c r="D916" s="10"/>
    </row>
    <row r="917" spans="1:4" ht="12.75" x14ac:dyDescent="0.2">
      <c r="A917" s="11"/>
      <c r="B917" s="11"/>
      <c r="C917" s="11"/>
      <c r="D917" s="10"/>
    </row>
    <row r="918" spans="1:4" ht="12.75" x14ac:dyDescent="0.2">
      <c r="A918" s="11"/>
      <c r="B918" s="11"/>
      <c r="C918" s="11"/>
      <c r="D918" s="10"/>
    </row>
    <row r="919" spans="1:4" ht="12.75" x14ac:dyDescent="0.2">
      <c r="A919" s="11"/>
      <c r="B919" s="11"/>
      <c r="C919" s="11"/>
      <c r="D919" s="10"/>
    </row>
    <row r="920" spans="1:4" ht="12.75" x14ac:dyDescent="0.2">
      <c r="A920" s="11"/>
      <c r="B920" s="11"/>
      <c r="C920" s="11"/>
      <c r="D920" s="10"/>
    </row>
    <row r="921" spans="1:4" ht="12.75" x14ac:dyDescent="0.2">
      <c r="A921" s="11"/>
      <c r="B921" s="11"/>
      <c r="C921" s="11"/>
      <c r="D921" s="10"/>
    </row>
    <row r="922" spans="1:4" ht="12.75" x14ac:dyDescent="0.2">
      <c r="A922" s="11"/>
      <c r="B922" s="11"/>
      <c r="C922" s="11"/>
      <c r="D922" s="10"/>
    </row>
    <row r="923" spans="1:4" ht="12.75" x14ac:dyDescent="0.2">
      <c r="A923" s="11"/>
      <c r="B923" s="11"/>
      <c r="C923" s="11"/>
      <c r="D923" s="10"/>
    </row>
    <row r="924" spans="1:4" ht="12.75" x14ac:dyDescent="0.2">
      <c r="A924" s="11"/>
      <c r="B924" s="11"/>
      <c r="C924" s="11"/>
      <c r="D924" s="10"/>
    </row>
    <row r="925" spans="1:4" ht="12.75" x14ac:dyDescent="0.2">
      <c r="A925" s="11"/>
      <c r="B925" s="11"/>
      <c r="C925" s="11"/>
      <c r="D925" s="10"/>
    </row>
    <row r="926" spans="1:4" ht="12.75" x14ac:dyDescent="0.2">
      <c r="A926" s="11"/>
      <c r="B926" s="11"/>
      <c r="C926" s="11"/>
      <c r="D926" s="10"/>
    </row>
    <row r="927" spans="1:4" ht="12.75" x14ac:dyDescent="0.2">
      <c r="A927" s="11"/>
      <c r="B927" s="11"/>
      <c r="C927" s="11"/>
      <c r="D927" s="10"/>
    </row>
    <row r="928" spans="1:4" ht="12.75" x14ac:dyDescent="0.2">
      <c r="A928" s="11"/>
      <c r="B928" s="11"/>
      <c r="C928" s="11"/>
      <c r="D928" s="10"/>
    </row>
    <row r="929" spans="1:4" ht="12.75" x14ac:dyDescent="0.2">
      <c r="A929" s="11"/>
      <c r="B929" s="11"/>
      <c r="C929" s="11"/>
      <c r="D929" s="10"/>
    </row>
    <row r="930" spans="1:4" ht="12.75" x14ac:dyDescent="0.2">
      <c r="A930" s="11"/>
      <c r="B930" s="11"/>
      <c r="C930" s="11"/>
      <c r="D930" s="10"/>
    </row>
    <row r="931" spans="1:4" ht="12.75" x14ac:dyDescent="0.2">
      <c r="A931" s="11"/>
      <c r="B931" s="11"/>
      <c r="C931" s="11"/>
      <c r="D931" s="10"/>
    </row>
    <row r="932" spans="1:4" ht="12.75" x14ac:dyDescent="0.2">
      <c r="A932" s="11"/>
      <c r="B932" s="11"/>
      <c r="C932" s="11"/>
      <c r="D932" s="10"/>
    </row>
    <row r="933" spans="1:4" ht="12.75" x14ac:dyDescent="0.2">
      <c r="A933" s="11"/>
      <c r="B933" s="11"/>
      <c r="C933" s="11"/>
      <c r="D933" s="10"/>
    </row>
    <row r="934" spans="1:4" ht="12.75" x14ac:dyDescent="0.2">
      <c r="A934" s="11"/>
      <c r="B934" s="11"/>
      <c r="C934" s="11"/>
      <c r="D934" s="10"/>
    </row>
    <row r="935" spans="1:4" ht="12.75" x14ac:dyDescent="0.2">
      <c r="A935" s="11"/>
      <c r="B935" s="11"/>
      <c r="C935" s="11"/>
      <c r="D935" s="10"/>
    </row>
    <row r="936" spans="1:4" ht="12.75" x14ac:dyDescent="0.2">
      <c r="A936" s="11"/>
      <c r="B936" s="11"/>
      <c r="C936" s="11"/>
      <c r="D936" s="10"/>
    </row>
    <row r="937" spans="1:4" ht="12.75" x14ac:dyDescent="0.2">
      <c r="A937" s="11"/>
      <c r="B937" s="11"/>
      <c r="C937" s="11"/>
      <c r="D937" s="10"/>
    </row>
    <row r="938" spans="1:4" ht="12.75" x14ac:dyDescent="0.2">
      <c r="A938" s="11"/>
      <c r="B938" s="11"/>
      <c r="C938" s="11"/>
      <c r="D938" s="10"/>
    </row>
    <row r="939" spans="1:4" ht="12.75" x14ac:dyDescent="0.2">
      <c r="A939" s="11"/>
      <c r="B939" s="11"/>
      <c r="C939" s="11"/>
      <c r="D939" s="10"/>
    </row>
    <row r="940" spans="1:4" ht="12.75" x14ac:dyDescent="0.2">
      <c r="A940" s="11"/>
      <c r="B940" s="11"/>
      <c r="C940" s="11"/>
      <c r="D940" s="10"/>
    </row>
    <row r="941" spans="1:4" ht="12.75" x14ac:dyDescent="0.2">
      <c r="A941" s="11"/>
      <c r="B941" s="11"/>
      <c r="C941" s="11"/>
      <c r="D941" s="10"/>
    </row>
    <row r="942" spans="1:4" ht="12.75" x14ac:dyDescent="0.2">
      <c r="A942" s="11"/>
      <c r="B942" s="11"/>
      <c r="C942" s="11"/>
      <c r="D942" s="10"/>
    </row>
    <row r="943" spans="1:4" ht="12.75" x14ac:dyDescent="0.2">
      <c r="A943" s="11"/>
      <c r="B943" s="11"/>
      <c r="C943" s="11"/>
      <c r="D943" s="10"/>
    </row>
    <row r="944" spans="1:4" ht="12.75" x14ac:dyDescent="0.2">
      <c r="A944" s="11"/>
      <c r="B944" s="11"/>
      <c r="C944" s="11"/>
      <c r="D944" s="10"/>
    </row>
    <row r="945" spans="1:4" ht="12.75" x14ac:dyDescent="0.2">
      <c r="A945" s="11"/>
      <c r="B945" s="11"/>
      <c r="C945" s="11"/>
      <c r="D945" s="10"/>
    </row>
    <row r="946" spans="1:4" ht="12.75" x14ac:dyDescent="0.2">
      <c r="A946" s="11"/>
      <c r="B946" s="11"/>
      <c r="C946" s="11"/>
      <c r="D946" s="10"/>
    </row>
    <row r="947" spans="1:4" ht="12.75" x14ac:dyDescent="0.2">
      <c r="A947" s="11"/>
      <c r="B947" s="11"/>
      <c r="C947" s="11"/>
      <c r="D947" s="10"/>
    </row>
    <row r="948" spans="1:4" ht="12.75" x14ac:dyDescent="0.2">
      <c r="A948" s="11"/>
      <c r="B948" s="11"/>
      <c r="C948" s="11"/>
      <c r="D948" s="10"/>
    </row>
    <row r="949" spans="1:4" ht="12.75" x14ac:dyDescent="0.2">
      <c r="A949" s="11"/>
      <c r="B949" s="11"/>
      <c r="C949" s="11"/>
      <c r="D949" s="10"/>
    </row>
    <row r="950" spans="1:4" ht="12.75" x14ac:dyDescent="0.2">
      <c r="A950" s="11"/>
      <c r="B950" s="11"/>
      <c r="C950" s="11"/>
      <c r="D950" s="10"/>
    </row>
    <row r="951" spans="1:4" ht="12.75" x14ac:dyDescent="0.2">
      <c r="A951" s="11"/>
      <c r="B951" s="11"/>
      <c r="C951" s="11"/>
      <c r="D951" s="10"/>
    </row>
    <row r="952" spans="1:4" ht="12.75" x14ac:dyDescent="0.2">
      <c r="A952" s="11"/>
      <c r="B952" s="11"/>
      <c r="C952" s="11"/>
      <c r="D952" s="10"/>
    </row>
    <row r="953" spans="1:4" ht="12.75" x14ac:dyDescent="0.2">
      <c r="A953" s="11"/>
      <c r="B953" s="11"/>
      <c r="C953" s="11"/>
      <c r="D953" s="10"/>
    </row>
    <row r="954" spans="1:4" ht="12.75" x14ac:dyDescent="0.2">
      <c r="A954" s="11"/>
      <c r="B954" s="11"/>
      <c r="C954" s="11"/>
      <c r="D954" s="10"/>
    </row>
    <row r="955" spans="1:4" ht="12.75" x14ac:dyDescent="0.2">
      <c r="A955" s="11"/>
      <c r="B955" s="11"/>
      <c r="C955" s="11"/>
      <c r="D955" s="10"/>
    </row>
    <row r="956" spans="1:4" ht="12.75" x14ac:dyDescent="0.2">
      <c r="A956" s="11"/>
      <c r="B956" s="11"/>
      <c r="C956" s="11"/>
      <c r="D956" s="10"/>
    </row>
    <row r="957" spans="1:4" ht="12.75" x14ac:dyDescent="0.2">
      <c r="A957" s="11"/>
      <c r="B957" s="11"/>
      <c r="C957" s="11"/>
      <c r="D957" s="10"/>
    </row>
    <row r="958" spans="1:4" ht="12.75" x14ac:dyDescent="0.2">
      <c r="A958" s="11"/>
      <c r="B958" s="11"/>
      <c r="C958" s="11"/>
      <c r="D958" s="10"/>
    </row>
    <row r="959" spans="1:4" ht="12.75" x14ac:dyDescent="0.2">
      <c r="A959" s="11"/>
      <c r="B959" s="11"/>
      <c r="C959" s="11"/>
      <c r="D959" s="10"/>
    </row>
    <row r="960" spans="1:4" ht="12.75" x14ac:dyDescent="0.2">
      <c r="A960" s="11"/>
      <c r="B960" s="11"/>
      <c r="C960" s="11"/>
      <c r="D960" s="10"/>
    </row>
    <row r="961" spans="1:4" ht="12.75" x14ac:dyDescent="0.2">
      <c r="A961" s="11"/>
      <c r="B961" s="11"/>
      <c r="C961" s="11"/>
      <c r="D961" s="10"/>
    </row>
    <row r="962" spans="1:4" ht="12.75" x14ac:dyDescent="0.2">
      <c r="A962" s="11"/>
      <c r="B962" s="11"/>
      <c r="C962" s="11"/>
      <c r="D962" s="10"/>
    </row>
    <row r="963" spans="1:4" ht="12.75" x14ac:dyDescent="0.2">
      <c r="A963" s="11"/>
      <c r="B963" s="11"/>
      <c r="C963" s="11"/>
      <c r="D963" s="10"/>
    </row>
    <row r="964" spans="1:4" ht="12.75" x14ac:dyDescent="0.2">
      <c r="A964" s="11"/>
      <c r="B964" s="11"/>
      <c r="C964" s="11"/>
      <c r="D964" s="10"/>
    </row>
    <row r="965" spans="1:4" ht="12.75" x14ac:dyDescent="0.2">
      <c r="A965" s="11"/>
      <c r="B965" s="11"/>
      <c r="C965" s="11"/>
      <c r="D965" s="10"/>
    </row>
    <row r="966" spans="1:4" ht="12.75" x14ac:dyDescent="0.2">
      <c r="A966" s="11"/>
      <c r="B966" s="11"/>
      <c r="C966" s="11"/>
      <c r="D966" s="10"/>
    </row>
    <row r="967" spans="1:4" ht="12.75" x14ac:dyDescent="0.2">
      <c r="A967" s="11"/>
      <c r="B967" s="11"/>
      <c r="C967" s="11"/>
      <c r="D967" s="10"/>
    </row>
    <row r="968" spans="1:4" ht="12.75" x14ac:dyDescent="0.2">
      <c r="A968" s="11"/>
      <c r="B968" s="11"/>
      <c r="C968" s="11"/>
      <c r="D968" s="10"/>
    </row>
    <row r="969" spans="1:4" ht="12.75" x14ac:dyDescent="0.2">
      <c r="A969" s="11"/>
      <c r="B969" s="11"/>
      <c r="C969" s="11"/>
      <c r="D969" s="10"/>
    </row>
    <row r="970" spans="1:4" ht="12.75" x14ac:dyDescent="0.2">
      <c r="A970" s="11"/>
      <c r="B970" s="11"/>
      <c r="C970" s="11"/>
      <c r="D970" s="10"/>
    </row>
    <row r="971" spans="1:4" ht="12.75" x14ac:dyDescent="0.2">
      <c r="A971" s="11"/>
      <c r="B971" s="11"/>
      <c r="C971" s="11"/>
      <c r="D971" s="10"/>
    </row>
    <row r="972" spans="1:4" ht="12.75" x14ac:dyDescent="0.2">
      <c r="A972" s="11"/>
      <c r="B972" s="11"/>
      <c r="C972" s="11"/>
      <c r="D972" s="10"/>
    </row>
    <row r="973" spans="1:4" ht="12.75" x14ac:dyDescent="0.2">
      <c r="A973" s="11"/>
      <c r="B973" s="11"/>
      <c r="C973" s="11"/>
      <c r="D973" s="10"/>
    </row>
    <row r="974" spans="1:4" ht="12.75" x14ac:dyDescent="0.2">
      <c r="A974" s="11"/>
      <c r="B974" s="11"/>
      <c r="C974" s="11"/>
      <c r="D974" s="10"/>
    </row>
    <row r="975" spans="1:4" ht="12.75" x14ac:dyDescent="0.2">
      <c r="A975" s="11"/>
      <c r="B975" s="11"/>
      <c r="C975" s="11"/>
      <c r="D975" s="10"/>
    </row>
    <row r="976" spans="1:4" ht="12.75" x14ac:dyDescent="0.2">
      <c r="A976" s="11"/>
      <c r="B976" s="11"/>
      <c r="C976" s="11"/>
      <c r="D976" s="10"/>
    </row>
    <row r="977" spans="1:4" ht="12.75" x14ac:dyDescent="0.2">
      <c r="A977" s="11"/>
      <c r="B977" s="11"/>
      <c r="C977" s="11"/>
      <c r="D977" s="10"/>
    </row>
    <row r="978" spans="1:4" ht="12.75" x14ac:dyDescent="0.2">
      <c r="A978" s="11"/>
      <c r="B978" s="11"/>
      <c r="C978" s="11"/>
      <c r="D978" s="10"/>
    </row>
    <row r="979" spans="1:4" ht="12.75" x14ac:dyDescent="0.2">
      <c r="A979" s="11"/>
      <c r="B979" s="11"/>
      <c r="C979" s="11"/>
      <c r="D979" s="10"/>
    </row>
    <row r="980" spans="1:4" ht="12.75" x14ac:dyDescent="0.2">
      <c r="A980" s="11"/>
      <c r="B980" s="11"/>
      <c r="C980" s="11"/>
      <c r="D980" s="10"/>
    </row>
    <row r="981" spans="1:4" ht="12.75" x14ac:dyDescent="0.2">
      <c r="A981" s="11"/>
      <c r="B981" s="11"/>
      <c r="C981" s="11"/>
      <c r="D981" s="10"/>
    </row>
    <row r="982" spans="1:4" ht="12.75" x14ac:dyDescent="0.2">
      <c r="A982" s="11"/>
      <c r="B982" s="11"/>
      <c r="C982" s="11"/>
      <c r="D982" s="10"/>
    </row>
    <row r="983" spans="1:4" ht="12.75" x14ac:dyDescent="0.2">
      <c r="A983" s="11"/>
      <c r="B983" s="11"/>
      <c r="C983" s="11"/>
      <c r="D983" s="10"/>
    </row>
    <row r="984" spans="1:4" ht="12.75" x14ac:dyDescent="0.2">
      <c r="A984" s="11"/>
      <c r="B984" s="11"/>
      <c r="C984" s="11"/>
      <c r="D984" s="10"/>
    </row>
    <row r="985" spans="1:4" ht="12.75" x14ac:dyDescent="0.2">
      <c r="A985" s="11"/>
      <c r="B985" s="11"/>
      <c r="C985" s="11"/>
      <c r="D985" s="10"/>
    </row>
    <row r="986" spans="1:4" ht="12.75" x14ac:dyDescent="0.2">
      <c r="A986" s="11"/>
      <c r="B986" s="11"/>
      <c r="C986" s="11"/>
      <c r="D986" s="10"/>
    </row>
    <row r="987" spans="1:4" ht="12.75" x14ac:dyDescent="0.2">
      <c r="A987" s="11"/>
      <c r="B987" s="11"/>
      <c r="C987" s="11"/>
      <c r="D987" s="10"/>
    </row>
    <row r="988" spans="1:4" ht="12.75" x14ac:dyDescent="0.2">
      <c r="A988" s="11"/>
      <c r="B988" s="11"/>
      <c r="C988" s="11"/>
      <c r="D988" s="10"/>
    </row>
    <row r="989" spans="1:4" ht="12.75" x14ac:dyDescent="0.2">
      <c r="A989" s="11"/>
      <c r="B989" s="11"/>
      <c r="C989" s="11"/>
      <c r="D989" s="10"/>
    </row>
    <row r="990" spans="1:4" ht="12.75" x14ac:dyDescent="0.2">
      <c r="A990" s="11"/>
      <c r="B990" s="11"/>
      <c r="C990" s="11"/>
      <c r="D990" s="10"/>
    </row>
    <row r="991" spans="1:4" ht="12.75" x14ac:dyDescent="0.2">
      <c r="A991" s="11"/>
      <c r="B991" s="11"/>
      <c r="C991" s="11"/>
      <c r="D991" s="10"/>
    </row>
    <row r="992" spans="1:4" ht="12.75" x14ac:dyDescent="0.2">
      <c r="A992" s="11"/>
      <c r="B992" s="11"/>
      <c r="C992" s="11"/>
      <c r="D992" s="10"/>
    </row>
    <row r="993" spans="1:4" ht="12.75" x14ac:dyDescent="0.2">
      <c r="A993" s="11"/>
      <c r="B993" s="11"/>
      <c r="C993" s="11"/>
      <c r="D993" s="10"/>
    </row>
    <row r="994" spans="1:4" ht="12.75" x14ac:dyDescent="0.2">
      <c r="A994" s="11"/>
      <c r="B994" s="11"/>
      <c r="C994" s="11"/>
      <c r="D994" s="10"/>
    </row>
    <row r="995" spans="1:4" ht="12.75" x14ac:dyDescent="0.2">
      <c r="A995" s="11"/>
      <c r="B995" s="11"/>
      <c r="C995" s="11"/>
      <c r="D995" s="10"/>
    </row>
    <row r="996" spans="1:4" ht="12.75" x14ac:dyDescent="0.2">
      <c r="A996" s="11"/>
      <c r="B996" s="11"/>
      <c r="C996" s="11"/>
      <c r="D996" s="10"/>
    </row>
    <row r="997" spans="1:4" ht="12.75" x14ac:dyDescent="0.2">
      <c r="A997" s="11"/>
      <c r="B997" s="11"/>
      <c r="C997" s="11"/>
      <c r="D997" s="10"/>
    </row>
    <row r="998" spans="1:4" ht="12.75" x14ac:dyDescent="0.2">
      <c r="A998" s="11"/>
      <c r="B998" s="11"/>
      <c r="C998" s="11"/>
      <c r="D998" s="10"/>
    </row>
    <row r="999" spans="1:4" ht="12.75" x14ac:dyDescent="0.2">
      <c r="A999" s="11"/>
      <c r="B999" s="11"/>
      <c r="C999" s="11"/>
      <c r="D999" s="10"/>
    </row>
    <row r="1000" spans="1:4" ht="12.75" x14ac:dyDescent="0.2">
      <c r="A1000" s="11"/>
      <c r="B1000" s="11"/>
      <c r="C1000" s="11"/>
      <c r="D1000" s="10"/>
    </row>
    <row r="1001" spans="1:4" ht="12.75" x14ac:dyDescent="0.2">
      <c r="A1001" s="11"/>
      <c r="B1001" s="11"/>
      <c r="C1001" s="11"/>
      <c r="D1001" s="10"/>
    </row>
    <row r="1002" spans="1:4" ht="12.75" x14ac:dyDescent="0.2">
      <c r="A1002" s="11"/>
      <c r="B1002" s="11"/>
      <c r="C1002" s="11"/>
      <c r="D1002" s="10"/>
    </row>
    <row r="1003" spans="1:4" ht="12.75" x14ac:dyDescent="0.2">
      <c r="A1003" s="11"/>
      <c r="B1003" s="11"/>
      <c r="C1003" s="11"/>
      <c r="D1003" s="10"/>
    </row>
    <row r="1004" spans="1:4" ht="12.75" x14ac:dyDescent="0.2">
      <c r="A1004" s="11"/>
      <c r="B1004" s="11"/>
      <c r="C1004" s="11"/>
      <c r="D1004" s="10"/>
    </row>
    <row r="1005" spans="1:4" ht="12.75" x14ac:dyDescent="0.2">
      <c r="A1005" s="11"/>
      <c r="B1005" s="11"/>
      <c r="C1005" s="11"/>
      <c r="D1005" s="10"/>
    </row>
    <row r="1006" spans="1:4" ht="12.75" x14ac:dyDescent="0.2">
      <c r="A1006" s="11"/>
      <c r="B1006" s="11"/>
      <c r="C1006" s="11"/>
      <c r="D1006" s="10"/>
    </row>
    <row r="1007" spans="1:4" ht="12.75" x14ac:dyDescent="0.2">
      <c r="A1007" s="11"/>
      <c r="B1007" s="11"/>
      <c r="C1007" s="11"/>
      <c r="D1007" s="10"/>
    </row>
    <row r="1008" spans="1:4" ht="12.75" x14ac:dyDescent="0.2">
      <c r="A1008" s="11"/>
      <c r="B1008" s="11"/>
      <c r="C1008" s="11"/>
      <c r="D1008" s="10"/>
    </row>
    <row r="1009" spans="1:4" ht="12.75" x14ac:dyDescent="0.2">
      <c r="A1009" s="11"/>
      <c r="B1009" s="11"/>
      <c r="C1009" s="11"/>
      <c r="D1009" s="10"/>
    </row>
    <row r="1010" spans="1:4" ht="12.75" x14ac:dyDescent="0.2">
      <c r="A1010" s="11"/>
      <c r="B1010" s="11"/>
      <c r="C1010" s="11"/>
      <c r="D1010" s="10"/>
    </row>
    <row r="1011" spans="1:4" ht="12.75" x14ac:dyDescent="0.2">
      <c r="A1011" s="11"/>
      <c r="B1011" s="11"/>
      <c r="C1011" s="11"/>
      <c r="D1011" s="10"/>
    </row>
    <row r="1012" spans="1:4" ht="12.75" x14ac:dyDescent="0.2">
      <c r="A1012" s="11"/>
      <c r="B1012" s="11"/>
      <c r="C1012" s="11"/>
      <c r="D1012" s="10"/>
    </row>
    <row r="1013" spans="1:4" ht="12.75" x14ac:dyDescent="0.2">
      <c r="A1013" s="11"/>
      <c r="B1013" s="11"/>
      <c r="C1013" s="11"/>
      <c r="D1013" s="10"/>
    </row>
    <row r="1014" spans="1:4" ht="12.75" x14ac:dyDescent="0.2">
      <c r="A1014" s="11"/>
      <c r="B1014" s="11"/>
      <c r="C1014" s="11"/>
      <c r="D1014" s="10"/>
    </row>
    <row r="1015" spans="1:4" ht="12.75" x14ac:dyDescent="0.2">
      <c r="A1015" s="11"/>
      <c r="B1015" s="11"/>
      <c r="C1015" s="11"/>
      <c r="D1015" s="10"/>
    </row>
    <row r="1016" spans="1:4" ht="12.75" x14ac:dyDescent="0.2">
      <c r="A1016" s="11"/>
      <c r="B1016" s="11"/>
      <c r="C1016" s="11"/>
      <c r="D1016" s="10"/>
    </row>
    <row r="1017" spans="1:4" ht="12.75" x14ac:dyDescent="0.2">
      <c r="A1017" s="11"/>
      <c r="B1017" s="11"/>
      <c r="C1017" s="11"/>
      <c r="D1017" s="10"/>
    </row>
    <row r="1018" spans="1:4" ht="12.75" x14ac:dyDescent="0.2">
      <c r="A1018" s="11"/>
      <c r="B1018" s="11"/>
      <c r="C1018" s="11"/>
      <c r="D1018" s="10"/>
    </row>
    <row r="1019" spans="1:4" ht="12.75" x14ac:dyDescent="0.2">
      <c r="A1019" s="11"/>
      <c r="B1019" s="11"/>
      <c r="C1019" s="11"/>
      <c r="D1019" s="10"/>
    </row>
    <row r="1020" spans="1:4" ht="12.75" x14ac:dyDescent="0.2">
      <c r="A1020" s="11"/>
      <c r="B1020" s="11"/>
      <c r="C1020" s="11"/>
      <c r="D1020" s="10"/>
    </row>
    <row r="1021" spans="1:4" ht="12.75" x14ac:dyDescent="0.2">
      <c r="A1021" s="11"/>
      <c r="B1021" s="11"/>
      <c r="C1021" s="11"/>
      <c r="D1021" s="10"/>
    </row>
    <row r="1022" spans="1:4" ht="12.75" x14ac:dyDescent="0.2">
      <c r="A1022" s="11"/>
      <c r="B1022" s="11"/>
      <c r="C1022" s="11"/>
      <c r="D1022" s="10"/>
    </row>
    <row r="1023" spans="1:4" ht="12.75" x14ac:dyDescent="0.2">
      <c r="A1023" s="11"/>
      <c r="B1023" s="11"/>
      <c r="C1023" s="11"/>
      <c r="D1023" s="10"/>
    </row>
  </sheetData>
  <autoFilter ref="A1:D1023" xr:uid="{00000000-0009-0000-0000-000000000000}">
    <sortState xmlns:xlrd2="http://schemas.microsoft.com/office/spreadsheetml/2017/richdata2" ref="A2:D1023">
      <sortCondition ref="B1:B1023"/>
      <sortCondition ref="C1:C1023"/>
    </sortState>
  </autoFilter>
  <conditionalFormatting sqref="C2:C1023">
    <cfRule type="expression" dxfId="0" priority="8">
      <formula>AND(D2&lt;&gt;"", COUNTIF($C$2:$C$1646, D2) &gt; 1)</formula>
    </cfRule>
  </conditionalFormatting>
  <dataValidations count="1">
    <dataValidation type="list" allowBlank="1" showErrorMessage="1" sqref="D2:D1023" xr:uid="{00000000-0002-0000-0000-000004000000}">
      <formula1>"Débora Ribeiro,Felipe,Franciane,Isadora,Micheline,Patricia"</formula1>
    </dataValidation>
  </dataValidations>
  <hyperlinks>
    <hyperlink ref="E2" r:id="rId1" xr:uid="{DAC99393-47D1-400A-B143-D0F5A421143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X585"/>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9.42578125" customWidth="1"/>
    <col min="2" max="2" width="18.5703125" customWidth="1"/>
    <col min="3" max="3" width="19.42578125" customWidth="1"/>
    <col min="12" max="17" width="12.5703125" hidden="1"/>
    <col min="24" max="24" width="38.5703125" customWidth="1"/>
  </cols>
  <sheetData>
    <row r="1" spans="1:24" x14ac:dyDescent="0.2">
      <c r="A1" s="3" t="str">
        <f ca="1">IFERROR(__xludf.DUMMYFUNCTION("IMPORTRANGE(""https://docs.google.com/spreadsheets/d/1JfVDYOq9Wcf4NrwW-4rUtkdhDanQsPL_IG5MbvxjjDA/edit?gid=620685855#gid=620685855"",""PAD!B2:y586"")"),"Inquérito")</f>
        <v>Inquérito</v>
      </c>
      <c r="B1" s="3" t="str">
        <f ca="1">IFERROR(__xludf.DUMMYFUNCTION("""COMPUTED_VALUE"""),"Processo")</f>
        <v>Processo</v>
      </c>
      <c r="C1" s="3" t="str">
        <f ca="1">IFERROR(__xludf.DUMMYFUNCTION("""COMPUTED_VALUE"""),"Denunciados")</f>
        <v>Denunciados</v>
      </c>
      <c r="D1" s="3" t="str">
        <f ca="1">IFERROR(__xludf.DUMMYFUNCTION("""COMPUTED_VALUE"""),"Opções1")</f>
        <v>Opções1</v>
      </c>
      <c r="E1" s="3" t="str">
        <f ca="1">IFERROR(__xludf.DUMMYFUNCTION("""COMPUTED_VALUE"""),"Temas da Integridade")</f>
        <v>Temas da Integridade</v>
      </c>
      <c r="F1" s="3" t="str">
        <f ca="1">IFERROR(__xludf.DUMMYFUNCTION("""COMPUTED_VALUE"""),"Opções2")</f>
        <v>Opções2</v>
      </c>
      <c r="G1" s="3" t="str">
        <f ca="1">IFERROR(__xludf.DUMMYFUNCTION("""COMPUTED_VALUE"""),"Classificação 
dos Objetos")</f>
        <v>Classificação 
dos Objetos</v>
      </c>
      <c r="H1" s="3" t="str">
        <f ca="1">IFERROR(__xludf.DUMMYFUNCTION("""COMPUTED_VALUE"""),"Objeto")</f>
        <v>Objeto</v>
      </c>
      <c r="I1" s="3" t="str">
        <f ca="1">IFERROR(__xludf.DUMMYFUNCTION("""COMPUTED_VALUE"""),"Suspensão preventiva?")</f>
        <v>Suspensão preventiva?</v>
      </c>
      <c r="J1" s="3" t="str">
        <f ca="1">IFERROR(__xludf.DUMMYFUNCTION("""COMPUTED_VALUE"""),"Data  despacho do Reitor (autorizando a abertura)")</f>
        <v>Data  despacho do Reitor (autorizando a abertura)</v>
      </c>
      <c r="K1" s="3" t="str">
        <f ca="1">IFERROR(__xludf.DUMMYFUNCTION("""COMPUTED_VALUE"""),"Publicação em
 DOERJ")</f>
        <v>Publicação em
 DOERJ</v>
      </c>
      <c r="L1" s="3" t="str">
        <f ca="1">IFERROR(__xludf.DUMMYFUNCTION("""COMPUTED_VALUE"""),"Prazo máximo para conclusão do PAD.
(180 dias)")</f>
        <v>Prazo máximo para conclusão do PAD.
(180 dias)</v>
      </c>
      <c r="M1" s="3" t="str">
        <f ca="1">IFERROR(__xludf.DUMMYFUNCTION("""COMPUTED_VALUE"""),"Início contagem dos 2 a 5 anos.")</f>
        <v>Início contagem dos 2 a 5 anos.</v>
      </c>
      <c r="N1" s="3" t="str">
        <f ca="1">IFERROR(__xludf.DUMMYFUNCTION("""COMPUTED_VALUE"""),"Dias que faltam para 2 anos")</f>
        <v>Dias que faltam para 2 anos</v>
      </c>
      <c r="O1" s="3" t="str">
        <f ca="1">IFERROR(__xludf.DUMMYFUNCTION("""COMPUTED_VALUE"""),"2 anos ")</f>
        <v xml:space="preserve">2 anos </v>
      </c>
      <c r="P1" s="3" t="str">
        <f ca="1">IFERROR(__xludf.DUMMYFUNCTION("""COMPUTED_VALUE"""),"Dias que faltam para 5 anos")</f>
        <v>Dias que faltam para 5 anos</v>
      </c>
      <c r="Q1" s="3" t="str">
        <f ca="1">IFERROR(__xludf.DUMMYFUNCTION("""COMPUTED_VALUE"""),"5 anos ")</f>
        <v xml:space="preserve">5 anos </v>
      </c>
      <c r="R1" s="3" t="str">
        <f ca="1">IFERROR(__xludf.DUMMYFUNCTION("""COMPUTED_VALUE"""),"Presidente")</f>
        <v>Presidente</v>
      </c>
      <c r="S1" s="3" t="str">
        <f ca="1">IFERROR(__xludf.DUMMYFUNCTION("""COMPUTED_VALUE"""),"Secretário")</f>
        <v>Secretário</v>
      </c>
      <c r="T1" s="3" t="str">
        <f ca="1">IFERROR(__xludf.DUMMYFUNCTION("""COMPUTED_VALUE"""),"Vogal")</f>
        <v>Vogal</v>
      </c>
      <c r="U1" s="3" t="str">
        <f ca="1">IFERROR(__xludf.DUMMYFUNCTION("""COMPUTED_VALUE"""),"Vogal")</f>
        <v>Vogal</v>
      </c>
      <c r="V1" s="3" t="str">
        <f ca="1">IFERROR(__xludf.DUMMYFUNCTION("""COMPUTED_VALUE"""),"Houve participação de defensor dativo em algum momento?")</f>
        <v>Houve participação de defensor dativo em algum momento?</v>
      </c>
      <c r="W1" s="3" t="str">
        <f ca="1">IFERROR(__xludf.DUMMYFUNCTION("""COMPUTED_VALUE"""),"Processo que gerou o PAD")</f>
        <v>Processo que gerou o PAD</v>
      </c>
      <c r="X1" s="3" t="str">
        <f ca="1">IFERROR(__xludf.DUMMYFUNCTION("""COMPUTED_VALUE"""),"Fase atual do Processo")</f>
        <v>Fase atual do Processo</v>
      </c>
    </row>
    <row r="2" spans="1:24" x14ac:dyDescent="0.2">
      <c r="A2" s="3" t="str">
        <f ca="1">IFERROR(__xludf.DUMMYFUNCTION("""COMPUTED_VALUE"""),"302/2019")</f>
        <v>302/2019</v>
      </c>
      <c r="B2" s="3" t="str">
        <f ca="1">IFERROR(__xludf.DUMMYFUNCTION("""COMPUTED_VALUE"""),"E-26/007/102300/2018")</f>
        <v>E-26/007/102300/2018</v>
      </c>
      <c r="C2" s="3" t="str">
        <f ca="1">IFERROR(__xludf.DUMMYFUNCTION("""COMPUTED_VALUE"""),"Rodrigo Otávio Carvalho de Oliveira, 38355-4")</f>
        <v>Rodrigo Otávio Carvalho de Oliveira, 38355-4</v>
      </c>
      <c r="D2" s="3" t="str">
        <f ca="1">IFERROR(__xludf.DUMMYFUNCTION("""COMPUTED_VALUE"""),"Desvio de conduta")</f>
        <v>Desvio de conduta</v>
      </c>
      <c r="E2" s="3" t="str">
        <f ca="1">IFERROR(__xludf.DUMMYFUNCTION("""COMPUTED_VALUE"""),"Desvio de conduta")</f>
        <v>Desvio de conduta</v>
      </c>
      <c r="F2" s="3" t="str">
        <f ca="1">IFERROR(__xludf.DUMMYFUNCTION("""COMPUTED_VALUE"""),"Abandono de cargo/ Inassiduidade habitual.")</f>
        <v>Abandono de cargo/ Inassiduidade habitual.</v>
      </c>
      <c r="G2" s="3" t="str">
        <f ca="1">IFERROR(__xludf.DUMMYFUNCTION("""COMPUTED_VALUE"""),"Abandono de cargo/ Inassiduidade habitual")</f>
        <v>Abandono de cargo/ Inassiduidade habitual</v>
      </c>
      <c r="H2" s="3" t="str">
        <f ca="1">IFERROR(__xludf.DUMMYFUNCTION("""COMPUTED_VALUE"""),"Apuração de faltas sucessivas superior a 10 dias")</f>
        <v>Apuração de faltas sucessivas superior a 10 dias</v>
      </c>
      <c r="I2" s="3"/>
      <c r="J2" s="5">
        <f ca="1">IFERROR(__xludf.DUMMYFUNCTION("""COMPUTED_VALUE"""),43495)</f>
        <v>43495</v>
      </c>
      <c r="K2" s="5">
        <f ca="1">IFERROR(__xludf.DUMMYFUNCTION("""COMPUTED_VALUE"""),43497)</f>
        <v>43497</v>
      </c>
      <c r="L2" s="5">
        <f ca="1">IFERROR(__xludf.DUMMYFUNCTION("""COMPUTED_VALUE"""),43677)</f>
        <v>43677</v>
      </c>
      <c r="M2" s="5">
        <f ca="1">IFERROR(__xludf.DUMMYFUNCTION("""COMPUTED_VALUE"""),43678)</f>
        <v>43678</v>
      </c>
      <c r="N2" s="3" t="str">
        <f ca="1">IFERROR(__xludf.DUMMYFUNCTION("""COMPUTED_VALUE"""),"Finalizado")</f>
        <v>Finalizado</v>
      </c>
      <c r="O2" s="5">
        <f ca="1">IFERROR(__xludf.DUMMYFUNCTION("""COMPUTED_VALUE"""),44409)</f>
        <v>44409</v>
      </c>
      <c r="P2" s="3" t="str">
        <f ca="1">IFERROR(__xludf.DUMMYFUNCTION("""COMPUTED_VALUE"""),"O processo durou 300 dias entre a assinatura do despacho de autorização de abertura do PAD pelo Reitor e a assinatura do despacho de concordância/divergência pelo mesmo.")</f>
        <v>O processo durou 300 dias entre a assinatura do despacho de autorização de abertura do PAD pelo Reitor e a assinatura do despacho de concordância/divergência pelo mesmo.</v>
      </c>
      <c r="Q2" s="5">
        <f ca="1">IFERROR(__xludf.DUMMYFUNCTION("""COMPUTED_VALUE"""),45505)</f>
        <v>45505</v>
      </c>
      <c r="R2" s="3" t="str">
        <f ca="1">IFERROR(__xludf.DUMMYFUNCTION("""COMPUTED_VALUE"""),"Alessandra Abelheira")</f>
        <v>Alessandra Abelheira</v>
      </c>
      <c r="S2" s="3"/>
      <c r="T2" s="3" t="str">
        <f ca="1">IFERROR(__xludf.DUMMYFUNCTION("""COMPUTED_VALUE"""),"Ariane Serpa")</f>
        <v>Ariane Serpa</v>
      </c>
      <c r="U2" s="3" t="str">
        <f ca="1">IFERROR(__xludf.DUMMYFUNCTION("""COMPUTED_VALUE"""),"Julio Mattos")</f>
        <v>Julio Mattos</v>
      </c>
      <c r="V2" s="3"/>
      <c r="W2" s="3" t="str">
        <f ca="1">IFERROR(__xludf.DUMMYFUNCTION("""COMPUTED_VALUE"""),"E-26/007/102300/2018")</f>
        <v>E-26/007/102300/2018</v>
      </c>
      <c r="X2" s="3" t="str">
        <f ca="1">IFERROR(__xludf.DUMMYFUNCTION("""COMPUTED_VALUE"""),"S-Resposta do Reitor/Anotado.")</f>
        <v>S-Resposta do Reitor/Anotado.</v>
      </c>
    </row>
    <row r="3" spans="1:24" x14ac:dyDescent="0.2">
      <c r="A3" s="3" t="str">
        <f ca="1">IFERROR(__xludf.DUMMYFUNCTION("""COMPUTED_VALUE"""),"254/2017")</f>
        <v>254/2017</v>
      </c>
      <c r="B3" s="3" t="str">
        <f ca="1">IFERROR(__xludf.DUMMYFUNCTION("""COMPUTED_VALUE"""),"E-26/007/8844/2015")</f>
        <v>E-26/007/8844/2015</v>
      </c>
      <c r="C3" s="3" t="str">
        <f ca="1">IFERROR(__xludf.DUMMYFUNCTION("""COMPUTED_VALUE"""),"Simone do Carmo Gomes Rocha, 37315-9")</f>
        <v>Simone do Carmo Gomes Rocha, 37315-9</v>
      </c>
      <c r="D3" s="3" t="str">
        <f ca="1">IFERROR(__xludf.DUMMYFUNCTION("""COMPUTED_VALUE"""),"Desvio de conduta")</f>
        <v>Desvio de conduta</v>
      </c>
      <c r="E3" s="3" t="str">
        <f ca="1">IFERROR(__xludf.DUMMYFUNCTION("""COMPUTED_VALUE"""),"Desvio de conduta")</f>
        <v>Desvio de conduta</v>
      </c>
      <c r="F3" s="3" t="str">
        <f ca="1">IFERROR(__xludf.DUMMYFUNCTION("""COMPUTED_VALUE"""),"Abandono de cargo/ Inassiduidade habitual.")</f>
        <v>Abandono de cargo/ Inassiduidade habitual.</v>
      </c>
      <c r="G3" s="3" t="str">
        <f ca="1">IFERROR(__xludf.DUMMYFUNCTION("""COMPUTED_VALUE"""),"Abandono de cargo/ Inassiduidade habitual")</f>
        <v>Abandono de cargo/ Inassiduidade habitual</v>
      </c>
      <c r="H3" s="3" t="str">
        <f ca="1">IFERROR(__xludf.DUMMYFUNCTION("""COMPUTED_VALUE"""),"Apuração de faltas interpoladas superior a 20 dias")</f>
        <v>Apuração de faltas interpoladas superior a 20 dias</v>
      </c>
      <c r="I3" s="3"/>
      <c r="J3" s="5">
        <f ca="1">IFERROR(__xludf.DUMMYFUNCTION("""COMPUTED_VALUE"""),42423)</f>
        <v>42423</v>
      </c>
      <c r="K3" s="5">
        <f ca="1">IFERROR(__xludf.DUMMYFUNCTION("""COMPUTED_VALUE"""),42436)</f>
        <v>42436</v>
      </c>
      <c r="L3" s="5">
        <f ca="1">IFERROR(__xludf.DUMMYFUNCTION("""COMPUTED_VALUE"""),42616)</f>
        <v>42616</v>
      </c>
      <c r="M3" s="5">
        <f ca="1">IFERROR(__xludf.DUMMYFUNCTION("""COMPUTED_VALUE"""),42617)</f>
        <v>42617</v>
      </c>
      <c r="N3" s="3" t="str">
        <f ca="1">IFERROR(__xludf.DUMMYFUNCTION("""COMPUTED_VALUE"""),"Finalizado")</f>
        <v>Finalizado</v>
      </c>
      <c r="O3" s="5">
        <f ca="1">IFERROR(__xludf.DUMMYFUNCTION("""COMPUTED_VALUE"""),43347)</f>
        <v>43347</v>
      </c>
      <c r="P3" s="3" t="str">
        <f ca="1">IFERROR(__xludf.DUMMYFUNCTION("""COMPUTED_VALUE"""),"O processo durou 1358 dias entre a assinatura do despacho de autorização de abertura do PAD pelo Reitor e a assinatura do despacho de concordância/divergência pelo mesmo.")</f>
        <v>O processo durou 1358 dias entre a assinatura do despacho de autorização de abertura do PAD pelo Reitor e a assinatura do despacho de concordância/divergência pelo mesmo.</v>
      </c>
      <c r="Q3" s="5">
        <f ca="1">IFERROR(__xludf.DUMMYFUNCTION("""COMPUTED_VALUE"""),44443)</f>
        <v>44443</v>
      </c>
      <c r="R3" s="3" t="str">
        <f ca="1">IFERROR(__xludf.DUMMYFUNCTION("""COMPUTED_VALUE"""),"Alessandra Abelheira")</f>
        <v>Alessandra Abelheira</v>
      </c>
      <c r="S3" s="3"/>
      <c r="T3" s="3" t="str">
        <f ca="1">IFERROR(__xludf.DUMMYFUNCTION("""COMPUTED_VALUE"""),"Débora Ribeiro")</f>
        <v>Débora Ribeiro</v>
      </c>
      <c r="U3" s="3" t="str">
        <f ca="1">IFERROR(__xludf.DUMMYFUNCTION("""COMPUTED_VALUE"""),"Teresa Jardin")</f>
        <v>Teresa Jardin</v>
      </c>
      <c r="V3" s="3" t="str">
        <f ca="1">IFERROR(__xludf.DUMMYFUNCTION("""COMPUTED_VALUE"""),"Não")</f>
        <v>Não</v>
      </c>
      <c r="W3" s="3" t="str">
        <f ca="1">IFERROR(__xludf.DUMMYFUNCTION("""COMPUTED_VALUE"""),"E-26/007/8844/2015")</f>
        <v>E-26/007/8844/2015</v>
      </c>
      <c r="X3" s="3" t="str">
        <f ca="1">IFERROR(__xludf.DUMMYFUNCTION("""COMPUTED_VALUE"""),"S-Resposta do Reitor/Anotado.")</f>
        <v>S-Resposta do Reitor/Anotado.</v>
      </c>
    </row>
    <row r="4" spans="1:24" x14ac:dyDescent="0.2">
      <c r="A4" s="3" t="str">
        <f ca="1">IFERROR(__xludf.DUMMYFUNCTION("""COMPUTED_VALUE"""),"297/2019")</f>
        <v>297/2019</v>
      </c>
      <c r="B4" s="3" t="str">
        <f ca="1">IFERROR(__xludf.DUMMYFUNCTION("""COMPUTED_VALUE"""),"SEI-260007/012619/2022")</f>
        <v>SEI-260007/012619/2022</v>
      </c>
      <c r="C4" s="3" t="str">
        <f ca="1">IFERROR(__xludf.DUMMYFUNCTION("""COMPUTED_VALUE"""),"Jacqueline Amar, mat 32066-3")</f>
        <v>Jacqueline Amar, mat 32066-3</v>
      </c>
      <c r="D4" s="3" t="str">
        <f ca="1">IFERROR(__xludf.DUMMYFUNCTION("""COMPUTED_VALUE"""),"Desvio de conduta")</f>
        <v>Desvio de conduta</v>
      </c>
      <c r="E4" s="3" t="str">
        <f ca="1">IFERROR(__xludf.DUMMYFUNCTION("""COMPUTED_VALUE"""),"Desvio de conduta")</f>
        <v>Desvio de conduta</v>
      </c>
      <c r="F4" s="3" t="str">
        <f ca="1">IFERROR(__xludf.DUMMYFUNCTION("""COMPUTED_VALUE"""),"Abandono de cargo/ Inassiduidade habitual.")</f>
        <v>Abandono de cargo/ Inassiduidade habitual.</v>
      </c>
      <c r="G4" s="3" t="str">
        <f ca="1">IFERROR(__xludf.DUMMYFUNCTION("""COMPUTED_VALUE"""),"Abandono de cargo/ Inassiduidade habitual")</f>
        <v>Abandono de cargo/ Inassiduidade habitual</v>
      </c>
      <c r="H4" s="3" t="str">
        <f ca="1">IFERROR(__xludf.DUMMYFUNCTION("""COMPUTED_VALUE"""),"Apuração de faltas sucessivas no período de 01/08/2018 a 28/02/2019")</f>
        <v>Apuração de faltas sucessivas no período de 01/08/2018 a 28/02/2019</v>
      </c>
      <c r="I4" s="3"/>
      <c r="J4" s="7">
        <f ca="1">IFERROR(__xludf.DUMMYFUNCTION("""COMPUTED_VALUE"""),43448)</f>
        <v>43448</v>
      </c>
      <c r="K4" s="5">
        <f ca="1">IFERROR(__xludf.DUMMYFUNCTION("""COMPUTED_VALUE"""),43453)</f>
        <v>43453</v>
      </c>
      <c r="L4" s="5">
        <f ca="1">IFERROR(__xludf.DUMMYFUNCTION("""COMPUTED_VALUE"""),43633)</f>
        <v>43633</v>
      </c>
      <c r="M4" s="5">
        <f ca="1">IFERROR(__xludf.DUMMYFUNCTION("""COMPUTED_VALUE"""),43634)</f>
        <v>43634</v>
      </c>
      <c r="N4" s="3" t="str">
        <f ca="1">IFERROR(__xludf.DUMMYFUNCTION("""COMPUTED_VALUE"""),"Finalizado")</f>
        <v>Finalizado</v>
      </c>
      <c r="O4" s="5">
        <f ca="1">IFERROR(__xludf.DUMMYFUNCTION("""COMPUTED_VALUE"""),44365)</f>
        <v>44365</v>
      </c>
      <c r="P4" s="3" t="str">
        <f ca="1">IFERROR(__xludf.DUMMYFUNCTION("""COMPUTED_VALUE"""),"O processo durou 395 dias entre a assinatura do despacho de autorização de abertura do PAD pelo Reitor e a assinatura do despacho de concordância/divergência pelo mesmo.")</f>
        <v>O processo durou 395 dias entre a assinatura do despacho de autorização de abertura do PAD pelo Reitor e a assinatura do despacho de concordância/divergência pelo mesmo.</v>
      </c>
      <c r="Q4" s="5">
        <f ca="1">IFERROR(__xludf.DUMMYFUNCTION("""COMPUTED_VALUE"""),45461)</f>
        <v>45461</v>
      </c>
      <c r="R4" s="3" t="str">
        <f ca="1">IFERROR(__xludf.DUMMYFUNCTION("""COMPUTED_VALUE"""),"Alessandra Abelheira")</f>
        <v>Alessandra Abelheira</v>
      </c>
      <c r="S4" s="3"/>
      <c r="T4" s="3" t="str">
        <f ca="1">IFERROR(__xludf.DUMMYFUNCTION("""COMPUTED_VALUE"""),"Ariane Serpa")</f>
        <v>Ariane Serpa</v>
      </c>
      <c r="U4" s="3" t="str">
        <f ca="1">IFERROR(__xludf.DUMMYFUNCTION("""COMPUTED_VALUE"""),"Teresa Jardin")</f>
        <v>Teresa Jardin</v>
      </c>
      <c r="V4" s="3"/>
      <c r="W4" s="3" t="str">
        <f ca="1">IFERROR(__xludf.DUMMYFUNCTION("""COMPUTED_VALUE"""),"E-26/007/103515/2018")</f>
        <v>E-26/007/103515/2018</v>
      </c>
      <c r="X4" s="3" t="str">
        <f ca="1">IFERROR(__xludf.DUMMYFUNCTION("""COMPUTED_VALUE"""),"S-Resposta do Reitor/Anotado.")</f>
        <v>S-Resposta do Reitor/Anotado.</v>
      </c>
    </row>
    <row r="5" spans="1:24" x14ac:dyDescent="0.2">
      <c r="A5" s="3" t="str">
        <f ca="1">IFERROR(__xludf.DUMMYFUNCTION("""COMPUTED_VALUE"""),"304/2019")</f>
        <v>304/2019</v>
      </c>
      <c r="B5" s="3" t="str">
        <f ca="1">IFERROR(__xludf.DUMMYFUNCTION("""COMPUTED_VALUE"""),"E-26/007/3044/2018")</f>
        <v>E-26/007/3044/2018</v>
      </c>
      <c r="C5" s="3" t="str">
        <f ca="1">IFERROR(__xludf.DUMMYFUNCTION("""COMPUTED_VALUE"""),"Marly Rodrigues Ribeiro, 27043-9")</f>
        <v>Marly Rodrigues Ribeiro, 27043-9</v>
      </c>
      <c r="D5" s="3" t="str">
        <f ca="1">IFERROR(__xludf.DUMMYFUNCTION("""COMPUTED_VALUE"""),"Desvio de conduta")</f>
        <v>Desvio de conduta</v>
      </c>
      <c r="E5" s="3" t="str">
        <f ca="1">IFERROR(__xludf.DUMMYFUNCTION("""COMPUTED_VALUE"""),"Desvio de conduta")</f>
        <v>Desvio de conduta</v>
      </c>
      <c r="F5" s="3" t="str">
        <f ca="1">IFERROR(__xludf.DUMMYFUNCTION("""COMPUTED_VALUE"""),"Abandono de cargo/ Inassiduidade habitual.")</f>
        <v>Abandono de cargo/ Inassiduidade habitual.</v>
      </c>
      <c r="G5" s="3" t="str">
        <f ca="1">IFERROR(__xludf.DUMMYFUNCTION("""COMPUTED_VALUE"""),"Abandono de cargo/ Inassiduidade habitual")</f>
        <v>Abandono de cargo/ Inassiduidade habitual</v>
      </c>
      <c r="H5" s="3" t="str">
        <f ca="1">IFERROR(__xludf.DUMMYFUNCTION("""COMPUTED_VALUE"""),"Apuração de faltas sucessivas superior a 10 dias")</f>
        <v>Apuração de faltas sucessivas superior a 10 dias</v>
      </c>
      <c r="I5" s="3"/>
      <c r="J5" s="5">
        <f ca="1">IFERROR(__xludf.DUMMYFUNCTION("""COMPUTED_VALUE"""),43557)</f>
        <v>43557</v>
      </c>
      <c r="K5" s="5">
        <f ca="1">IFERROR(__xludf.DUMMYFUNCTION("""COMPUTED_VALUE"""),43563)</f>
        <v>43563</v>
      </c>
      <c r="L5" s="5">
        <f ca="1">IFERROR(__xludf.DUMMYFUNCTION("""COMPUTED_VALUE"""),43743)</f>
        <v>43743</v>
      </c>
      <c r="M5" s="5">
        <f ca="1">IFERROR(__xludf.DUMMYFUNCTION("""COMPUTED_VALUE"""),43744)</f>
        <v>43744</v>
      </c>
      <c r="N5" s="3" t="str">
        <f ca="1">IFERROR(__xludf.DUMMYFUNCTION("""COMPUTED_VALUE"""),"Finalizado")</f>
        <v>Finalizado</v>
      </c>
      <c r="O5" s="5">
        <f ca="1">IFERROR(__xludf.DUMMYFUNCTION("""COMPUTED_VALUE"""),44475)</f>
        <v>44475</v>
      </c>
      <c r="P5" s="3" t="str">
        <f ca="1">IFERROR(__xludf.DUMMYFUNCTION("""COMPUTED_VALUE"""),"O processo durou 519 dias entre a assinatura do despacho de autorização de abertura do PAD pelo Reitor e a assinatura do despacho de concordância/divergência pelo mesmo.")</f>
        <v>O processo durou 519 dias entre a assinatura do despacho de autorização de abertura do PAD pelo Reitor e a assinatura do despacho de concordância/divergência pelo mesmo.</v>
      </c>
      <c r="Q5" s="5">
        <f ca="1">IFERROR(__xludf.DUMMYFUNCTION("""COMPUTED_VALUE"""),45571)</f>
        <v>45571</v>
      </c>
      <c r="R5" s="3" t="str">
        <f ca="1">IFERROR(__xludf.DUMMYFUNCTION("""COMPUTED_VALUE"""),"Alessandra Abelheira")</f>
        <v>Alessandra Abelheira</v>
      </c>
      <c r="S5" s="3"/>
      <c r="T5" s="3" t="str">
        <f ca="1">IFERROR(__xludf.DUMMYFUNCTION("""COMPUTED_VALUE"""),"Ariane Serpa")</f>
        <v>Ariane Serpa</v>
      </c>
      <c r="U5" s="3" t="str">
        <f ca="1">IFERROR(__xludf.DUMMYFUNCTION("""COMPUTED_VALUE"""),"Julio Mattos")</f>
        <v>Julio Mattos</v>
      </c>
      <c r="V5" s="3"/>
      <c r="W5" s="3" t="str">
        <f ca="1">IFERROR(__xludf.DUMMYFUNCTION("""COMPUTED_VALUE"""),"E-26/007/3044/2018")</f>
        <v>E-26/007/3044/2018</v>
      </c>
      <c r="X5" s="3" t="str">
        <f ca="1">IFERROR(__xludf.DUMMYFUNCTION("""COMPUTED_VALUE"""),"S-Resposta do Reitor/Anotado.")</f>
        <v>S-Resposta do Reitor/Anotado.</v>
      </c>
    </row>
    <row r="6" spans="1:24" x14ac:dyDescent="0.2">
      <c r="A6" s="3" t="str">
        <f ca="1">IFERROR(__xludf.DUMMYFUNCTION("""COMPUTED_VALUE"""),"300/2019")</f>
        <v>300/2019</v>
      </c>
      <c r="B6" s="3" t="str">
        <f ca="1">IFERROR(__xludf.DUMMYFUNCTION("""COMPUTED_VALUE"""),"E-26/007/3043/2018")</f>
        <v>E-26/007/3043/2018</v>
      </c>
      <c r="C6" s="3" t="str">
        <f ca="1">IFERROR(__xludf.DUMMYFUNCTION("""COMPUTED_VALUE"""),"Ana Clara de Melo Souza Tolentino, 38847-0")</f>
        <v>Ana Clara de Melo Souza Tolentino, 38847-0</v>
      </c>
      <c r="D6" s="3" t="str">
        <f ca="1">IFERROR(__xludf.DUMMYFUNCTION("""COMPUTED_VALUE"""),"Desvio de conduta")</f>
        <v>Desvio de conduta</v>
      </c>
      <c r="E6" s="3" t="str">
        <f ca="1">IFERROR(__xludf.DUMMYFUNCTION("""COMPUTED_VALUE"""),"Desvio de conduta")</f>
        <v>Desvio de conduta</v>
      </c>
      <c r="F6" s="3" t="str">
        <f ca="1">IFERROR(__xludf.DUMMYFUNCTION("""COMPUTED_VALUE"""),"Abandono de cargo/ Inassiduidade habitual.")</f>
        <v>Abandono de cargo/ Inassiduidade habitual.</v>
      </c>
      <c r="G6" s="3" t="str">
        <f ca="1">IFERROR(__xludf.DUMMYFUNCTION("""COMPUTED_VALUE"""),"Abandono de cargo/ Inassiduidade habitual")</f>
        <v>Abandono de cargo/ Inassiduidade habitual</v>
      </c>
      <c r="H6" s="3" t="str">
        <f ca="1">IFERROR(__xludf.DUMMYFUNCTION("""COMPUTED_VALUE"""),"Apuração de faltas sucessivas superior a 10 dias")</f>
        <v>Apuração de faltas sucessivas superior a 10 dias</v>
      </c>
      <c r="I6" s="3"/>
      <c r="J6" s="5">
        <f ca="1">IFERROR(__xludf.DUMMYFUNCTION("""COMPUTED_VALUE"""),43495)</f>
        <v>43495</v>
      </c>
      <c r="K6" s="5">
        <f ca="1">IFERROR(__xludf.DUMMYFUNCTION("""COMPUTED_VALUE"""),43497)</f>
        <v>43497</v>
      </c>
      <c r="L6" s="5">
        <f ca="1">IFERROR(__xludf.DUMMYFUNCTION("""COMPUTED_VALUE"""),43677)</f>
        <v>43677</v>
      </c>
      <c r="M6" s="5">
        <f ca="1">IFERROR(__xludf.DUMMYFUNCTION("""COMPUTED_VALUE"""),43678)</f>
        <v>43678</v>
      </c>
      <c r="N6" s="3" t="str">
        <f ca="1">IFERROR(__xludf.DUMMYFUNCTION("""COMPUTED_VALUE"""),"Finalizado")</f>
        <v>Finalizado</v>
      </c>
      <c r="O6" s="5">
        <f ca="1">IFERROR(__xludf.DUMMYFUNCTION("""COMPUTED_VALUE"""),44409)</f>
        <v>44409</v>
      </c>
      <c r="P6" s="3" t="str">
        <f ca="1">IFERROR(__xludf.DUMMYFUNCTION("""COMPUTED_VALUE"""),"O processo durou 581 dias entre a assinatura do despacho de autorização de abertura do PAD pelo Reitor e a assinatura do despacho de concordância/divergência pelo mesmo.")</f>
        <v>O processo durou 581 dias entre a assinatura do despacho de autorização de abertura do PAD pelo Reitor e a assinatura do despacho de concordância/divergência pelo mesmo.</v>
      </c>
      <c r="Q6" s="5">
        <f ca="1">IFERROR(__xludf.DUMMYFUNCTION("""COMPUTED_VALUE"""),45505)</f>
        <v>45505</v>
      </c>
      <c r="R6" s="3" t="str">
        <f ca="1">IFERROR(__xludf.DUMMYFUNCTION("""COMPUTED_VALUE"""),"Alessandra Abelheira")</f>
        <v>Alessandra Abelheira</v>
      </c>
      <c r="S6" s="3"/>
      <c r="T6" s="3" t="str">
        <f ca="1">IFERROR(__xludf.DUMMYFUNCTION("""COMPUTED_VALUE"""),"Ariane Serpa")</f>
        <v>Ariane Serpa</v>
      </c>
      <c r="U6" s="3" t="str">
        <f ca="1">IFERROR(__xludf.DUMMYFUNCTION("""COMPUTED_VALUE"""),"Teresa Jardin")</f>
        <v>Teresa Jardin</v>
      </c>
      <c r="V6" s="3"/>
      <c r="W6" s="3" t="str">
        <f ca="1">IFERROR(__xludf.DUMMYFUNCTION("""COMPUTED_VALUE"""),"E-26/007/3043/2018")</f>
        <v>E-26/007/3043/2018</v>
      </c>
      <c r="X6" s="3" t="str">
        <f ca="1">IFERROR(__xludf.DUMMYFUNCTION("""COMPUTED_VALUE"""),"S-Resposta do Reitor/Anotado.")</f>
        <v>S-Resposta do Reitor/Anotado.</v>
      </c>
    </row>
    <row r="7" spans="1:24" x14ac:dyDescent="0.2">
      <c r="A7" s="3" t="str">
        <f ca="1">IFERROR(__xludf.DUMMYFUNCTION("""COMPUTED_VALUE"""),"295/2019")</f>
        <v>295/2019</v>
      </c>
      <c r="B7" s="3" t="str">
        <f ca="1">IFERROR(__xludf.DUMMYFUNCTION("""COMPUTED_VALUE"""),"E-26/007/3016/2018")</f>
        <v>E-26/007/3016/2018</v>
      </c>
      <c r="C7" s="3" t="str">
        <f ca="1">IFERROR(__xludf.DUMMYFUNCTION("""COMPUTED_VALUE"""),"Rosane Maria Viana Zaquieu, matr. nº 31363-5")</f>
        <v>Rosane Maria Viana Zaquieu, matr. nº 31363-5</v>
      </c>
      <c r="D7" s="3" t="str">
        <f ca="1">IFERROR(__xludf.DUMMYFUNCTION("""COMPUTED_VALUE"""),"Desvio de conduta")</f>
        <v>Desvio de conduta</v>
      </c>
      <c r="E7" s="3" t="str">
        <f ca="1">IFERROR(__xludf.DUMMYFUNCTION("""COMPUTED_VALUE"""),"Desvio de conduta")</f>
        <v>Desvio de conduta</v>
      </c>
      <c r="F7" s="3" t="str">
        <f ca="1">IFERROR(__xludf.DUMMYFUNCTION("""COMPUTED_VALUE"""),"Abandono de cargo/ Inassiduidade habitual.")</f>
        <v>Abandono de cargo/ Inassiduidade habitual.</v>
      </c>
      <c r="G7" s="3" t="str">
        <f ca="1">IFERROR(__xludf.DUMMYFUNCTION("""COMPUTED_VALUE"""),"Abandono de cargo/ Inassiduidade habitual")</f>
        <v>Abandono de cargo/ Inassiduidade habitual</v>
      </c>
      <c r="H7" s="3" t="str">
        <f ca="1">IFERROR(__xludf.DUMMYFUNCTION("""COMPUTED_VALUE"""),"Apuração de faltas sucessivas superior a 10 dias")</f>
        <v>Apuração de faltas sucessivas superior a 10 dias</v>
      </c>
      <c r="I7" s="3"/>
      <c r="J7" s="5">
        <f ca="1">IFERROR(__xludf.DUMMYFUNCTION("""COMPUTED_VALUE"""),43360)</f>
        <v>43360</v>
      </c>
      <c r="K7" s="5">
        <f ca="1">IFERROR(__xludf.DUMMYFUNCTION("""COMPUTED_VALUE"""),43367)</f>
        <v>43367</v>
      </c>
      <c r="L7" s="5">
        <f ca="1">IFERROR(__xludf.DUMMYFUNCTION("""COMPUTED_VALUE"""),43547)</f>
        <v>43547</v>
      </c>
      <c r="M7" s="5">
        <f ca="1">IFERROR(__xludf.DUMMYFUNCTION("""COMPUTED_VALUE"""),43548)</f>
        <v>43548</v>
      </c>
      <c r="N7" s="3" t="str">
        <f ca="1">IFERROR(__xludf.DUMMYFUNCTION("""COMPUTED_VALUE"""),"Finalizado")</f>
        <v>Finalizado</v>
      </c>
      <c r="O7" s="5">
        <f ca="1">IFERROR(__xludf.DUMMYFUNCTION("""COMPUTED_VALUE"""),44279)</f>
        <v>44279</v>
      </c>
      <c r="P7" s="3" t="str">
        <f ca="1">IFERROR(__xludf.DUMMYFUNCTION("""COMPUTED_VALUE"""),"O processo durou 879 dias entre a assinatura do despacho de autorização de abertura do PAD pelo Reitor e a assinatura do despacho de concordância/divergência pelo mesmo.")</f>
        <v>O processo durou 879 dias entre a assinatura do despacho de autorização de abertura do PAD pelo Reitor e a assinatura do despacho de concordância/divergência pelo mesmo.</v>
      </c>
      <c r="Q7" s="5">
        <f ca="1">IFERROR(__xludf.DUMMYFUNCTION("""COMPUTED_VALUE"""),45375)</f>
        <v>45375</v>
      </c>
      <c r="R7" s="3" t="str">
        <f ca="1">IFERROR(__xludf.DUMMYFUNCTION("""COMPUTED_VALUE"""),"Alessandra Abelheira")</f>
        <v>Alessandra Abelheira</v>
      </c>
      <c r="S7" s="3"/>
      <c r="T7" s="3" t="str">
        <f ca="1">IFERROR(__xludf.DUMMYFUNCTION("""COMPUTED_VALUE"""),"Ariane Serpa")</f>
        <v>Ariane Serpa</v>
      </c>
      <c r="U7" s="3" t="str">
        <f ca="1">IFERROR(__xludf.DUMMYFUNCTION("""COMPUTED_VALUE"""),"Teresa Jardin")</f>
        <v>Teresa Jardin</v>
      </c>
      <c r="V7" s="3" t="str">
        <f ca="1">IFERROR(__xludf.DUMMYFUNCTION("""COMPUTED_VALUE"""),"Jair Eduardo Salim Magluf Veras")</f>
        <v>Jair Eduardo Salim Magluf Veras</v>
      </c>
      <c r="W7" s="3" t="str">
        <f ca="1">IFERROR(__xludf.DUMMYFUNCTION("""COMPUTED_VALUE"""),"E-26/007/3016/2018")</f>
        <v>E-26/007/3016/2018</v>
      </c>
      <c r="X7" s="3" t="str">
        <f ca="1">IFERROR(__xludf.DUMMYFUNCTION("""COMPUTED_VALUE"""),"S-Resposta do Reitor/Anotado.")</f>
        <v>S-Resposta do Reitor/Anotado.</v>
      </c>
    </row>
    <row r="8" spans="1:24" x14ac:dyDescent="0.2">
      <c r="A8" s="3" t="str">
        <f ca="1">IFERROR(__xludf.DUMMYFUNCTION("""COMPUTED_VALUE"""),"315/2019")</f>
        <v>315/2019</v>
      </c>
      <c r="B8" s="3" t="str">
        <f ca="1">IFERROR(__xludf.DUMMYFUNCTION("""COMPUTED_VALUE"""),"E-26/007/3055/2018")</f>
        <v>E-26/007/3055/2018</v>
      </c>
      <c r="C8" s="3" t="str">
        <f ca="1">IFERROR(__xludf.DUMMYFUNCTION("""COMPUTED_VALUE"""),"Luiz Eduardo Cabral Fernandes, mat 268516")</f>
        <v>Luiz Eduardo Cabral Fernandes, mat 268516</v>
      </c>
      <c r="D8" s="3" t="str">
        <f ca="1">IFERROR(__xludf.DUMMYFUNCTION("""COMPUTED_VALUE"""),"Desvio de conduta")</f>
        <v>Desvio de conduta</v>
      </c>
      <c r="E8" s="3" t="str">
        <f ca="1">IFERROR(__xludf.DUMMYFUNCTION("""COMPUTED_VALUE"""),"Desvio de conduta")</f>
        <v>Desvio de conduta</v>
      </c>
      <c r="F8" s="3" t="str">
        <f ca="1">IFERROR(__xludf.DUMMYFUNCTION("""COMPUTED_VALUE"""),"Abandono de cargo/ Inassiduidade habitual.")</f>
        <v>Abandono de cargo/ Inassiduidade habitual.</v>
      </c>
      <c r="G8" s="3" t="str">
        <f ca="1">IFERROR(__xludf.DUMMYFUNCTION("""COMPUTED_VALUE"""),"Abandono de cargo/ Inassiduidade habitual")</f>
        <v>Abandono de cargo/ Inassiduidade habitual</v>
      </c>
      <c r="H8" s="3" t="str">
        <f ca="1">IFERROR(__xludf.DUMMYFUNCTION("""COMPUTED_VALUE"""),"Apuração de faltas sucessivas superior a 10 dias")</f>
        <v>Apuração de faltas sucessivas superior a 10 dias</v>
      </c>
      <c r="I8" s="3"/>
      <c r="J8" s="5">
        <f ca="1">IFERROR(__xludf.DUMMYFUNCTION("""COMPUTED_VALUE"""),43594)</f>
        <v>43594</v>
      </c>
      <c r="K8" s="5">
        <f ca="1">IFERROR(__xludf.DUMMYFUNCTION("""COMPUTED_VALUE"""),43614)</f>
        <v>43614</v>
      </c>
      <c r="L8" s="5">
        <f ca="1">IFERROR(__xludf.DUMMYFUNCTION("""COMPUTED_VALUE"""),43794)</f>
        <v>43794</v>
      </c>
      <c r="M8" s="5">
        <f ca="1">IFERROR(__xludf.DUMMYFUNCTION("""COMPUTED_VALUE"""),43795)</f>
        <v>43795</v>
      </c>
      <c r="N8" s="3" t="str">
        <f ca="1">IFERROR(__xludf.DUMMYFUNCTION("""COMPUTED_VALUE"""),"Finalizado")</f>
        <v>Finalizado</v>
      </c>
      <c r="O8" s="5">
        <f ca="1">IFERROR(__xludf.DUMMYFUNCTION("""COMPUTED_VALUE"""),44526)</f>
        <v>44526</v>
      </c>
      <c r="P8" s="3" t="str">
        <f ca="1">IFERROR(__xludf.DUMMYFUNCTION("""COMPUTED_VALUE"""),"O processo durou 677 dias entre a assinatura do despacho de autorização de abertura do PAD pelo Reitor e a assinatura do despacho de concordância/divergência pelo mesmo.")</f>
        <v>O processo durou 677 dias entre a assinatura do despacho de autorização de abertura do PAD pelo Reitor e a assinatura do despacho de concordância/divergência pelo mesmo.</v>
      </c>
      <c r="Q8" s="5">
        <f ca="1">IFERROR(__xludf.DUMMYFUNCTION("""COMPUTED_VALUE"""),45622)</f>
        <v>45622</v>
      </c>
      <c r="R8" s="3" t="str">
        <f ca="1">IFERROR(__xludf.DUMMYFUNCTION("""COMPUTED_VALUE"""),"Alessandra Abelheira")</f>
        <v>Alessandra Abelheira</v>
      </c>
      <c r="S8" s="3"/>
      <c r="T8" s="3" t="str">
        <f ca="1">IFERROR(__xludf.DUMMYFUNCTION("""COMPUTED_VALUE"""),"Ariane Serpa")</f>
        <v>Ariane Serpa</v>
      </c>
      <c r="U8" s="3" t="str">
        <f ca="1">IFERROR(__xludf.DUMMYFUNCTION("""COMPUTED_VALUE"""),"Teresa Jardin")</f>
        <v>Teresa Jardin</v>
      </c>
      <c r="V8" s="3"/>
      <c r="W8" s="3" t="str">
        <f ca="1">IFERROR(__xludf.DUMMYFUNCTION("""COMPUTED_VALUE"""),"E-26/007/3055/2018")</f>
        <v>E-26/007/3055/2018</v>
      </c>
      <c r="X8" s="3" t="str">
        <f ca="1">IFERROR(__xludf.DUMMYFUNCTION("""COMPUTED_VALUE"""),"S-Resposta do Reitor/Anotado.")</f>
        <v>S-Resposta do Reitor/Anotado.</v>
      </c>
    </row>
    <row r="9" spans="1:24" x14ac:dyDescent="0.2">
      <c r="A9" s="3" t="str">
        <f ca="1">IFERROR(__xludf.DUMMYFUNCTION("""COMPUTED_VALUE"""),"333/2021")</f>
        <v>333/2021</v>
      </c>
      <c r="B9" s="3" t="str">
        <f ca="1">IFERROR(__xludf.DUMMYFUNCTION("""COMPUTED_VALUE"""),"E-26/007/3055/2018")</f>
        <v>E-26/007/3055/2018</v>
      </c>
      <c r="C9" s="3" t="str">
        <f ca="1">IFERROR(__xludf.DUMMYFUNCTION("""COMPUTED_VALUE"""),"Luiz Eduardo Cabral Fenandes,  matr. nº 26.851-6")</f>
        <v>Luiz Eduardo Cabral Fenandes,  matr. nº 26.851-6</v>
      </c>
      <c r="D9" s="3" t="str">
        <f ca="1">IFERROR(__xludf.DUMMYFUNCTION("""COMPUTED_VALUE"""),"Abandono do Cargo")</f>
        <v>Abandono do Cargo</v>
      </c>
      <c r="E9" s="3"/>
      <c r="F9" s="3" t="str">
        <f ca="1">IFERROR(__xludf.DUMMYFUNCTION("""COMPUTED_VALUE"""),"Abandono de cargo/ Inassiduidade habitual.")</f>
        <v>Abandono de cargo/ Inassiduidade habitual.</v>
      </c>
      <c r="G9" s="3" t="str">
        <f ca="1">IFERROR(__xludf.DUMMYFUNCTION("""COMPUTED_VALUE"""),"Abandono de cargo/ Inassiduidade habitual")</f>
        <v>Abandono de cargo/ Inassiduidade habitual</v>
      </c>
      <c r="H9" s="3" t="str">
        <f ca="1">IFERROR(__xludf.DUMMYFUNCTION("""COMPUTED_VALUE"""),"Apuração de faltas sucessivas superior a 10 dias")</f>
        <v>Apuração de faltas sucessivas superior a 10 dias</v>
      </c>
      <c r="I9" s="3"/>
      <c r="J9" s="5">
        <f ca="1">IFERROR(__xludf.DUMMYFUNCTION("""COMPUTED_VALUE"""),43594)</f>
        <v>43594</v>
      </c>
      <c r="K9" s="5">
        <f ca="1">IFERROR(__xludf.DUMMYFUNCTION("""COMPUTED_VALUE"""),43614)</f>
        <v>43614</v>
      </c>
      <c r="L9" s="5">
        <f ca="1">IFERROR(__xludf.DUMMYFUNCTION("""COMPUTED_VALUE"""),43794)</f>
        <v>43794</v>
      </c>
      <c r="M9" s="5">
        <f ca="1">IFERROR(__xludf.DUMMYFUNCTION("""COMPUTED_VALUE"""),43795)</f>
        <v>43795</v>
      </c>
      <c r="N9" s="3" t="str">
        <f ca="1">IFERROR(__xludf.DUMMYFUNCTION("""COMPUTED_VALUE"""),"Finalizado")</f>
        <v>Finalizado</v>
      </c>
      <c r="O9" s="5">
        <f ca="1">IFERROR(__xludf.DUMMYFUNCTION("""COMPUTED_VALUE"""),44526)</f>
        <v>44526</v>
      </c>
      <c r="P9" s="3" t="str">
        <f ca="1">IFERROR(__xludf.DUMMYFUNCTION("""COMPUTED_VALUE"""),"O processo durou 677 dias entre a assinatura do despacho de autorização de abertura do PAD pelo Reitor e a assinatura do despacho de concordância/divergência pelo mesmo.")</f>
        <v>O processo durou 677 dias entre a assinatura do despacho de autorização de abertura do PAD pelo Reitor e a assinatura do despacho de concordância/divergência pelo mesmo.</v>
      </c>
      <c r="Q9" s="5">
        <f ca="1">IFERROR(__xludf.DUMMYFUNCTION("""COMPUTED_VALUE"""),45622)</f>
        <v>45622</v>
      </c>
      <c r="R9" s="3" t="str">
        <f ca="1">IFERROR(__xludf.DUMMYFUNCTION("""COMPUTED_VALUE"""),"Alessandra Abelheira")</f>
        <v>Alessandra Abelheira</v>
      </c>
      <c r="S9" s="3"/>
      <c r="T9" s="3" t="str">
        <f ca="1">IFERROR(__xludf.DUMMYFUNCTION("""COMPUTED_VALUE"""),"Teresa Jardin")</f>
        <v>Teresa Jardin</v>
      </c>
      <c r="U9" s="3" t="str">
        <f ca="1">IFERROR(__xludf.DUMMYFUNCTION("""COMPUTED_VALUE"""),"Ariane Serpa")</f>
        <v>Ariane Serpa</v>
      </c>
      <c r="V9" s="3"/>
      <c r="W9" s="3" t="str">
        <f ca="1">IFERROR(__xludf.DUMMYFUNCTION("""COMPUTED_VALUE"""),"E-26/007/3055/2018")</f>
        <v>E-26/007/3055/2018</v>
      </c>
      <c r="X9" s="3" t="str">
        <f ca="1">IFERROR(__xludf.DUMMYFUNCTION("""COMPUTED_VALUE"""),"S-Resposta do Reitor/Anotado.")</f>
        <v>S-Resposta do Reitor/Anotado.</v>
      </c>
    </row>
    <row r="10" spans="1:24" x14ac:dyDescent="0.2">
      <c r="A10" s="3" t="str">
        <f ca="1">IFERROR(__xludf.DUMMYFUNCTION("""COMPUTED_VALUE"""),"322/2020")</f>
        <v>322/2020</v>
      </c>
      <c r="B10" s="3" t="str">
        <f ca="1">IFERROR(__xludf.DUMMYFUNCTION("""COMPUTED_VALUE"""),"E-26/007/8434/2019")</f>
        <v>E-26/007/8434/2019</v>
      </c>
      <c r="C10" s="3" t="str">
        <f ca="1">IFERROR(__xludf.DUMMYFUNCTION("""COMPUTED_VALUE"""),"Isabel da Costa Marques, 327429")</f>
        <v>Isabel da Costa Marques, 327429</v>
      </c>
      <c r="D10" s="3" t="str">
        <f ca="1">IFERROR(__xludf.DUMMYFUNCTION("""COMPUTED_VALUE"""),"Desvio de conduta")</f>
        <v>Desvio de conduta</v>
      </c>
      <c r="E10" s="3" t="str">
        <f ca="1">IFERROR(__xludf.DUMMYFUNCTION("""COMPUTED_VALUE"""),"Desvio de conduta")</f>
        <v>Desvio de conduta</v>
      </c>
      <c r="F10" s="3" t="str">
        <f ca="1">IFERROR(__xludf.DUMMYFUNCTION("""COMPUTED_VALUE"""),"Abandono de cargo/ Inassiduidade habitual.")</f>
        <v>Abandono de cargo/ Inassiduidade habitual.</v>
      </c>
      <c r="G10" s="3" t="str">
        <f ca="1">IFERROR(__xludf.DUMMYFUNCTION("""COMPUTED_VALUE"""),"Abandono de cargo/ Inassiduidade habitual")</f>
        <v>Abandono de cargo/ Inassiduidade habitual</v>
      </c>
      <c r="H10" s="3" t="str">
        <f ca="1">IFERROR(__xludf.DUMMYFUNCTION("""COMPUTED_VALUE"""),"Apuração de faltas sucessivas superior a 10 dias")</f>
        <v>Apuração de faltas sucessivas superior a 10 dias</v>
      </c>
      <c r="I10" s="3"/>
      <c r="J10" s="5">
        <f ca="1">IFERROR(__xludf.DUMMYFUNCTION("""COMPUTED_VALUE"""),44054)</f>
        <v>44054</v>
      </c>
      <c r="K10" s="5">
        <f ca="1">IFERROR(__xludf.DUMMYFUNCTION("""COMPUTED_VALUE"""),44070)</f>
        <v>44070</v>
      </c>
      <c r="L10" s="5">
        <f ca="1">IFERROR(__xludf.DUMMYFUNCTION("""COMPUTED_VALUE"""),44250)</f>
        <v>44250</v>
      </c>
      <c r="M10" s="5">
        <f ca="1">IFERROR(__xludf.DUMMYFUNCTION("""COMPUTED_VALUE"""),44251)</f>
        <v>44251</v>
      </c>
      <c r="N10" s="3" t="str">
        <f ca="1">IFERROR(__xludf.DUMMYFUNCTION("""COMPUTED_VALUE"""),"Finalizado")</f>
        <v>Finalizado</v>
      </c>
      <c r="O10" s="5">
        <f ca="1">IFERROR(__xludf.DUMMYFUNCTION("""COMPUTED_VALUE"""),44981)</f>
        <v>44981</v>
      </c>
      <c r="P10" s="3" t="str">
        <f ca="1">IFERROR(__xludf.DUMMYFUNCTION("""COMPUTED_VALUE"""),"O processo durou 210 dias entre a assinatura do despacho de autorização de abertura do PAD pelo Reitor e a assinatura do despacho de concordância/divergência pelo mesmo.")</f>
        <v>O processo durou 210 dias entre a assinatura do despacho de autorização de abertura do PAD pelo Reitor e a assinatura do despacho de concordância/divergência pelo mesmo.</v>
      </c>
      <c r="Q10" s="5">
        <f ca="1">IFERROR(__xludf.DUMMYFUNCTION("""COMPUTED_VALUE"""),46077)</f>
        <v>46077</v>
      </c>
      <c r="R10" s="3" t="str">
        <f ca="1">IFERROR(__xludf.DUMMYFUNCTION("""COMPUTED_VALUE"""),"Alessandra Abelheira")</f>
        <v>Alessandra Abelheira</v>
      </c>
      <c r="S10" s="3"/>
      <c r="T10" s="3" t="str">
        <f ca="1">IFERROR(__xludf.DUMMYFUNCTION("""COMPUTED_VALUE"""),"Ariane Serpa")</f>
        <v>Ariane Serpa</v>
      </c>
      <c r="U10" s="3" t="str">
        <f ca="1">IFERROR(__xludf.DUMMYFUNCTION("""COMPUTED_VALUE"""),"Karolynne Rocha")</f>
        <v>Karolynne Rocha</v>
      </c>
      <c r="V10" s="3"/>
      <c r="W10" s="3" t="str">
        <f ca="1">IFERROR(__xludf.DUMMYFUNCTION("""COMPUTED_VALUE"""),"E-26/007/8434/2019")</f>
        <v>E-26/007/8434/2019</v>
      </c>
      <c r="X10" s="3" t="str">
        <f ca="1">IFERROR(__xludf.DUMMYFUNCTION("""COMPUTED_VALUE"""),"S-Resposta do Reitor/Anotado.")</f>
        <v>S-Resposta do Reitor/Anotado.</v>
      </c>
    </row>
    <row r="11" spans="1:24" x14ac:dyDescent="0.2">
      <c r="A11" s="3" t="str">
        <f ca="1">IFERROR(__xludf.DUMMYFUNCTION("""COMPUTED_VALUE"""),"306/2019")</f>
        <v>306/2019</v>
      </c>
      <c r="B11" s="3" t="str">
        <f ca="1">IFERROR(__xludf.DUMMYFUNCTION("""COMPUTED_VALUE"""),"E-26/007/3019/2018")</f>
        <v>E-26/007/3019/2018</v>
      </c>
      <c r="C11" s="3" t="str">
        <f ca="1">IFERROR(__xludf.DUMMYFUNCTION("""COMPUTED_VALUE"""),"Vera Lucia Barros Abelenda, 38.273-9")</f>
        <v>Vera Lucia Barros Abelenda, 38.273-9</v>
      </c>
      <c r="D11" s="3" t="str">
        <f ca="1">IFERROR(__xludf.DUMMYFUNCTION("""COMPUTED_VALUE"""),"Desvio de conduta")</f>
        <v>Desvio de conduta</v>
      </c>
      <c r="E11" s="3" t="str">
        <f ca="1">IFERROR(__xludf.DUMMYFUNCTION("""COMPUTED_VALUE"""),"Desvio de conduta")</f>
        <v>Desvio de conduta</v>
      </c>
      <c r="F11" s="3" t="str">
        <f ca="1">IFERROR(__xludf.DUMMYFUNCTION("""COMPUTED_VALUE"""),"Abandono de cargo/ Inassiduidade habitual.")</f>
        <v>Abandono de cargo/ Inassiduidade habitual.</v>
      </c>
      <c r="G11" s="3" t="str">
        <f ca="1">IFERROR(__xludf.DUMMYFUNCTION("""COMPUTED_VALUE"""),"Abandono de cargo/ Inassiduidade habitual")</f>
        <v>Abandono de cargo/ Inassiduidade habitual</v>
      </c>
      <c r="H11" s="3" t="str">
        <f ca="1">IFERROR(__xludf.DUMMYFUNCTION("""COMPUTED_VALUE"""),"Apuração de faltas sucessivas superior a 10 dias")</f>
        <v>Apuração de faltas sucessivas superior a 10 dias</v>
      </c>
      <c r="I11" s="3"/>
      <c r="J11" s="5">
        <f ca="1">IFERROR(__xludf.DUMMYFUNCTION("""COMPUTED_VALUE"""),43542)</f>
        <v>43542</v>
      </c>
      <c r="K11" s="5">
        <f ca="1">IFERROR(__xludf.DUMMYFUNCTION("""COMPUTED_VALUE"""),43545)</f>
        <v>43545</v>
      </c>
      <c r="L11" s="5">
        <f ca="1">IFERROR(__xludf.DUMMYFUNCTION("""COMPUTED_VALUE"""),43725)</f>
        <v>43725</v>
      </c>
      <c r="M11" s="5">
        <f ca="1">IFERROR(__xludf.DUMMYFUNCTION("""COMPUTED_VALUE"""),43726)</f>
        <v>43726</v>
      </c>
      <c r="N11" s="3" t="str">
        <f ca="1">IFERROR(__xludf.DUMMYFUNCTION("""COMPUTED_VALUE"""),"Finalizado")</f>
        <v>Finalizado</v>
      </c>
      <c r="O11" s="5">
        <f ca="1">IFERROR(__xludf.DUMMYFUNCTION("""COMPUTED_VALUE"""),44457)</f>
        <v>44457</v>
      </c>
      <c r="P11" s="3" t="str">
        <f ca="1">IFERROR(__xludf.DUMMYFUNCTION("""COMPUTED_VALUE"""),"O processo durou 742 dias entre a assinatura do despacho de autorização de abertura do PAD pelo Reitor e a assinatura do despacho de concordância/divergência pelo mesmo.")</f>
        <v>O processo durou 742 dias entre a assinatura do despacho de autorização de abertura do PAD pelo Reitor e a assinatura do despacho de concordância/divergência pelo mesmo.</v>
      </c>
      <c r="Q11" s="5">
        <f ca="1">IFERROR(__xludf.DUMMYFUNCTION("""COMPUTED_VALUE"""),45553)</f>
        <v>45553</v>
      </c>
      <c r="R11" s="3" t="str">
        <f ca="1">IFERROR(__xludf.DUMMYFUNCTION("""COMPUTED_VALUE"""),"Alessandra Abelheira")</f>
        <v>Alessandra Abelheira</v>
      </c>
      <c r="S11" s="3"/>
      <c r="T11" s="3" t="str">
        <f ca="1">IFERROR(__xludf.DUMMYFUNCTION("""COMPUTED_VALUE"""),"Ariane Serpa")</f>
        <v>Ariane Serpa</v>
      </c>
      <c r="U11" s="3" t="str">
        <f ca="1">IFERROR(__xludf.DUMMYFUNCTION("""COMPUTED_VALUE"""),"Teresa Jardin")</f>
        <v>Teresa Jardin</v>
      </c>
      <c r="V11" s="3"/>
      <c r="W11" s="3" t="str">
        <f ca="1">IFERROR(__xludf.DUMMYFUNCTION("""COMPUTED_VALUE"""),"E-26/007/3019/2018")</f>
        <v>E-26/007/3019/2018</v>
      </c>
      <c r="X11" s="3" t="str">
        <f ca="1">IFERROR(__xludf.DUMMYFUNCTION("""COMPUTED_VALUE"""),"S-Resposta do Reitor/Anotado.")</f>
        <v>S-Resposta do Reitor/Anotado.</v>
      </c>
    </row>
    <row r="12" spans="1:24" x14ac:dyDescent="0.2">
      <c r="A12" s="3" t="str">
        <f ca="1">IFERROR(__xludf.DUMMYFUNCTION("""COMPUTED_VALUE"""),"318/2019")</f>
        <v>318/2019</v>
      </c>
      <c r="B12" s="3" t="str">
        <f ca="1">IFERROR(__xludf.DUMMYFUNCTION("""COMPUTED_VALUE"""),"E-26/007/2842/2016")</f>
        <v>E-26/007/2842/2016</v>
      </c>
      <c r="C12" s="3" t="str">
        <f ca="1">IFERROR(__xludf.DUMMYFUNCTION("""COMPUTED_VALUE"""),"Evangelina Marcia Lima de Macêdo, 39146-6")</f>
        <v>Evangelina Marcia Lima de Macêdo, 39146-6</v>
      </c>
      <c r="D12" s="3" t="str">
        <f ca="1">IFERROR(__xludf.DUMMYFUNCTION("""COMPUTED_VALUE"""),"Desvio de conduta")</f>
        <v>Desvio de conduta</v>
      </c>
      <c r="E12" s="3" t="str">
        <f ca="1">IFERROR(__xludf.DUMMYFUNCTION("""COMPUTED_VALUE"""),"Desvio de conduta")</f>
        <v>Desvio de conduta</v>
      </c>
      <c r="F12" s="3" t="str">
        <f ca="1">IFERROR(__xludf.DUMMYFUNCTION("""COMPUTED_VALUE"""),"Abandono de cargo/ Inassiduidade habitual.")</f>
        <v>Abandono de cargo/ Inassiduidade habitual.</v>
      </c>
      <c r="G12" s="3" t="str">
        <f ca="1">IFERROR(__xludf.DUMMYFUNCTION("""COMPUTED_VALUE"""),"Abandono de cargo/ Inassiduidade habitual")</f>
        <v>Abandono de cargo/ Inassiduidade habitual</v>
      </c>
      <c r="H12" s="3" t="str">
        <f ca="1">IFERROR(__xludf.DUMMYFUNCTION("""COMPUTED_VALUE"""),"Apuração de faltas sucessivas superior a 10 dias")</f>
        <v>Apuração de faltas sucessivas superior a 10 dias</v>
      </c>
      <c r="I12" s="3"/>
      <c r="J12" s="5">
        <f ca="1">IFERROR(__xludf.DUMMYFUNCTION("""COMPUTED_VALUE"""),43689)</f>
        <v>43689</v>
      </c>
      <c r="K12" s="5">
        <f ca="1">IFERROR(__xludf.DUMMYFUNCTION("""COMPUTED_VALUE"""),43693)</f>
        <v>43693</v>
      </c>
      <c r="L12" s="5">
        <f ca="1">IFERROR(__xludf.DUMMYFUNCTION("""COMPUTED_VALUE"""),43873)</f>
        <v>43873</v>
      </c>
      <c r="M12" s="5">
        <f ca="1">IFERROR(__xludf.DUMMYFUNCTION("""COMPUTED_VALUE"""),43874)</f>
        <v>43874</v>
      </c>
      <c r="N12" s="3" t="str">
        <f ca="1">IFERROR(__xludf.DUMMYFUNCTION("""COMPUTED_VALUE"""),"Finalizado")</f>
        <v>Finalizado</v>
      </c>
      <c r="O12" s="5">
        <f ca="1">IFERROR(__xludf.DUMMYFUNCTION("""COMPUTED_VALUE"""),44605)</f>
        <v>44605</v>
      </c>
      <c r="P12" s="3" t="str">
        <f ca="1">IFERROR(__xludf.DUMMYFUNCTION("""COMPUTED_VALUE"""),"O processo durou 620 dias entre a assinatura do despacho de autorização de abertura do PAD pelo Reitor e a assinatura do despacho de concordância/divergência pelo mesmo.")</f>
        <v>O processo durou 620 dias entre a assinatura do despacho de autorização de abertura do PAD pelo Reitor e a assinatura do despacho de concordância/divergência pelo mesmo.</v>
      </c>
      <c r="Q12" s="5">
        <f ca="1">IFERROR(__xludf.DUMMYFUNCTION("""COMPUTED_VALUE"""),45701)</f>
        <v>45701</v>
      </c>
      <c r="R12" s="3" t="str">
        <f ca="1">IFERROR(__xludf.DUMMYFUNCTION("""COMPUTED_VALUE"""),"Alessandra Abelheira")</f>
        <v>Alessandra Abelheira</v>
      </c>
      <c r="S12" s="3"/>
      <c r="T12" s="3" t="str">
        <f ca="1">IFERROR(__xludf.DUMMYFUNCTION("""COMPUTED_VALUE"""),"Ariane Serpa")</f>
        <v>Ariane Serpa</v>
      </c>
      <c r="U12" s="3" t="str">
        <f ca="1">IFERROR(__xludf.DUMMYFUNCTION("""COMPUTED_VALUE"""),"Teresa Jardin")</f>
        <v>Teresa Jardin</v>
      </c>
      <c r="V12" s="3"/>
      <c r="W12" s="3" t="str">
        <f ca="1">IFERROR(__xludf.DUMMYFUNCTION("""COMPUTED_VALUE"""),"E-26/007/2842/2016")</f>
        <v>E-26/007/2842/2016</v>
      </c>
      <c r="X12" s="3" t="str">
        <f ca="1">IFERROR(__xludf.DUMMYFUNCTION("""COMPUTED_VALUE"""),"S-Resposta do Reitor/Anotado.")</f>
        <v>S-Resposta do Reitor/Anotado.</v>
      </c>
    </row>
    <row r="13" spans="1:24" x14ac:dyDescent="0.2">
      <c r="A13" s="3" t="str">
        <f ca="1">IFERROR(__xludf.DUMMYFUNCTION("""COMPUTED_VALUE"""),"256/2017")</f>
        <v>256/2017</v>
      </c>
      <c r="B13" s="3" t="str">
        <f ca="1">IFERROR(__xludf.DUMMYFUNCTION("""COMPUTED_VALUE"""),"E-26/007/10675/2014")</f>
        <v>E-26/007/10675/2014</v>
      </c>
      <c r="C13" s="3" t="str">
        <f ca="1">IFERROR(__xludf.DUMMYFUNCTION("""COMPUTED_VALUE"""),"Simone do Carmo Gomes Rocha, 37315-9")</f>
        <v>Simone do Carmo Gomes Rocha, 37315-9</v>
      </c>
      <c r="D13" s="3" t="str">
        <f ca="1">IFERROR(__xludf.DUMMYFUNCTION("""COMPUTED_VALUE"""),"Desvio de conduta")</f>
        <v>Desvio de conduta</v>
      </c>
      <c r="E13" s="3" t="str">
        <f ca="1">IFERROR(__xludf.DUMMYFUNCTION("""COMPUTED_VALUE"""),"Desvio de conduta")</f>
        <v>Desvio de conduta</v>
      </c>
      <c r="F13" s="3" t="str">
        <f ca="1">IFERROR(__xludf.DUMMYFUNCTION("""COMPUTED_VALUE"""),"Acumulação de cargos.")</f>
        <v>Acumulação de cargos.</v>
      </c>
      <c r="G13" s="3" t="str">
        <f ca="1">IFERROR(__xludf.DUMMYFUNCTION("""COMPUTED_VALUE"""),"Acumulação de cargos")</f>
        <v>Acumulação de cargos</v>
      </c>
      <c r="H13" s="3" t="str">
        <f ca="1">IFERROR(__xludf.DUMMYFUNCTION("""COMPUTED_VALUE"""),"Acumulação ilícita de cargos no período de 06/01/2014 a 30/07/2014.")</f>
        <v>Acumulação ilícita de cargos no período de 06/01/2014 a 30/07/2014.</v>
      </c>
      <c r="I13" s="3"/>
      <c r="J13" s="5">
        <f ca="1">IFERROR(__xludf.DUMMYFUNCTION("""COMPUTED_VALUE"""),42507)</f>
        <v>42507</v>
      </c>
      <c r="K13" s="5">
        <f ca="1">IFERROR(__xludf.DUMMYFUNCTION("""COMPUTED_VALUE"""),42524)</f>
        <v>42524</v>
      </c>
      <c r="L13" s="5">
        <f ca="1">IFERROR(__xludf.DUMMYFUNCTION("""COMPUTED_VALUE"""),42704)</f>
        <v>42704</v>
      </c>
      <c r="M13" s="5">
        <f ca="1">IFERROR(__xludf.DUMMYFUNCTION("""COMPUTED_VALUE"""),42705)</f>
        <v>42705</v>
      </c>
      <c r="N13" s="3" t="str">
        <f ca="1">IFERROR(__xludf.DUMMYFUNCTION("""COMPUTED_VALUE"""),"Finalizado")</f>
        <v>Finalizado</v>
      </c>
      <c r="O13" s="5">
        <f ca="1">IFERROR(__xludf.DUMMYFUNCTION("""COMPUTED_VALUE"""),43435)</f>
        <v>43435</v>
      </c>
      <c r="P13" s="3" t="str">
        <f ca="1">IFERROR(__xludf.DUMMYFUNCTION("""COMPUTED_VALUE"""),"O processo durou 1820 dias entre a assinatura do despacho de autorização de abertura do PAD pelo Reitor e a assinatura do despacho de concordância/divergência pelo mesmo.")</f>
        <v>O processo durou 1820 dias entre a assinatura do despacho de autorização de abertura do PAD pelo Reitor e a assinatura do despacho de concordância/divergência pelo mesmo.</v>
      </c>
      <c r="Q13" s="5">
        <f ca="1">IFERROR(__xludf.DUMMYFUNCTION("""COMPUTED_VALUE"""),44531)</f>
        <v>44531</v>
      </c>
      <c r="R13" s="3" t="str">
        <f ca="1">IFERROR(__xludf.DUMMYFUNCTION("""COMPUTED_VALUE"""),"Alessandra Abelheira")</f>
        <v>Alessandra Abelheira</v>
      </c>
      <c r="S13" s="3"/>
      <c r="T13" s="3" t="str">
        <f ca="1">IFERROR(__xludf.DUMMYFUNCTION("""COMPUTED_VALUE"""),"Débora Ribeiro")</f>
        <v>Débora Ribeiro</v>
      </c>
      <c r="U13" s="3" t="str">
        <f ca="1">IFERROR(__xludf.DUMMYFUNCTION("""COMPUTED_VALUE"""),"Teresa Jardin")</f>
        <v>Teresa Jardin</v>
      </c>
      <c r="V13" s="3"/>
      <c r="W13" s="3" t="str">
        <f ca="1">IFERROR(__xludf.DUMMYFUNCTION("""COMPUTED_VALUE"""),"E-26/007/10675/2014")</f>
        <v>E-26/007/10675/2014</v>
      </c>
      <c r="X13" s="3" t="str">
        <f ca="1">IFERROR(__xludf.DUMMYFUNCTION("""COMPUTED_VALUE"""),"S-Resposta do Reitor/Anotado.")</f>
        <v>S-Resposta do Reitor/Anotado.</v>
      </c>
    </row>
    <row r="14" spans="1:24" x14ac:dyDescent="0.2">
      <c r="A14" s="3" t="str">
        <f ca="1">IFERROR(__xludf.DUMMYFUNCTION("""COMPUTED_VALUE"""),"307/2019")</f>
        <v>307/2019</v>
      </c>
      <c r="B14" s="3" t="str">
        <f ca="1">IFERROR(__xludf.DUMMYFUNCTION("""COMPUTED_VALUE"""),"E-26/007/3048/2018")</f>
        <v>E-26/007/3048/2018</v>
      </c>
      <c r="C14" s="3" t="str">
        <f ca="1">IFERROR(__xludf.DUMMYFUNCTION("""COMPUTED_VALUE"""),"Armando Flavio da Silva Gamboa, matrícula nº 33.611-5,")</f>
        <v>Armando Flavio da Silva Gamboa, matrícula nº 33.611-5,</v>
      </c>
      <c r="D14" s="3" t="str">
        <f ca="1">IFERROR(__xludf.DUMMYFUNCTION("""COMPUTED_VALUE"""),"Desvio de conduta")</f>
        <v>Desvio de conduta</v>
      </c>
      <c r="E14" s="3" t="str">
        <f ca="1">IFERROR(__xludf.DUMMYFUNCTION("""COMPUTED_VALUE"""),"Desvio de conduta")</f>
        <v>Desvio de conduta</v>
      </c>
      <c r="F14" s="3" t="str">
        <f ca="1">IFERROR(__xludf.DUMMYFUNCTION("""COMPUTED_VALUE"""),"Abandono de cargo/ Inassiduidade habitual.")</f>
        <v>Abandono de cargo/ Inassiduidade habitual.</v>
      </c>
      <c r="G14" s="3" t="str">
        <f ca="1">IFERROR(__xludf.DUMMYFUNCTION("""COMPUTED_VALUE"""),"Abandono de cargo/ Inassiduidade habitual")</f>
        <v>Abandono de cargo/ Inassiduidade habitual</v>
      </c>
      <c r="H14" s="3" t="str">
        <f ca="1">IFERROR(__xludf.DUMMYFUNCTION("""COMPUTED_VALUE"""),"Apuração de faltas sucessivas superior a 10 dias")</f>
        <v>Apuração de faltas sucessivas superior a 10 dias</v>
      </c>
      <c r="I14" s="3"/>
      <c r="J14" s="5">
        <f ca="1">IFERROR(__xludf.DUMMYFUNCTION("""COMPUTED_VALUE"""),43495)</f>
        <v>43495</v>
      </c>
      <c r="K14" s="5">
        <f ca="1">IFERROR(__xludf.DUMMYFUNCTION("""COMPUTED_VALUE"""),43546)</f>
        <v>43546</v>
      </c>
      <c r="L14" s="5">
        <f ca="1">IFERROR(__xludf.DUMMYFUNCTION("""COMPUTED_VALUE"""),43726)</f>
        <v>43726</v>
      </c>
      <c r="M14" s="5">
        <f ca="1">IFERROR(__xludf.DUMMYFUNCTION("""COMPUTED_VALUE"""),43727)</f>
        <v>43727</v>
      </c>
      <c r="N14" s="3" t="str">
        <f ca="1">IFERROR(__xludf.DUMMYFUNCTION("""COMPUTED_VALUE"""),"Finalizado")</f>
        <v>Finalizado</v>
      </c>
      <c r="O14" s="5">
        <f ca="1">IFERROR(__xludf.DUMMYFUNCTION("""COMPUTED_VALUE"""),44458)</f>
        <v>44458</v>
      </c>
      <c r="P14" s="3" t="str">
        <f ca="1">IFERROR(__xludf.DUMMYFUNCTION("""COMPUTED_VALUE"""),"O processo durou 832 dias entre a assinatura do despacho de autorização de abertura do PAD pelo Reitor e a assinatura do despacho de concordância/divergência pelo mesmo.")</f>
        <v>O processo durou 832 dias entre a assinatura do despacho de autorização de abertura do PAD pelo Reitor e a assinatura do despacho de concordância/divergência pelo mesmo.</v>
      </c>
      <c r="Q14" s="5">
        <f ca="1">IFERROR(__xludf.DUMMYFUNCTION("""COMPUTED_VALUE"""),45554)</f>
        <v>45554</v>
      </c>
      <c r="R14" s="3" t="str">
        <f ca="1">IFERROR(__xludf.DUMMYFUNCTION("""COMPUTED_VALUE"""),"Alessandra Abelheira")</f>
        <v>Alessandra Abelheira</v>
      </c>
      <c r="S14" s="3"/>
      <c r="T14" s="3" t="str">
        <f ca="1">IFERROR(__xludf.DUMMYFUNCTION("""COMPUTED_VALUE"""),"Ariane Serpa")</f>
        <v>Ariane Serpa</v>
      </c>
      <c r="U14" s="3" t="str">
        <f ca="1">IFERROR(__xludf.DUMMYFUNCTION("""COMPUTED_VALUE"""),"Teresa Jardin")</f>
        <v>Teresa Jardin</v>
      </c>
      <c r="V14" s="3"/>
      <c r="W14" s="3" t="str">
        <f ca="1">IFERROR(__xludf.DUMMYFUNCTION("""COMPUTED_VALUE"""),"E-26/007/3048/2018")</f>
        <v>E-26/007/3048/2018</v>
      </c>
      <c r="X14" s="3" t="str">
        <f ca="1">IFERROR(__xludf.DUMMYFUNCTION("""COMPUTED_VALUE"""),"S-Resposta do Reitor/Anotado.")</f>
        <v>S-Resposta do Reitor/Anotado.</v>
      </c>
    </row>
    <row r="15" spans="1:24" x14ac:dyDescent="0.2">
      <c r="A15" s="3" t="str">
        <f ca="1">IFERROR(__xludf.DUMMYFUNCTION("""COMPUTED_VALUE"""),"317/2019")</f>
        <v>317/2019</v>
      </c>
      <c r="B15" s="3" t="str">
        <f ca="1">IFERROR(__xludf.DUMMYFUNCTION("""COMPUTED_VALUE"""),"E-26/007/646/2019")</f>
        <v>E-26/007/646/2019</v>
      </c>
      <c r="C15" s="3" t="str">
        <f ca="1">IFERROR(__xludf.DUMMYFUNCTION("""COMPUTED_VALUE"""),"Andréia de Arruda da Silva, matrícula nº 37.619-4")</f>
        <v>Andréia de Arruda da Silva, matrícula nº 37.619-4</v>
      </c>
      <c r="D15" s="3" t="str">
        <f ca="1">IFERROR(__xludf.DUMMYFUNCTION("""COMPUTED_VALUE"""),"Desvio de conduta")</f>
        <v>Desvio de conduta</v>
      </c>
      <c r="E15" s="3" t="str">
        <f ca="1">IFERROR(__xludf.DUMMYFUNCTION("""COMPUTED_VALUE"""),"Desvio de conduta")</f>
        <v>Desvio de conduta</v>
      </c>
      <c r="F15" s="3" t="str">
        <f ca="1">IFERROR(__xludf.DUMMYFUNCTION("""COMPUTED_VALUE"""),"Abandono de cargo/ Inassiduidade habitual.")</f>
        <v>Abandono de cargo/ Inassiduidade habitual.</v>
      </c>
      <c r="G15" s="3" t="str">
        <f ca="1">IFERROR(__xludf.DUMMYFUNCTION("""COMPUTED_VALUE"""),"Abandono de cargo/ Inassiduidade habitual")</f>
        <v>Abandono de cargo/ Inassiduidade habitual</v>
      </c>
      <c r="H15" s="3" t="str">
        <f ca="1">IFERROR(__xludf.DUMMYFUNCTION("""COMPUTED_VALUE"""),"Apuração de faltas sucessivas superior a 10 dias")</f>
        <v>Apuração de faltas sucessivas superior a 10 dias</v>
      </c>
      <c r="I15" s="3"/>
      <c r="J15" s="5">
        <f ca="1">IFERROR(__xludf.DUMMYFUNCTION("""COMPUTED_VALUE"""),43655)</f>
        <v>43655</v>
      </c>
      <c r="K15" s="5">
        <f ca="1">IFERROR(__xludf.DUMMYFUNCTION("""COMPUTED_VALUE"""),43663)</f>
        <v>43663</v>
      </c>
      <c r="L15" s="5">
        <f ca="1">IFERROR(__xludf.DUMMYFUNCTION("""COMPUTED_VALUE"""),43843)</f>
        <v>43843</v>
      </c>
      <c r="M15" s="5">
        <f ca="1">IFERROR(__xludf.DUMMYFUNCTION("""COMPUTED_VALUE"""),43844)</f>
        <v>43844</v>
      </c>
      <c r="N15" s="3" t="str">
        <f ca="1">IFERROR(__xludf.DUMMYFUNCTION("""COMPUTED_VALUE"""),"Finalizado")</f>
        <v>Finalizado</v>
      </c>
      <c r="O15" s="5">
        <f ca="1">IFERROR(__xludf.DUMMYFUNCTION("""COMPUTED_VALUE"""),44575)</f>
        <v>44575</v>
      </c>
      <c r="P15" s="3" t="str">
        <f ca="1">IFERROR(__xludf.DUMMYFUNCTION("""COMPUTED_VALUE"""),"O processo durou 692 dias entre a assinatura do despacho de autorização de abertura do PAD pelo Reitor e a assinatura do despacho de concordância/divergência pelo mesmo.")</f>
        <v>O processo durou 692 dias entre a assinatura do despacho de autorização de abertura do PAD pelo Reitor e a assinatura do despacho de concordância/divergência pelo mesmo.</v>
      </c>
      <c r="Q15" s="5">
        <f ca="1">IFERROR(__xludf.DUMMYFUNCTION("""COMPUTED_VALUE"""),45671)</f>
        <v>45671</v>
      </c>
      <c r="R15" s="3" t="str">
        <f ca="1">IFERROR(__xludf.DUMMYFUNCTION("""COMPUTED_VALUE"""),"Alessandra Abelheira")</f>
        <v>Alessandra Abelheira</v>
      </c>
      <c r="S15" s="3"/>
      <c r="T15" s="3" t="str">
        <f ca="1">IFERROR(__xludf.DUMMYFUNCTION("""COMPUTED_VALUE"""),"Ariane Serpa")</f>
        <v>Ariane Serpa</v>
      </c>
      <c r="U15" s="3" t="str">
        <f ca="1">IFERROR(__xludf.DUMMYFUNCTION("""COMPUTED_VALUE"""),"Teresa Jardin")</f>
        <v>Teresa Jardin</v>
      </c>
      <c r="V15" s="3"/>
      <c r="W15" s="3" t="str">
        <f ca="1">IFERROR(__xludf.DUMMYFUNCTION("""COMPUTED_VALUE"""),"E-26/007/646/2019")</f>
        <v>E-26/007/646/2019</v>
      </c>
      <c r="X15" s="3" t="str">
        <f ca="1">IFERROR(__xludf.DUMMYFUNCTION("""COMPUTED_VALUE"""),"S-Resposta do Reitor/Anotado.")</f>
        <v>S-Resposta do Reitor/Anotado.</v>
      </c>
    </row>
    <row r="16" spans="1:24" x14ac:dyDescent="0.2">
      <c r="A16" s="3" t="str">
        <f ca="1">IFERROR(__xludf.DUMMYFUNCTION("""COMPUTED_VALUE"""),"289/2018")</f>
        <v>289/2018</v>
      </c>
      <c r="B16" s="3" t="str">
        <f ca="1">IFERROR(__xludf.DUMMYFUNCTION("""COMPUTED_VALUE"""),"E-26/007/7914/2016")</f>
        <v>E-26/007/7914/2016</v>
      </c>
      <c r="C16" s="3" t="str">
        <f ca="1">IFERROR(__xludf.DUMMYFUNCTION("""COMPUTED_VALUE"""),"Fernanda Ouverney Valente, mat 37626-9")</f>
        <v>Fernanda Ouverney Valente, mat 37626-9</v>
      </c>
      <c r="D16" s="3"/>
      <c r="E16" s="3"/>
      <c r="F16" s="3" t="str">
        <f ca="1">IFERROR(__xludf.DUMMYFUNCTION("""COMPUTED_VALUE"""),"Outros.")</f>
        <v>Outros.</v>
      </c>
      <c r="G16" s="3" t="str">
        <f ca="1">IFERROR(__xludf.DUMMYFUNCTION("""COMPUTED_VALUE"""),"Outros")</f>
        <v>Outros</v>
      </c>
      <c r="H16" s="3" t="str">
        <f ca="1">IFERROR(__xludf.DUMMYFUNCTION("""COMPUTED_VALUE"""),"Exercício ilegal da profissão")</f>
        <v>Exercício ilegal da profissão</v>
      </c>
      <c r="I16" s="3"/>
      <c r="J16" s="5">
        <f ca="1">IFERROR(__xludf.DUMMYFUNCTION("""COMPUTED_VALUE"""),43132)</f>
        <v>43132</v>
      </c>
      <c r="K16" s="5">
        <f ca="1">IFERROR(__xludf.DUMMYFUNCTION("""COMPUTED_VALUE"""),43139)</f>
        <v>43139</v>
      </c>
      <c r="L16" s="5">
        <f ca="1">IFERROR(__xludf.DUMMYFUNCTION("""COMPUTED_VALUE"""),43319)</f>
        <v>43319</v>
      </c>
      <c r="M16" s="5">
        <f ca="1">IFERROR(__xludf.DUMMYFUNCTION("""COMPUTED_VALUE"""),43320)</f>
        <v>43320</v>
      </c>
      <c r="N16" s="3" t="str">
        <f ca="1">IFERROR(__xludf.DUMMYFUNCTION("""COMPUTED_VALUE"""),"Finalizado")</f>
        <v>Finalizado</v>
      </c>
      <c r="O16" s="5">
        <f ca="1">IFERROR(__xludf.DUMMYFUNCTION("""COMPUTED_VALUE"""),44051)</f>
        <v>44051</v>
      </c>
      <c r="P16" s="3" t="str">
        <f ca="1">IFERROR(__xludf.DUMMYFUNCTION("""COMPUTED_VALUE"""),"O processo durou 1306 dias entre a assinatura do despacho de autorização de abertura do PAD pelo Reitor e a assinatura do despacho de concordância/divergência pelo mesmo.")</f>
        <v>O processo durou 1306 dias entre a assinatura do despacho de autorização de abertura do PAD pelo Reitor e a assinatura do despacho de concordância/divergência pelo mesmo.</v>
      </c>
      <c r="Q16" s="5">
        <f ca="1">IFERROR(__xludf.DUMMYFUNCTION("""COMPUTED_VALUE"""),45146)</f>
        <v>45146</v>
      </c>
      <c r="R16" s="3" t="str">
        <f ca="1">IFERROR(__xludf.DUMMYFUNCTION("""COMPUTED_VALUE"""),"Alessandra Abelheira")</f>
        <v>Alessandra Abelheira</v>
      </c>
      <c r="S16" s="3"/>
      <c r="T16" s="3" t="str">
        <f ca="1">IFERROR(__xludf.DUMMYFUNCTION("""COMPUTED_VALUE"""),"Ariane Serpa")</f>
        <v>Ariane Serpa</v>
      </c>
      <c r="U16" s="3" t="str">
        <f ca="1">IFERROR(__xludf.DUMMYFUNCTION("""COMPUTED_VALUE"""),"Teresa Jardin")</f>
        <v>Teresa Jardin</v>
      </c>
      <c r="V16" s="3" t="str">
        <f ca="1">IFERROR(__xludf.DUMMYFUNCTION("""COMPUTED_VALUE"""),"Jair Eduardo Salim Magluf Veras")</f>
        <v>Jair Eduardo Salim Magluf Veras</v>
      </c>
      <c r="W16" s="3" t="str">
        <f ca="1">IFERROR(__xludf.DUMMYFUNCTION("""COMPUTED_VALUE"""),"E-26/007/7914/2016")</f>
        <v>E-26/007/7914/2016</v>
      </c>
      <c r="X16" s="3" t="str">
        <f ca="1">IFERROR(__xludf.DUMMYFUNCTION("""COMPUTED_VALUE"""),"S-Resposta do Reitor/Anotado.")</f>
        <v>S-Resposta do Reitor/Anotado.</v>
      </c>
    </row>
    <row r="17" spans="1:24" x14ac:dyDescent="0.2">
      <c r="A17" s="3" t="str">
        <f ca="1">IFERROR(__xludf.DUMMYFUNCTION("""COMPUTED_VALUE"""),"308/2019")</f>
        <v>308/2019</v>
      </c>
      <c r="B17" s="3" t="str">
        <f ca="1">IFERROR(__xludf.DUMMYFUNCTION("""COMPUTED_VALUE"""),"E-26/007/618/2019")</f>
        <v>E-26/007/618/2019</v>
      </c>
      <c r="C17" s="3" t="str">
        <f ca="1">IFERROR(__xludf.DUMMYFUNCTION("""COMPUTED_VALUE"""),"Filipe Copque de Souza, 34.979-2")</f>
        <v>Filipe Copque de Souza, 34.979-2</v>
      </c>
      <c r="D17" s="3" t="str">
        <f ca="1">IFERROR(__xludf.DUMMYFUNCTION("""COMPUTED_VALUE"""),"Desvio de conduta")</f>
        <v>Desvio de conduta</v>
      </c>
      <c r="E17" s="3" t="str">
        <f ca="1">IFERROR(__xludf.DUMMYFUNCTION("""COMPUTED_VALUE"""),"Desvio de conduta")</f>
        <v>Desvio de conduta</v>
      </c>
      <c r="F17" s="3" t="str">
        <f ca="1">IFERROR(__xludf.DUMMYFUNCTION("""COMPUTED_VALUE"""),"Abandono de cargo/ Inassiduidade habitual.")</f>
        <v>Abandono de cargo/ Inassiduidade habitual.</v>
      </c>
      <c r="G17" s="3" t="str">
        <f ca="1">IFERROR(__xludf.DUMMYFUNCTION("""COMPUTED_VALUE"""),"Abandono de cargo/ Inassiduidade habitual")</f>
        <v>Abandono de cargo/ Inassiduidade habitual</v>
      </c>
      <c r="H17" s="3" t="str">
        <f ca="1">IFERROR(__xludf.DUMMYFUNCTION("""COMPUTED_VALUE"""),"Apuração de faltas sucessivas superior a 10 dias")</f>
        <v>Apuração de faltas sucessivas superior a 10 dias</v>
      </c>
      <c r="I17" s="3"/>
      <c r="J17" s="5">
        <f ca="1">IFERROR(__xludf.DUMMYFUNCTION("""COMPUTED_VALUE"""),43551)</f>
        <v>43551</v>
      </c>
      <c r="K17" s="5">
        <f ca="1">IFERROR(__xludf.DUMMYFUNCTION("""COMPUTED_VALUE"""),43559)</f>
        <v>43559</v>
      </c>
      <c r="L17" s="5">
        <f ca="1">IFERROR(__xludf.DUMMYFUNCTION("""COMPUTED_VALUE"""),43739)</f>
        <v>43739</v>
      </c>
      <c r="M17" s="5">
        <f ca="1">IFERROR(__xludf.DUMMYFUNCTION("""COMPUTED_VALUE"""),43740)</f>
        <v>43740</v>
      </c>
      <c r="N17" s="3" t="str">
        <f ca="1">IFERROR(__xludf.DUMMYFUNCTION("""COMPUTED_VALUE"""),"Finalizado")</f>
        <v>Finalizado</v>
      </c>
      <c r="O17" s="5">
        <f ca="1">IFERROR(__xludf.DUMMYFUNCTION("""COMPUTED_VALUE"""),44471)</f>
        <v>44471</v>
      </c>
      <c r="P17" s="3" t="str">
        <f ca="1">IFERROR(__xludf.DUMMYFUNCTION("""COMPUTED_VALUE"""),"O processo durou 901 dias entre a assinatura do despacho de autorização de abertura do PAD pelo Reitor e a assinatura do despacho de concordância/divergência pelo mesmo.")</f>
        <v>O processo durou 901 dias entre a assinatura do despacho de autorização de abertura do PAD pelo Reitor e a assinatura do despacho de concordância/divergência pelo mesmo.</v>
      </c>
      <c r="Q17" s="5">
        <f ca="1">IFERROR(__xludf.DUMMYFUNCTION("""COMPUTED_VALUE"""),45567)</f>
        <v>45567</v>
      </c>
      <c r="R17" s="3" t="str">
        <f ca="1">IFERROR(__xludf.DUMMYFUNCTION("""COMPUTED_VALUE"""),"Alessandra Abelheira")</f>
        <v>Alessandra Abelheira</v>
      </c>
      <c r="S17" s="3"/>
      <c r="T17" s="3" t="str">
        <f ca="1">IFERROR(__xludf.DUMMYFUNCTION("""COMPUTED_VALUE"""),"Ariane Serpa")</f>
        <v>Ariane Serpa</v>
      </c>
      <c r="U17" s="3" t="str">
        <f ca="1">IFERROR(__xludf.DUMMYFUNCTION("""COMPUTED_VALUE"""),"Teresa Jardin")</f>
        <v>Teresa Jardin</v>
      </c>
      <c r="V17" s="3" t="str">
        <f ca="1">IFERROR(__xludf.DUMMYFUNCTION("""COMPUTED_VALUE"""),"Jair Eduardo Salim Magluf Veras")</f>
        <v>Jair Eduardo Salim Magluf Veras</v>
      </c>
      <c r="W17" s="3" t="str">
        <f ca="1">IFERROR(__xludf.DUMMYFUNCTION("""COMPUTED_VALUE"""),"E-26/007/618/2019")</f>
        <v>E-26/007/618/2019</v>
      </c>
      <c r="X17" s="3" t="str">
        <f ca="1">IFERROR(__xludf.DUMMYFUNCTION("""COMPUTED_VALUE"""),"S-Resposta do Reitor/Anotado.")</f>
        <v>S-Resposta do Reitor/Anotado.</v>
      </c>
    </row>
    <row r="18" spans="1:24" x14ac:dyDescent="0.2">
      <c r="A18" s="3" t="str">
        <f ca="1">IFERROR(__xludf.DUMMYFUNCTION("""COMPUTED_VALUE"""),"313/2019")</f>
        <v>313/2019</v>
      </c>
      <c r="B18" s="3" t="str">
        <f ca="1">IFERROR(__xludf.DUMMYFUNCTION("""COMPUTED_VALUE"""),"E-26/007/643/2019")</f>
        <v>E-26/007/643/2019</v>
      </c>
      <c r="C18" s="3" t="str">
        <f ca="1">IFERROR(__xludf.DUMMYFUNCTION("""COMPUTED_VALUE"""),"Vitor Ramos Braga, 36902-5")</f>
        <v>Vitor Ramos Braga, 36902-5</v>
      </c>
      <c r="D18" s="3" t="str">
        <f ca="1">IFERROR(__xludf.DUMMYFUNCTION("""COMPUTED_VALUE"""),"Desvio de conduta")</f>
        <v>Desvio de conduta</v>
      </c>
      <c r="E18" s="3" t="str">
        <f ca="1">IFERROR(__xludf.DUMMYFUNCTION("""COMPUTED_VALUE"""),"Desvio de conduta")</f>
        <v>Desvio de conduta</v>
      </c>
      <c r="F18" s="3" t="str">
        <f ca="1">IFERROR(__xludf.DUMMYFUNCTION("""COMPUTED_VALUE"""),"Abandono de cargo/ Inassiduidade habitual.")</f>
        <v>Abandono de cargo/ Inassiduidade habitual.</v>
      </c>
      <c r="G18" s="3" t="str">
        <f ca="1">IFERROR(__xludf.DUMMYFUNCTION("""COMPUTED_VALUE"""),"Abandono de cargo/ Inassiduidade habitual")</f>
        <v>Abandono de cargo/ Inassiduidade habitual</v>
      </c>
      <c r="H18" s="3" t="str">
        <f ca="1">IFERROR(__xludf.DUMMYFUNCTION("""COMPUTED_VALUE"""),"Apuração de faltas sucessivas superior a 10 dias")</f>
        <v>Apuração de faltas sucessivas superior a 10 dias</v>
      </c>
      <c r="I18" s="3"/>
      <c r="J18" s="5">
        <f ca="1">IFERROR(__xludf.DUMMYFUNCTION("""COMPUTED_VALUE"""),43594)</f>
        <v>43594</v>
      </c>
      <c r="K18" s="5">
        <f ca="1">IFERROR(__xludf.DUMMYFUNCTION("""COMPUTED_VALUE"""),43614)</f>
        <v>43614</v>
      </c>
      <c r="L18" s="5">
        <f ca="1">IFERROR(__xludf.DUMMYFUNCTION("""COMPUTED_VALUE"""),43794)</f>
        <v>43794</v>
      </c>
      <c r="M18" s="5">
        <f ca="1">IFERROR(__xludf.DUMMYFUNCTION("""COMPUTED_VALUE"""),43795)</f>
        <v>43795</v>
      </c>
      <c r="N18" s="3" t="str">
        <f ca="1">IFERROR(__xludf.DUMMYFUNCTION("""COMPUTED_VALUE"""),"Finalizado")</f>
        <v>Finalizado</v>
      </c>
      <c r="O18" s="5">
        <f ca="1">IFERROR(__xludf.DUMMYFUNCTION("""COMPUTED_VALUE"""),44526)</f>
        <v>44526</v>
      </c>
      <c r="P18" s="3" t="str">
        <f ca="1">IFERROR(__xludf.DUMMYFUNCTION("""COMPUTED_VALUE"""),"O processo durou 1029 dias entre a assinatura do despacho de autorização de abertura do PAD pelo Reitor e a assinatura do despacho de concordância/divergência pelo mesmo.")</f>
        <v>O processo durou 1029 dias entre a assinatura do despacho de autorização de abertura do PAD pelo Reitor e a assinatura do despacho de concordância/divergência pelo mesmo.</v>
      </c>
      <c r="Q18" s="5">
        <f ca="1">IFERROR(__xludf.DUMMYFUNCTION("""COMPUTED_VALUE"""),45622)</f>
        <v>45622</v>
      </c>
      <c r="R18" s="3" t="str">
        <f ca="1">IFERROR(__xludf.DUMMYFUNCTION("""COMPUTED_VALUE"""),"Leonardo Rocha")</f>
        <v>Leonardo Rocha</v>
      </c>
      <c r="S18" s="3"/>
      <c r="T18" s="3" t="str">
        <f ca="1">IFERROR(__xludf.DUMMYFUNCTION("""COMPUTED_VALUE"""),"Ariane Serpa")</f>
        <v>Ariane Serpa</v>
      </c>
      <c r="U18" s="3" t="str">
        <f ca="1">IFERROR(__xludf.DUMMYFUNCTION("""COMPUTED_VALUE"""),"Karolynne Rocha")</f>
        <v>Karolynne Rocha</v>
      </c>
      <c r="V18" s="3" t="str">
        <f ca="1">IFERROR(__xludf.DUMMYFUNCTION("""COMPUTED_VALUE"""),"Jair Eduardo Salim Magluf Veras")</f>
        <v>Jair Eduardo Salim Magluf Veras</v>
      </c>
      <c r="W18" s="3" t="str">
        <f ca="1">IFERROR(__xludf.DUMMYFUNCTION("""COMPUTED_VALUE"""),"E-26/007/643/2019")</f>
        <v>E-26/007/643/2019</v>
      </c>
      <c r="X18" s="3" t="str">
        <f ca="1">IFERROR(__xludf.DUMMYFUNCTION("""COMPUTED_VALUE"""),"S-Resposta do Reitor/Anotado.")</f>
        <v>S-Resposta do Reitor/Anotado.</v>
      </c>
    </row>
    <row r="19" spans="1:24" x14ac:dyDescent="0.2">
      <c r="A19" s="3" t="str">
        <f ca="1">IFERROR(__xludf.DUMMYFUNCTION("""COMPUTED_VALUE"""),"351/2022")</f>
        <v>351/2022</v>
      </c>
      <c r="B19" s="3" t="str">
        <f ca="1">IFERROR(__xludf.DUMMYFUNCTION("""COMPUTED_VALUE"""),"SEI-260007/017635/2022")</f>
        <v>SEI-260007/017635/2022</v>
      </c>
      <c r="C19" s="3" t="str">
        <f ca="1">IFERROR(__xludf.DUMMYFUNCTION("""COMPUTED_VALUE"""),"Ormezinda Maria Muniz Ribeiro, 30.075-6")</f>
        <v>Ormezinda Maria Muniz Ribeiro, 30.075-6</v>
      </c>
      <c r="D19" s="3" t="str">
        <f ca="1">IFERROR(__xludf.DUMMYFUNCTION("""COMPUTED_VALUE"""),"Desvio de conduta")</f>
        <v>Desvio de conduta</v>
      </c>
      <c r="E19" s="3" t="str">
        <f ca="1">IFERROR(__xludf.DUMMYFUNCTION("""COMPUTED_VALUE"""),"Desvio de conduta")</f>
        <v>Desvio de conduta</v>
      </c>
      <c r="F19" s="3" t="str">
        <f ca="1">IFERROR(__xludf.DUMMYFUNCTION("""COMPUTED_VALUE"""),"Acumulação de cargos.")</f>
        <v>Acumulação de cargos.</v>
      </c>
      <c r="G19" s="3" t="str">
        <f ca="1">IFERROR(__xludf.DUMMYFUNCTION("""COMPUTED_VALUE"""),"Acumulação de cargos")</f>
        <v>Acumulação de cargos</v>
      </c>
      <c r="H19" s="3" t="str">
        <f ca="1">IFERROR(__xludf.DUMMYFUNCTION("""COMPUTED_VALUE"""),"Acumulação de terceiro vínculo no período de 15/07/2013 a 01/11/2018.")</f>
        <v>Acumulação de terceiro vínculo no período de 15/07/2013 a 01/11/2018.</v>
      </c>
      <c r="I19" s="3"/>
      <c r="J19" s="5">
        <f ca="1">IFERROR(__xludf.DUMMYFUNCTION("""COMPUTED_VALUE"""),44655)</f>
        <v>44655</v>
      </c>
      <c r="K19" s="5">
        <f ca="1">IFERROR(__xludf.DUMMYFUNCTION("""COMPUTED_VALUE"""),44662)</f>
        <v>44662</v>
      </c>
      <c r="L19" s="5">
        <f ca="1">IFERROR(__xludf.DUMMYFUNCTION("""COMPUTED_VALUE"""),44842)</f>
        <v>44842</v>
      </c>
      <c r="M19" s="5">
        <f ca="1">IFERROR(__xludf.DUMMYFUNCTION("""COMPUTED_VALUE"""),44843)</f>
        <v>44843</v>
      </c>
      <c r="N19" s="3" t="str">
        <f ca="1">IFERROR(__xludf.DUMMYFUNCTION("""COMPUTED_VALUE"""),"Finalizado")</f>
        <v>Finalizado</v>
      </c>
      <c r="O19" s="5">
        <f ca="1">IFERROR(__xludf.DUMMYFUNCTION("""COMPUTED_VALUE"""),45574)</f>
        <v>45574</v>
      </c>
      <c r="P19" s="3" t="str">
        <f ca="1">IFERROR(__xludf.DUMMYFUNCTION("""COMPUTED_VALUE"""),"O processo durou 1057 dias entre a assinatura do despacho de autorização de abertura do PAD pelo Reitor e a assinatura do despacho de concordância/divergência pelo mesmo.")</f>
        <v>O processo durou 1057 dias entre a assinatura do despacho de autorização de abertura do PAD pelo Reitor e a assinatura do despacho de concordância/divergência pelo mesmo.</v>
      </c>
      <c r="Q19" s="5">
        <f ca="1">IFERROR(__xludf.DUMMYFUNCTION("""COMPUTED_VALUE"""),46669)</f>
        <v>46669</v>
      </c>
      <c r="R19" s="3" t="str">
        <f ca="1">IFERROR(__xludf.DUMMYFUNCTION("""COMPUTED_VALUE"""),"Alessandra Abelheira")</f>
        <v>Alessandra Abelheira</v>
      </c>
      <c r="S19" s="3"/>
      <c r="T19" s="3" t="str">
        <f ca="1">IFERROR(__xludf.DUMMYFUNCTION("""COMPUTED_VALUE"""),"Vanessa Queiroz")</f>
        <v>Vanessa Queiroz</v>
      </c>
      <c r="U19" s="3" t="str">
        <f ca="1">IFERROR(__xludf.DUMMYFUNCTION("""COMPUTED_VALUE"""),"Felipe Perdigão")</f>
        <v>Felipe Perdigão</v>
      </c>
      <c r="V19" s="3"/>
      <c r="W19" s="3" t="str">
        <f ca="1">IFERROR(__xludf.DUMMYFUNCTION("""COMPUTED_VALUE"""),"E-26/007/104817/2018")</f>
        <v>E-26/007/104817/2018</v>
      </c>
      <c r="X19" s="3" t="str">
        <f ca="1">IFERROR(__xludf.DUMMYFUNCTION("""COMPUTED_VALUE"""),"S-Resposta do Reitor/Anotado.")</f>
        <v>S-Resposta do Reitor/Anotado.</v>
      </c>
    </row>
    <row r="20" spans="1:24" x14ac:dyDescent="0.2">
      <c r="A20" s="3" t="str">
        <f ca="1">IFERROR(__xludf.DUMMYFUNCTION("""COMPUTED_VALUE"""),"335/2021")</f>
        <v>335/2021</v>
      </c>
      <c r="B20" s="3" t="str">
        <f ca="1">IFERROR(__xludf.DUMMYFUNCTION("""COMPUTED_VALUE"""),"SEI-260007/021613/2021")</f>
        <v>SEI-260007/021613/2021</v>
      </c>
      <c r="C20" s="3" t="str">
        <f ca="1">IFERROR(__xludf.DUMMYFUNCTION("""COMPUTED_VALUE"""),"Camila Mendonça Panaro, 40.037-4")</f>
        <v>Camila Mendonça Panaro, 40.037-4</v>
      </c>
      <c r="D20" s="3" t="str">
        <f ca="1">IFERROR(__xludf.DUMMYFUNCTION("""COMPUTED_VALUE"""),"Desvio de conduta")</f>
        <v>Desvio de conduta</v>
      </c>
      <c r="E20" s="3" t="str">
        <f ca="1">IFERROR(__xludf.DUMMYFUNCTION("""COMPUTED_VALUE"""),"Desvio de conduta")</f>
        <v>Desvio de conduta</v>
      </c>
      <c r="F20" s="3" t="str">
        <f ca="1">IFERROR(__xludf.DUMMYFUNCTION("""COMPUTED_VALUE"""),"Abandono de cargo/ Inassiduidade habitual.")</f>
        <v>Abandono de cargo/ Inassiduidade habitual.</v>
      </c>
      <c r="G20" s="3" t="str">
        <f ca="1">IFERROR(__xludf.DUMMYFUNCTION("""COMPUTED_VALUE"""),"Abandono de cargo/ Inassiduidade habitual")</f>
        <v>Abandono de cargo/ Inassiduidade habitual</v>
      </c>
      <c r="H20" s="3" t="str">
        <f ca="1">IFERROR(__xludf.DUMMYFUNCTION("""COMPUTED_VALUE"""),"Apuração de faltas sucessivas superior a 10 dias")</f>
        <v>Apuração de faltas sucessivas superior a 10 dias</v>
      </c>
      <c r="I20" s="3"/>
      <c r="J20" s="5">
        <f ca="1">IFERROR(__xludf.DUMMYFUNCTION("""COMPUTED_VALUE"""),44425)</f>
        <v>44425</v>
      </c>
      <c r="K20" s="5">
        <f ca="1">IFERROR(__xludf.DUMMYFUNCTION("""COMPUTED_VALUE"""),44447)</f>
        <v>44447</v>
      </c>
      <c r="L20" s="5">
        <f ca="1">IFERROR(__xludf.DUMMYFUNCTION("""COMPUTED_VALUE"""),44627)</f>
        <v>44627</v>
      </c>
      <c r="M20" s="5">
        <f ca="1">IFERROR(__xludf.DUMMYFUNCTION("""COMPUTED_VALUE"""),44628)</f>
        <v>44628</v>
      </c>
      <c r="N20" s="3" t="str">
        <f ca="1">IFERROR(__xludf.DUMMYFUNCTION("""COMPUTED_VALUE"""),"Finalizado")</f>
        <v>Finalizado</v>
      </c>
      <c r="O20" s="5">
        <f ca="1">IFERROR(__xludf.DUMMYFUNCTION("""COMPUTED_VALUE"""),45359)</f>
        <v>45359</v>
      </c>
      <c r="P20" s="3" t="str">
        <f ca="1">IFERROR(__xludf.DUMMYFUNCTION("""COMPUTED_VALUE"""),"O processo durou 330 dias entre a assinatura do despacho de autorização de abertura do PAD pelo Reitor e a assinatura do despacho de concordância/divergência pelo mesmo.")</f>
        <v>O processo durou 330 dias entre a assinatura do despacho de autorização de abertura do PAD pelo Reitor e a assinatura do despacho de concordância/divergência pelo mesmo.</v>
      </c>
      <c r="Q20" s="5">
        <f ca="1">IFERROR(__xludf.DUMMYFUNCTION("""COMPUTED_VALUE"""),46454)</f>
        <v>46454</v>
      </c>
      <c r="R20" s="3" t="str">
        <f ca="1">IFERROR(__xludf.DUMMYFUNCTION("""COMPUTED_VALUE"""),"Alessandra Abelheira")</f>
        <v>Alessandra Abelheira</v>
      </c>
      <c r="S20" s="3"/>
      <c r="T20" s="3" t="str">
        <f ca="1">IFERROR(__xludf.DUMMYFUNCTION("""COMPUTED_VALUE"""),"Teresa Jardin")</f>
        <v>Teresa Jardin</v>
      </c>
      <c r="U20" s="3" t="str">
        <f ca="1">IFERROR(__xludf.DUMMYFUNCTION("""COMPUTED_VALUE"""),"Karolynne Rocha")</f>
        <v>Karolynne Rocha</v>
      </c>
      <c r="V20" s="3"/>
      <c r="W20" s="3" t="str">
        <f ca="1">IFERROR(__xludf.DUMMYFUNCTION("""COMPUTED_VALUE"""),"SEI-260007/021613/2021")</f>
        <v>SEI-260007/021613/2021</v>
      </c>
      <c r="X20" s="3" t="str">
        <f ca="1">IFERROR(__xludf.DUMMYFUNCTION("""COMPUTED_VALUE"""),"S-Resposta do Reitor/Anotado.")</f>
        <v>S-Resposta do Reitor/Anotado.</v>
      </c>
    </row>
    <row r="21" spans="1:24" x14ac:dyDescent="0.2">
      <c r="A21" s="3" t="str">
        <f ca="1">IFERROR(__xludf.DUMMYFUNCTION("""COMPUTED_VALUE"""),"319/2019")</f>
        <v>319/2019</v>
      </c>
      <c r="B21" s="3" t="str">
        <f ca="1">IFERROR(__xludf.DUMMYFUNCTION("""COMPUTED_VALUE"""),"E-26/007/745/2019")</f>
        <v>E-26/007/745/2019</v>
      </c>
      <c r="C21" s="3" t="str">
        <f ca="1">IFERROR(__xludf.DUMMYFUNCTION("""COMPUTED_VALUE"""),"Valmar de Farias, 04.798-5")</f>
        <v>Valmar de Farias, 04.798-5</v>
      </c>
      <c r="D21" s="3" t="str">
        <f ca="1">IFERROR(__xludf.DUMMYFUNCTION("""COMPUTED_VALUE"""),"Desvio de conduta")</f>
        <v>Desvio de conduta</v>
      </c>
      <c r="E21" s="3" t="str">
        <f ca="1">IFERROR(__xludf.DUMMYFUNCTION("""COMPUTED_VALUE"""),"Desvio de conduta")</f>
        <v>Desvio de conduta</v>
      </c>
      <c r="F21" s="3" t="str">
        <f ca="1">IFERROR(__xludf.DUMMYFUNCTION("""COMPUTED_VALUE"""),"Abandono de cargo/ Inassiduidade habitual.")</f>
        <v>Abandono de cargo/ Inassiduidade habitual.</v>
      </c>
      <c r="G21" s="3" t="str">
        <f ca="1">IFERROR(__xludf.DUMMYFUNCTION("""COMPUTED_VALUE"""),"Abandono de cargo/ Inassiduidade habitual")</f>
        <v>Abandono de cargo/ Inassiduidade habitual</v>
      </c>
      <c r="H21" s="3" t="str">
        <f ca="1">IFERROR(__xludf.DUMMYFUNCTION("""COMPUTED_VALUE"""),"Apuração de faltas sucessivas superior a 10 dias")</f>
        <v>Apuração de faltas sucessivas superior a 10 dias</v>
      </c>
      <c r="I21" s="3"/>
      <c r="J21" s="5">
        <f ca="1">IFERROR(__xludf.DUMMYFUNCTION("""COMPUTED_VALUE"""),43665)</f>
        <v>43665</v>
      </c>
      <c r="K21" s="5">
        <f ca="1">IFERROR(__xludf.DUMMYFUNCTION("""COMPUTED_VALUE"""),43671)</f>
        <v>43671</v>
      </c>
      <c r="L21" s="5">
        <f ca="1">IFERROR(__xludf.DUMMYFUNCTION("""COMPUTED_VALUE"""),43851)</f>
        <v>43851</v>
      </c>
      <c r="M21" s="5">
        <f ca="1">IFERROR(__xludf.DUMMYFUNCTION("""COMPUTED_VALUE"""),43852)</f>
        <v>43852</v>
      </c>
      <c r="N21" s="3" t="str">
        <f ca="1">IFERROR(__xludf.DUMMYFUNCTION("""COMPUTED_VALUE"""),"Finalizado")</f>
        <v>Finalizado</v>
      </c>
      <c r="O21" s="5">
        <f ca="1">IFERROR(__xludf.DUMMYFUNCTION("""COMPUTED_VALUE"""),44583)</f>
        <v>44583</v>
      </c>
      <c r="P21" s="3" t="str">
        <f ca="1">IFERROR(__xludf.DUMMYFUNCTION("""COMPUTED_VALUE"""),"O processo durou 1062 dias entre a assinatura do despacho de autorização de abertura do PAD pelo Reitor e a assinatura do despacho de concordância/divergência pelo mesmo.")</f>
        <v>O processo durou 1062 dias entre a assinatura do despacho de autorização de abertura do PAD pelo Reitor e a assinatura do despacho de concordância/divergência pelo mesmo.</v>
      </c>
      <c r="Q21" s="5">
        <f ca="1">IFERROR(__xludf.DUMMYFUNCTION("""COMPUTED_VALUE"""),45679)</f>
        <v>45679</v>
      </c>
      <c r="R21" s="3" t="str">
        <f ca="1">IFERROR(__xludf.DUMMYFUNCTION("""COMPUTED_VALUE"""),"Alessandra Abelheira")</f>
        <v>Alessandra Abelheira</v>
      </c>
      <c r="S21" s="3"/>
      <c r="T21" s="3" t="str">
        <f ca="1">IFERROR(__xludf.DUMMYFUNCTION("""COMPUTED_VALUE"""),"Ariane Serpa")</f>
        <v>Ariane Serpa</v>
      </c>
      <c r="U21" s="3" t="str">
        <f ca="1">IFERROR(__xludf.DUMMYFUNCTION("""COMPUTED_VALUE"""),"Teresa Jardin")</f>
        <v>Teresa Jardin</v>
      </c>
      <c r="V21" s="3"/>
      <c r="W21" s="3" t="str">
        <f ca="1">IFERROR(__xludf.DUMMYFUNCTION("""COMPUTED_VALUE"""),"E-26/007/745/2019")</f>
        <v>E-26/007/745/2019</v>
      </c>
      <c r="X21" s="3" t="str">
        <f ca="1">IFERROR(__xludf.DUMMYFUNCTION("""COMPUTED_VALUE"""),"S-Resposta do Reitor/Anotado.")</f>
        <v>S-Resposta do Reitor/Anotado.</v>
      </c>
    </row>
    <row r="22" spans="1:24" x14ac:dyDescent="0.2">
      <c r="A22" s="3" t="str">
        <f ca="1">IFERROR(__xludf.DUMMYFUNCTION("""COMPUTED_VALUE"""),"324/2021")</f>
        <v>324/2021</v>
      </c>
      <c r="B22" s="3" t="str">
        <f ca="1">IFERROR(__xludf.DUMMYFUNCTION("""COMPUTED_VALUE"""),"SEI-260007/001747/2021")</f>
        <v>SEI-260007/001747/2021</v>
      </c>
      <c r="C22" s="3" t="str">
        <f ca="1">IFERROR(__xludf.DUMMYFUNCTION("""COMPUTED_VALUE"""),"Margareth Oliveira dos Santos da Costa Pinto, matrícula nº. 37.675-6")</f>
        <v>Margareth Oliveira dos Santos da Costa Pinto, matrícula nº. 37.675-6</v>
      </c>
      <c r="D22" s="3" t="str">
        <f ca="1">IFERROR(__xludf.DUMMYFUNCTION("""COMPUTED_VALUE"""),"Desvio de conduta")</f>
        <v>Desvio de conduta</v>
      </c>
      <c r="E22" s="3" t="str">
        <f ca="1">IFERROR(__xludf.DUMMYFUNCTION("""COMPUTED_VALUE"""),"Desvio de conduta")</f>
        <v>Desvio de conduta</v>
      </c>
      <c r="F22" s="3" t="str">
        <f ca="1">IFERROR(__xludf.DUMMYFUNCTION("""COMPUTED_VALUE"""),"Abandono de cargo/ Inassiduidade habitual.")</f>
        <v>Abandono de cargo/ Inassiduidade habitual.</v>
      </c>
      <c r="G22" s="3" t="str">
        <f ca="1">IFERROR(__xludf.DUMMYFUNCTION("""COMPUTED_VALUE"""),"Abandono de cargo/ Inassiduidade habitual")</f>
        <v>Abandono de cargo/ Inassiduidade habitual</v>
      </c>
      <c r="H22" s="3" t="str">
        <f ca="1">IFERROR(__xludf.DUMMYFUNCTION("""COMPUTED_VALUE"""),"Apuração de faltas sucessivas superior a 10 dias")</f>
        <v>Apuração de faltas sucessivas superior a 10 dias</v>
      </c>
      <c r="I22" s="3"/>
      <c r="J22" s="7">
        <f ca="1">IFERROR(__xludf.DUMMYFUNCTION("""COMPUTED_VALUE"""),44187)</f>
        <v>44187</v>
      </c>
      <c r="K22" s="5">
        <f ca="1">IFERROR(__xludf.DUMMYFUNCTION("""COMPUTED_VALUE"""),44202)</f>
        <v>44202</v>
      </c>
      <c r="L22" s="5">
        <f ca="1">IFERROR(__xludf.DUMMYFUNCTION("""COMPUTED_VALUE"""),44382)</f>
        <v>44382</v>
      </c>
      <c r="M22" s="5">
        <f ca="1">IFERROR(__xludf.DUMMYFUNCTION("""COMPUTED_VALUE"""),44383)</f>
        <v>44383</v>
      </c>
      <c r="N22" s="3" t="str">
        <f ca="1">IFERROR(__xludf.DUMMYFUNCTION("""COMPUTED_VALUE"""),"Finalizado")</f>
        <v>Finalizado</v>
      </c>
      <c r="O22" s="5">
        <f ca="1">IFERROR(__xludf.DUMMYFUNCTION("""COMPUTED_VALUE"""),45113)</f>
        <v>45113</v>
      </c>
      <c r="P22" s="3" t="str">
        <f ca="1">IFERROR(__xludf.DUMMYFUNCTION("""COMPUTED_VALUE"""),"O processo durou 743 dias entre a assinatura do despacho de autorização de abertura do PAD pelo Reitor e a assinatura do despacho de concordância/divergência pelo mesmo.")</f>
        <v>O processo durou 743 dias entre a assinatura do despacho de autorização de abertura do PAD pelo Reitor e a assinatura do despacho de concordância/divergência pelo mesmo.</v>
      </c>
      <c r="Q22" s="5">
        <f ca="1">IFERROR(__xludf.DUMMYFUNCTION("""COMPUTED_VALUE"""),46209)</f>
        <v>46209</v>
      </c>
      <c r="R22" s="3" t="str">
        <f ca="1">IFERROR(__xludf.DUMMYFUNCTION("""COMPUTED_VALUE"""),"Alessandra Abelheira")</f>
        <v>Alessandra Abelheira</v>
      </c>
      <c r="S22" s="3" t="str">
        <f ca="1">IFERROR(__xludf.DUMMYFUNCTION("""COMPUTED_VALUE"""),"Débora")</f>
        <v>Débora</v>
      </c>
      <c r="T22" s="3" t="str">
        <f ca="1">IFERROR(__xludf.DUMMYFUNCTION("""COMPUTED_VALUE"""),"Ariane Serpa")</f>
        <v>Ariane Serpa</v>
      </c>
      <c r="U22" s="3" t="str">
        <f ca="1">IFERROR(__xludf.DUMMYFUNCTION("""COMPUTED_VALUE"""),"Teresa Jardin")</f>
        <v>Teresa Jardin</v>
      </c>
      <c r="V22" s="3" t="str">
        <f ca="1">IFERROR(__xludf.DUMMYFUNCTION("""COMPUTED_VALUE"""),"Não")</f>
        <v>Não</v>
      </c>
      <c r="W22" s="3" t="str">
        <f ca="1">IFERROR(__xludf.DUMMYFUNCTION("""COMPUTED_VALUE"""),"SEI-260007/005284/2020")</f>
        <v>SEI-260007/005284/2020</v>
      </c>
      <c r="X22" s="3" t="str">
        <f ca="1">IFERROR(__xludf.DUMMYFUNCTION("""COMPUTED_VALUE"""),"S-Resposta do Reitor/Anotado.")</f>
        <v>S-Resposta do Reitor/Anotado.</v>
      </c>
    </row>
    <row r="23" spans="1:24" x14ac:dyDescent="0.2">
      <c r="A23" s="3" t="str">
        <f ca="1">IFERROR(__xludf.DUMMYFUNCTION("""COMPUTED_VALUE"""),"332/2021")</f>
        <v>332/2021</v>
      </c>
      <c r="B23" s="3" t="str">
        <f ca="1">IFERROR(__xludf.DUMMYFUNCTION("""COMPUTED_VALUE"""),"SEI-260007/009676/2021")</f>
        <v>SEI-260007/009676/2021</v>
      </c>
      <c r="C23" s="3" t="str">
        <f ca="1">IFERROR(__xludf.DUMMYFUNCTION("""COMPUTED_VALUE"""),"Anderson Luiz dos Santos Ribeiro, matrícula nº 37.076-7.")</f>
        <v>Anderson Luiz dos Santos Ribeiro, matrícula nº 37.076-7.</v>
      </c>
      <c r="D23" s="3" t="str">
        <f ca="1">IFERROR(__xludf.DUMMYFUNCTION("""COMPUTED_VALUE"""),"Desvio de conduta")</f>
        <v>Desvio de conduta</v>
      </c>
      <c r="E23" s="3" t="str">
        <f ca="1">IFERROR(__xludf.DUMMYFUNCTION("""COMPUTED_VALUE"""),"Desvio de conduta")</f>
        <v>Desvio de conduta</v>
      </c>
      <c r="F23" s="3" t="str">
        <f ca="1">IFERROR(__xludf.DUMMYFUNCTION("""COMPUTED_VALUE"""),"Abandono de cargo/ Inassiduidade habitual.")</f>
        <v>Abandono de cargo/ Inassiduidade habitual.</v>
      </c>
      <c r="G23" s="3" t="str">
        <f ca="1">IFERROR(__xludf.DUMMYFUNCTION("""COMPUTED_VALUE"""),"Abandono de cargo/ Inassiduidade habitual")</f>
        <v>Abandono de cargo/ Inassiduidade habitual</v>
      </c>
      <c r="H23" s="3" t="str">
        <f ca="1">IFERROR(__xludf.DUMMYFUNCTION("""COMPUTED_VALUE"""),"Apuração de faltas sucessivas superior a 10 dias")</f>
        <v>Apuração de faltas sucessivas superior a 10 dias</v>
      </c>
      <c r="I23" s="3"/>
      <c r="J23" s="5">
        <f ca="1">IFERROR(__xludf.DUMMYFUNCTION("""COMPUTED_VALUE"""),44270)</f>
        <v>44270</v>
      </c>
      <c r="K23" s="5">
        <f ca="1">IFERROR(__xludf.DUMMYFUNCTION("""COMPUTED_VALUE"""),44278)</f>
        <v>44278</v>
      </c>
      <c r="L23" s="5">
        <f ca="1">IFERROR(__xludf.DUMMYFUNCTION("""COMPUTED_VALUE"""),44458)</f>
        <v>44458</v>
      </c>
      <c r="M23" s="5">
        <f ca="1">IFERROR(__xludf.DUMMYFUNCTION("""COMPUTED_VALUE"""),44459)</f>
        <v>44459</v>
      </c>
      <c r="N23" s="3" t="str">
        <f ca="1">IFERROR(__xludf.DUMMYFUNCTION("""COMPUTED_VALUE"""),"Finalizado")</f>
        <v>Finalizado</v>
      </c>
      <c r="O23" s="5">
        <f ca="1">IFERROR(__xludf.DUMMYFUNCTION("""COMPUTED_VALUE"""),45189)</f>
        <v>45189</v>
      </c>
      <c r="P23" s="3" t="str">
        <f ca="1">IFERROR(__xludf.DUMMYFUNCTION("""COMPUTED_VALUE"""),"O processo durou 686 dias entre a assinatura do despacho de autorização de abertura do PAD pelo Reitor e a assinatura do despacho de concordância/divergência pelo mesmo.")</f>
        <v>O processo durou 686 dias entre a assinatura do despacho de autorização de abertura do PAD pelo Reitor e a assinatura do despacho de concordância/divergência pelo mesmo.</v>
      </c>
      <c r="Q23" s="5">
        <f ca="1">IFERROR(__xludf.DUMMYFUNCTION("""COMPUTED_VALUE"""),46285)</f>
        <v>46285</v>
      </c>
      <c r="R23" s="3" t="str">
        <f ca="1">IFERROR(__xludf.DUMMYFUNCTION("""COMPUTED_VALUE"""),"Alessandra Abelheira")</f>
        <v>Alessandra Abelheira</v>
      </c>
      <c r="S23" s="3"/>
      <c r="T23" s="3" t="str">
        <f ca="1">IFERROR(__xludf.DUMMYFUNCTION("""COMPUTED_VALUE"""),"Karolynne Rocha")</f>
        <v>Karolynne Rocha</v>
      </c>
      <c r="U23" s="3" t="str">
        <f ca="1">IFERROR(__xludf.DUMMYFUNCTION("""COMPUTED_VALUE"""),"Ariane Serpa")</f>
        <v>Ariane Serpa</v>
      </c>
      <c r="V23" s="3" t="str">
        <f ca="1">IFERROR(__xludf.DUMMYFUNCTION("""COMPUTED_VALUE"""),"Não")</f>
        <v>Não</v>
      </c>
      <c r="W23" s="3" t="str">
        <f ca="1">IFERROR(__xludf.DUMMYFUNCTION("""COMPUTED_VALUE"""),"SEI-260007/000675/2020")</f>
        <v>SEI-260007/000675/2020</v>
      </c>
      <c r="X23" s="3" t="str">
        <f ca="1">IFERROR(__xludf.DUMMYFUNCTION("""COMPUTED_VALUE"""),"S-Resposta do Reitor/Anotado.")</f>
        <v>S-Resposta do Reitor/Anotado.</v>
      </c>
    </row>
    <row r="24" spans="1:24" x14ac:dyDescent="0.2">
      <c r="A24" s="3" t="str">
        <f ca="1">IFERROR(__xludf.DUMMYFUNCTION("""COMPUTED_VALUE"""),"312/2019")</f>
        <v>312/2019</v>
      </c>
      <c r="B24" s="3" t="str">
        <f ca="1">IFERROR(__xludf.DUMMYFUNCTION("""COMPUTED_VALUE"""),"E-26/007/3199/2013
")</f>
        <v xml:space="preserve">E-26/007/3199/2013
</v>
      </c>
      <c r="C24" s="3" t="str">
        <f ca="1">IFERROR(__xludf.DUMMYFUNCTION("""COMPUTED_VALUE"""),"Henyse Gomes Valente da Silva, matr. 6.637-3")</f>
        <v>Henyse Gomes Valente da Silva, matr. 6.637-3</v>
      </c>
      <c r="D24" s="3" t="str">
        <f ca="1">IFERROR(__xludf.DUMMYFUNCTION("""COMPUTED_VALUE"""),"Desvio de conduta")</f>
        <v>Desvio de conduta</v>
      </c>
      <c r="E24" s="3" t="str">
        <f ca="1">IFERROR(__xludf.DUMMYFUNCTION("""COMPUTED_VALUE"""),"Desvio de conduta")</f>
        <v>Desvio de conduta</v>
      </c>
      <c r="F24" s="3" t="str">
        <f ca="1">IFERROR(__xludf.DUMMYFUNCTION("""COMPUTED_VALUE"""),"Violação dedicação exclusiva")</f>
        <v>Violação dedicação exclusiva</v>
      </c>
      <c r="G24" s="3" t="str">
        <f ca="1">IFERROR(__xludf.DUMMYFUNCTION("""COMPUTED_VALUE"""),"Violação dedicação exclusiva")</f>
        <v>Violação dedicação exclusiva</v>
      </c>
      <c r="H24" s="3" t="str">
        <f ca="1">IFERROR(__xludf.DUMMYFUNCTION("""COMPUTED_VALUE"""),"Violação ao regime de dedicação exclusiva")</f>
        <v>Violação ao regime de dedicação exclusiva</v>
      </c>
      <c r="I24" s="3"/>
      <c r="J24" s="5">
        <f ca="1">IFERROR(__xludf.DUMMYFUNCTION("""COMPUTED_VALUE"""),43517)</f>
        <v>43517</v>
      </c>
      <c r="K24" s="5">
        <f ca="1">IFERROR(__xludf.DUMMYFUNCTION("""COMPUTED_VALUE"""),43524)</f>
        <v>43524</v>
      </c>
      <c r="L24" s="5">
        <f ca="1">IFERROR(__xludf.DUMMYFUNCTION("""COMPUTED_VALUE"""),43704)</f>
        <v>43704</v>
      </c>
      <c r="M24" s="5">
        <f ca="1">IFERROR(__xludf.DUMMYFUNCTION("""COMPUTED_VALUE"""),43705)</f>
        <v>43705</v>
      </c>
      <c r="N24" s="3" t="str">
        <f ca="1">IFERROR(__xludf.DUMMYFUNCTION("""COMPUTED_VALUE"""),"Finalizado")</f>
        <v>Finalizado</v>
      </c>
      <c r="O24" s="5">
        <f ca="1">IFERROR(__xludf.DUMMYFUNCTION("""COMPUTED_VALUE"""),44436)</f>
        <v>44436</v>
      </c>
      <c r="P24" s="3" t="str">
        <f ca="1">IFERROR(__xludf.DUMMYFUNCTION("""COMPUTED_VALUE"""),"O processo durou 1418 dias entre a assinatura do despacho de autorização de abertura do PAD pelo Reitor e a assinatura do despacho de concordância/divergência pelo mesmo.")</f>
        <v>O processo durou 1418 dias entre a assinatura do despacho de autorização de abertura do PAD pelo Reitor e a assinatura do despacho de concordância/divergência pelo mesmo.</v>
      </c>
      <c r="Q24" s="5">
        <f ca="1">IFERROR(__xludf.DUMMYFUNCTION("""COMPUTED_VALUE"""),45532)</f>
        <v>45532</v>
      </c>
      <c r="R24" s="3" t="str">
        <f ca="1">IFERROR(__xludf.DUMMYFUNCTION("""COMPUTED_VALUE"""),"Alessandra Abelheira")</f>
        <v>Alessandra Abelheira</v>
      </c>
      <c r="S24" s="3" t="str">
        <f ca="1">IFERROR(__xludf.DUMMYFUNCTION("""COMPUTED_VALUE"""),"Felipe")</f>
        <v>Felipe</v>
      </c>
      <c r="T24" s="3" t="str">
        <f ca="1">IFERROR(__xludf.DUMMYFUNCTION("""COMPUTED_VALUE"""),"Karolynne Rocha")</f>
        <v>Karolynne Rocha</v>
      </c>
      <c r="U24" s="3" t="str">
        <f ca="1">IFERROR(__xludf.DUMMYFUNCTION("""COMPUTED_VALUE"""),"Patrícia Glioche")</f>
        <v>Patrícia Glioche</v>
      </c>
      <c r="V24" s="3" t="str">
        <f ca="1">IFERROR(__xludf.DUMMYFUNCTION("""COMPUTED_VALUE"""),"Não")</f>
        <v>Não</v>
      </c>
      <c r="W24" s="3" t="str">
        <f ca="1">IFERROR(__xludf.DUMMYFUNCTION("""COMPUTED_VALUE"""),"E-26/007/3199/2013")</f>
        <v>E-26/007/3199/2013</v>
      </c>
      <c r="X24" s="3" t="str">
        <f ca="1">IFERROR(__xludf.DUMMYFUNCTION("""COMPUTED_VALUE"""),"S-Resposta do Reitor/Anotado.")</f>
        <v>S-Resposta do Reitor/Anotado.</v>
      </c>
    </row>
    <row r="25" spans="1:24" x14ac:dyDescent="0.2">
      <c r="A25" s="3" t="str">
        <f ca="1">IFERROR(__xludf.DUMMYFUNCTION("""COMPUTED_VALUE"""),"339/2021")</f>
        <v>339/2021</v>
      </c>
      <c r="B25" s="3" t="str">
        <f ca="1">IFERROR(__xludf.DUMMYFUNCTION("""COMPUTED_VALUE"""),"SEI-260007/030732/2021")</f>
        <v>SEI-260007/030732/2021</v>
      </c>
      <c r="C25" s="3" t="str">
        <f ca="1">IFERROR(__xludf.DUMMYFUNCTION("""COMPUTED_VALUE"""),"Regina Gonçalves de Moura, 5739-8")</f>
        <v>Regina Gonçalves de Moura, 5739-8</v>
      </c>
      <c r="D25" s="3" t="str">
        <f ca="1">IFERROR(__xludf.DUMMYFUNCTION("""COMPUTED_VALUE"""),"Desvio de conduta")</f>
        <v>Desvio de conduta</v>
      </c>
      <c r="E25" s="3" t="str">
        <f ca="1">IFERROR(__xludf.DUMMYFUNCTION("""COMPUTED_VALUE"""),"Desvio de conduta")</f>
        <v>Desvio de conduta</v>
      </c>
      <c r="F25" s="3" t="str">
        <f ca="1">IFERROR(__xludf.DUMMYFUNCTION("""COMPUTED_VALUE"""),"Violação dedicação exclusiva")</f>
        <v>Violação dedicação exclusiva</v>
      </c>
      <c r="G25" s="3" t="str">
        <f ca="1">IFERROR(__xludf.DUMMYFUNCTION("""COMPUTED_VALUE"""),"Violação dedicação exclusiva")</f>
        <v>Violação dedicação exclusiva</v>
      </c>
      <c r="H25" s="3" t="str">
        <f ca="1">IFERROR(__xludf.DUMMYFUNCTION("""COMPUTED_VALUE"""),"Violação ao regime de dedicação exclusiva")</f>
        <v>Violação ao regime de dedicação exclusiva</v>
      </c>
      <c r="I25" s="3"/>
      <c r="J25" s="5">
        <f ca="1">IFERROR(__xludf.DUMMYFUNCTION("""COMPUTED_VALUE"""),44452)</f>
        <v>44452</v>
      </c>
      <c r="K25" s="5">
        <f ca="1">IFERROR(__xludf.DUMMYFUNCTION("""COMPUTED_VALUE"""),44455)</f>
        <v>44455</v>
      </c>
      <c r="L25" s="5">
        <f ca="1">IFERROR(__xludf.DUMMYFUNCTION("""COMPUTED_VALUE"""),44635)</f>
        <v>44635</v>
      </c>
      <c r="M25" s="5">
        <f ca="1">IFERROR(__xludf.DUMMYFUNCTION("""COMPUTED_VALUE"""),44636)</f>
        <v>44636</v>
      </c>
      <c r="N25" s="3" t="str">
        <f ca="1">IFERROR(__xludf.DUMMYFUNCTION("""COMPUTED_VALUE"""),"Finalizado")</f>
        <v>Finalizado</v>
      </c>
      <c r="O25" s="5">
        <f ca="1">IFERROR(__xludf.DUMMYFUNCTION("""COMPUTED_VALUE"""),45367)</f>
        <v>45367</v>
      </c>
      <c r="P25" s="3" t="str">
        <f ca="1">IFERROR(__xludf.DUMMYFUNCTION("""COMPUTED_VALUE"""),"O processo durou 824 dias entre a assinatura do despacho de autorização de abertura do PAD pelo Reitor e a assinatura do despacho de concordância/divergência pelo mesmo.")</f>
        <v>O processo durou 824 dias entre a assinatura do despacho de autorização de abertura do PAD pelo Reitor e a assinatura do despacho de concordância/divergência pelo mesmo.</v>
      </c>
      <c r="Q25" s="5">
        <f ca="1">IFERROR(__xludf.DUMMYFUNCTION("""COMPUTED_VALUE"""),46462)</f>
        <v>46462</v>
      </c>
      <c r="R25" s="3" t="str">
        <f ca="1">IFERROR(__xludf.DUMMYFUNCTION("""COMPUTED_VALUE"""),"Alessandra Abelheira")</f>
        <v>Alessandra Abelheira</v>
      </c>
      <c r="S25" s="3" t="str">
        <f ca="1">IFERROR(__xludf.DUMMYFUNCTION("""COMPUTED_VALUE"""),"Franciane")</f>
        <v>Franciane</v>
      </c>
      <c r="T25" s="3" t="str">
        <f ca="1">IFERROR(__xludf.DUMMYFUNCTION("""COMPUTED_VALUE"""),"Karolynne Rocha")</f>
        <v>Karolynne Rocha</v>
      </c>
      <c r="U25" s="3" t="str">
        <f ca="1">IFERROR(__xludf.DUMMYFUNCTION("""COMPUTED_VALUE"""),"Teresa Jardin")</f>
        <v>Teresa Jardin</v>
      </c>
      <c r="V25" s="3" t="str">
        <f ca="1">IFERROR(__xludf.DUMMYFUNCTION("""COMPUTED_VALUE"""),"Não")</f>
        <v>Não</v>
      </c>
      <c r="W25" s="3" t="str">
        <f ca="1">IFERROR(__xludf.DUMMYFUNCTION("""COMPUTED_VALUE"""),"14847/UERJ/2012")</f>
        <v>14847/UERJ/2012</v>
      </c>
      <c r="X25" s="3" t="str">
        <f ca="1">IFERROR(__xludf.DUMMYFUNCTION("""COMPUTED_VALUE"""),"S-Resposta do Reitor/Anotado.")</f>
        <v>S-Resposta do Reitor/Anotado.</v>
      </c>
    </row>
    <row r="26" spans="1:24" x14ac:dyDescent="0.2">
      <c r="A26" s="3" t="str">
        <f ca="1">IFERROR(__xludf.DUMMYFUNCTION("""COMPUTED_VALUE"""),"320/2019")</f>
        <v>320/2019</v>
      </c>
      <c r="B26" s="3" t="str">
        <f ca="1">IFERROR(__xludf.DUMMYFUNCTION("""COMPUTED_VALUE"""),"E-26/007/104486/2018")</f>
        <v>E-26/007/104486/2018</v>
      </c>
      <c r="C26" s="3" t="str">
        <f ca="1">IFERROR(__xludf.DUMMYFUNCTION("""COMPUTED_VALUE"""),"Tamara Raquel da Silva, 36275-6")</f>
        <v>Tamara Raquel da Silva, 36275-6</v>
      </c>
      <c r="D26" s="3" t="str">
        <f ca="1">IFERROR(__xludf.DUMMYFUNCTION("""COMPUTED_VALUE"""),"Desvio de conduta")</f>
        <v>Desvio de conduta</v>
      </c>
      <c r="E26" s="3" t="str">
        <f ca="1">IFERROR(__xludf.DUMMYFUNCTION("""COMPUTED_VALUE"""),"Desvio de conduta")</f>
        <v>Desvio de conduta</v>
      </c>
      <c r="F26" s="3" t="str">
        <f ca="1">IFERROR(__xludf.DUMMYFUNCTION("""COMPUTED_VALUE"""),"Abandono de cargo/ Inassiduidade habitual.")</f>
        <v>Abandono de cargo/ Inassiduidade habitual.</v>
      </c>
      <c r="G26" s="3" t="str">
        <f ca="1">IFERROR(__xludf.DUMMYFUNCTION("""COMPUTED_VALUE"""),"Abandono de cargo/ Inassiduidade habitual")</f>
        <v>Abandono de cargo/ Inassiduidade habitual</v>
      </c>
      <c r="H26" s="3" t="str">
        <f ca="1">IFERROR(__xludf.DUMMYFUNCTION("""COMPUTED_VALUE"""),"Apuração de faltas sucessivas superior a 10 dias")</f>
        <v>Apuração de faltas sucessivas superior a 10 dias</v>
      </c>
      <c r="I26" s="3"/>
      <c r="J26" s="5">
        <f ca="1">IFERROR(__xludf.DUMMYFUNCTION("""COMPUTED_VALUE"""),43742)</f>
        <v>43742</v>
      </c>
      <c r="K26" s="5">
        <f ca="1">IFERROR(__xludf.DUMMYFUNCTION("""COMPUTED_VALUE"""),43748)</f>
        <v>43748</v>
      </c>
      <c r="L26" s="5">
        <f ca="1">IFERROR(__xludf.DUMMYFUNCTION("""COMPUTED_VALUE"""),43928)</f>
        <v>43928</v>
      </c>
      <c r="M26" s="5">
        <f ca="1">IFERROR(__xludf.DUMMYFUNCTION("""COMPUTED_VALUE"""),43929)</f>
        <v>43929</v>
      </c>
      <c r="N26" s="3" t="str">
        <f ca="1">IFERROR(__xludf.DUMMYFUNCTION("""COMPUTED_VALUE"""),"Finalizado")</f>
        <v>Finalizado</v>
      </c>
      <c r="O26" s="5">
        <f ca="1">IFERROR(__xludf.DUMMYFUNCTION("""COMPUTED_VALUE"""),44659)</f>
        <v>44659</v>
      </c>
      <c r="P26" s="3" t="str">
        <f ca="1">IFERROR(__xludf.DUMMYFUNCTION("""COMPUTED_VALUE"""),"O processo durou 1259 dias entre a assinatura do despacho de autorização de abertura do PAD pelo Reitor e a assinatura do despacho de concordância/divergência pelo mesmo.")</f>
        <v>O processo durou 1259 dias entre a assinatura do despacho de autorização de abertura do PAD pelo Reitor e a assinatura do despacho de concordância/divergência pelo mesmo.</v>
      </c>
      <c r="Q26" s="5">
        <f ca="1">IFERROR(__xludf.DUMMYFUNCTION("""COMPUTED_VALUE"""),45755)</f>
        <v>45755</v>
      </c>
      <c r="R26" s="3" t="str">
        <f ca="1">IFERROR(__xludf.DUMMYFUNCTION("""COMPUTED_VALUE"""),"Alessandra Abelheira")</f>
        <v>Alessandra Abelheira</v>
      </c>
      <c r="S26" s="3"/>
      <c r="T26" s="3" t="str">
        <f ca="1">IFERROR(__xludf.DUMMYFUNCTION("""COMPUTED_VALUE"""),"Ariane Serpa")</f>
        <v>Ariane Serpa</v>
      </c>
      <c r="U26" s="3" t="str">
        <f ca="1">IFERROR(__xludf.DUMMYFUNCTION("""COMPUTED_VALUE"""),"Teresa Jardin")</f>
        <v>Teresa Jardin</v>
      </c>
      <c r="V26" s="3" t="str">
        <f ca="1">IFERROR(__xludf.DUMMYFUNCTION("""COMPUTED_VALUE"""),"Jair Eduardo Salim Magluf Veras")</f>
        <v>Jair Eduardo Salim Magluf Veras</v>
      </c>
      <c r="W26" s="3" t="str">
        <f ca="1">IFERROR(__xludf.DUMMYFUNCTION("""COMPUTED_VALUE"""),"E-26/007/104486/2018")</f>
        <v>E-26/007/104486/2018</v>
      </c>
      <c r="X26" s="3" t="str">
        <f ca="1">IFERROR(__xludf.DUMMYFUNCTION("""COMPUTED_VALUE"""),"S-Resposta do Reitor/Anotado.")</f>
        <v>S-Resposta do Reitor/Anotado.</v>
      </c>
    </row>
    <row r="27" spans="1:24" x14ac:dyDescent="0.2">
      <c r="A27" s="3" t="str">
        <f ca="1">IFERROR(__xludf.DUMMYFUNCTION("""COMPUTED_VALUE"""),"305/2019")</f>
        <v>305/2019</v>
      </c>
      <c r="B27" s="3" t="str">
        <f ca="1">IFERROR(__xludf.DUMMYFUNCTION("""COMPUTED_VALUE"""),"E-26/007/1689/2017")</f>
        <v>E-26/007/1689/2017</v>
      </c>
      <c r="C27" s="3" t="str">
        <f ca="1">IFERROR(__xludf.DUMMYFUNCTION("""COMPUTED_VALUE"""),"Teresa Cristina de Sá Miranda, 38268-9")</f>
        <v>Teresa Cristina de Sá Miranda, 38268-9</v>
      </c>
      <c r="D27" s="3" t="str">
        <f ca="1">IFERROR(__xludf.DUMMYFUNCTION("""COMPUTED_VALUE"""),"Desvio de conduta")</f>
        <v>Desvio de conduta</v>
      </c>
      <c r="E27" s="3" t="str">
        <f ca="1">IFERROR(__xludf.DUMMYFUNCTION("""COMPUTED_VALUE"""),"Desvio de conduta")</f>
        <v>Desvio de conduta</v>
      </c>
      <c r="F27" s="3" t="str">
        <f ca="1">IFERROR(__xludf.DUMMYFUNCTION("""COMPUTED_VALUE"""),"Abandono de cargo/ Inassiduidade habitual.")</f>
        <v>Abandono de cargo/ Inassiduidade habitual.</v>
      </c>
      <c r="G27" s="3" t="str">
        <f ca="1">IFERROR(__xludf.DUMMYFUNCTION("""COMPUTED_VALUE"""),"Abandono de cargo/ Inassiduidade habitual")</f>
        <v>Abandono de cargo/ Inassiduidade habitual</v>
      </c>
      <c r="H27" s="3" t="str">
        <f ca="1">IFERROR(__xludf.DUMMYFUNCTION("""COMPUTED_VALUE"""),"Apuração de faltas por período superior a 10 (dez) dias intercalados e consecutivos no período de 25/02/2016 a 26/12/2016.")</f>
        <v>Apuração de faltas por período superior a 10 (dez) dias intercalados e consecutivos no período de 25/02/2016 a 26/12/2016.</v>
      </c>
      <c r="I27" s="3"/>
      <c r="J27" s="5">
        <f ca="1">IFERROR(__xludf.DUMMYFUNCTION("""COMPUTED_VALUE"""),43517)</f>
        <v>43517</v>
      </c>
      <c r="K27" s="5">
        <f ca="1">IFERROR(__xludf.DUMMYFUNCTION("""COMPUTED_VALUE"""),43536)</f>
        <v>43536</v>
      </c>
      <c r="L27" s="5">
        <f ca="1">IFERROR(__xludf.DUMMYFUNCTION("""COMPUTED_VALUE"""),43716)</f>
        <v>43716</v>
      </c>
      <c r="M27" s="5">
        <f ca="1">IFERROR(__xludf.DUMMYFUNCTION("""COMPUTED_VALUE"""),43717)</f>
        <v>43717</v>
      </c>
      <c r="N27" s="3" t="str">
        <f ca="1">IFERROR(__xludf.DUMMYFUNCTION("""COMPUTED_VALUE"""),"Finalizado")</f>
        <v>Finalizado</v>
      </c>
      <c r="O27" s="5">
        <f ca="1">IFERROR(__xludf.DUMMYFUNCTION("""COMPUTED_VALUE"""),44448)</f>
        <v>44448</v>
      </c>
      <c r="P27" s="3" t="str">
        <f ca="1">IFERROR(__xludf.DUMMYFUNCTION("""COMPUTED_VALUE"""),"O processo durou 1547 dias entre a assinatura do despacho de autorização de abertura do PAD pelo Reitor e a assinatura do despacho de concordância/divergência pelo mesmo.")</f>
        <v>O processo durou 1547 dias entre a assinatura do despacho de autorização de abertura do PAD pelo Reitor e a assinatura do despacho de concordância/divergência pelo mesmo.</v>
      </c>
      <c r="Q27" s="5">
        <f ca="1">IFERROR(__xludf.DUMMYFUNCTION("""COMPUTED_VALUE"""),45544)</f>
        <v>45544</v>
      </c>
      <c r="R27" s="3" t="str">
        <f ca="1">IFERROR(__xludf.DUMMYFUNCTION("""COMPUTED_VALUE"""),"Alessandra Abelheira")</f>
        <v>Alessandra Abelheira</v>
      </c>
      <c r="S27" s="3"/>
      <c r="T27" s="3" t="str">
        <f ca="1">IFERROR(__xludf.DUMMYFUNCTION("""COMPUTED_VALUE"""),"Ariane Serpa")</f>
        <v>Ariane Serpa</v>
      </c>
      <c r="U27" s="3" t="str">
        <f ca="1">IFERROR(__xludf.DUMMYFUNCTION("""COMPUTED_VALUE"""),"Débora Ribeiro")</f>
        <v>Débora Ribeiro</v>
      </c>
      <c r="V27" s="3" t="str">
        <f ca="1">IFERROR(__xludf.DUMMYFUNCTION("""COMPUTED_VALUE"""),"Jair Eduardo Salim Magluf Veras")</f>
        <v>Jair Eduardo Salim Magluf Veras</v>
      </c>
      <c r="W27" s="3" t="str">
        <f ca="1">IFERROR(__xludf.DUMMYFUNCTION("""COMPUTED_VALUE"""),"E-26/007/1689/2017")</f>
        <v>E-26/007/1689/2017</v>
      </c>
      <c r="X27" s="3" t="str">
        <f ca="1">IFERROR(__xludf.DUMMYFUNCTION("""COMPUTED_VALUE"""),"S-Resposta do Reitor/Anotado.")</f>
        <v>S-Resposta do Reitor/Anotado.</v>
      </c>
    </row>
    <row r="28" spans="1:24" x14ac:dyDescent="0.2">
      <c r="A28" s="3" t="str">
        <f ca="1">IFERROR(__xludf.DUMMYFUNCTION("""COMPUTED_VALUE"""),"326/2021")</f>
        <v>326/2021</v>
      </c>
      <c r="B28" s="3" t="str">
        <f ca="1">IFERROR(__xludf.DUMMYFUNCTION("""COMPUTED_VALUE"""),"SEI-260007/003269/2021")</f>
        <v>SEI-260007/003269/2021</v>
      </c>
      <c r="C28" s="3" t="str">
        <f ca="1">IFERROR(__xludf.DUMMYFUNCTION("""COMPUTED_VALUE"""),"RICARDO ROCHA DE SOUZA, matrícula nº 07.469-0.")</f>
        <v>RICARDO ROCHA DE SOUZA, matrícula nº 07.469-0.</v>
      </c>
      <c r="D28" s="3" t="str">
        <f ca="1">IFERROR(__xludf.DUMMYFUNCTION("""COMPUTED_VALUE"""),"Desvio de conduta")</f>
        <v>Desvio de conduta</v>
      </c>
      <c r="E28" s="3" t="str">
        <f ca="1">IFERROR(__xludf.DUMMYFUNCTION("""COMPUTED_VALUE"""),"Desvio de conduta")</f>
        <v>Desvio de conduta</v>
      </c>
      <c r="F28" s="3" t="str">
        <f ca="1">IFERROR(__xludf.DUMMYFUNCTION("""COMPUTED_VALUE"""),"Abandono de cargo/ Inassiduidade habitual.")</f>
        <v>Abandono de cargo/ Inassiduidade habitual.</v>
      </c>
      <c r="G28" s="3" t="str">
        <f ca="1">IFERROR(__xludf.DUMMYFUNCTION("""COMPUTED_VALUE"""),"Abandono de cargo/ Inassiduidade habitual")</f>
        <v>Abandono de cargo/ Inassiduidade habitual</v>
      </c>
      <c r="H28" s="3" t="str">
        <f ca="1">IFERROR(__xludf.DUMMYFUNCTION("""COMPUTED_VALUE"""),"Apuração de faltas interpoladas superior a 20 dias, no período de 10/05/2018 a 29/05/2019")</f>
        <v>Apuração de faltas interpoladas superior a 20 dias, no período de 10/05/2018 a 29/05/2019</v>
      </c>
      <c r="I28" s="3"/>
      <c r="J28" s="5">
        <f ca="1">IFERROR(__xludf.DUMMYFUNCTION("""COMPUTED_VALUE"""),43843)</f>
        <v>43843</v>
      </c>
      <c r="K28" s="5">
        <f ca="1">IFERROR(__xludf.DUMMYFUNCTION("""COMPUTED_VALUE"""),43858)</f>
        <v>43858</v>
      </c>
      <c r="L28" s="5">
        <f ca="1">IFERROR(__xludf.DUMMYFUNCTION("""COMPUTED_VALUE"""),44038)</f>
        <v>44038</v>
      </c>
      <c r="M28" s="5">
        <f ca="1">IFERROR(__xludf.DUMMYFUNCTION("""COMPUTED_VALUE"""),44039)</f>
        <v>44039</v>
      </c>
      <c r="N28" s="3" t="str">
        <f ca="1">IFERROR(__xludf.DUMMYFUNCTION("""COMPUTED_VALUE"""),"Finalizado")</f>
        <v>Finalizado</v>
      </c>
      <c r="O28" s="5">
        <f ca="1">IFERROR(__xludf.DUMMYFUNCTION("""COMPUTED_VALUE"""),44769)</f>
        <v>44769</v>
      </c>
      <c r="P28" s="3" t="str">
        <f ca="1">IFERROR(__xludf.DUMMYFUNCTION("""COMPUTED_VALUE"""),"O processo durou 1221 dias entre a assinatura do despacho de autorização de abertura do PAD pelo Reitor e a assinatura do despacho de concordância/divergência pelo mesmo.")</f>
        <v>O processo durou 1221 dias entre a assinatura do despacho de autorização de abertura do PAD pelo Reitor e a assinatura do despacho de concordância/divergência pelo mesmo.</v>
      </c>
      <c r="Q28" s="5">
        <f ca="1">IFERROR(__xludf.DUMMYFUNCTION("""COMPUTED_VALUE"""),45865)</f>
        <v>45865</v>
      </c>
      <c r="R28" s="3" t="str">
        <f ca="1">IFERROR(__xludf.DUMMYFUNCTION("""COMPUTED_VALUE"""),"Alessandra Abelheira")</f>
        <v>Alessandra Abelheira</v>
      </c>
      <c r="S28" s="3" t="str">
        <f ca="1">IFERROR(__xludf.DUMMYFUNCTION("""COMPUTED_VALUE"""),"Débora")</f>
        <v>Débora</v>
      </c>
      <c r="T28" s="3" t="str">
        <f ca="1">IFERROR(__xludf.DUMMYFUNCTION("""COMPUTED_VALUE"""),"Karolynne Rocha")</f>
        <v>Karolynne Rocha</v>
      </c>
      <c r="U28" s="3" t="str">
        <f ca="1">IFERROR(__xludf.DUMMYFUNCTION("""COMPUTED_VALUE"""),"Ariane Serpa")</f>
        <v>Ariane Serpa</v>
      </c>
      <c r="V28" s="3" t="str">
        <f ca="1">IFERROR(__xludf.DUMMYFUNCTION("""COMPUTED_VALUE"""),"Não")</f>
        <v>Não</v>
      </c>
      <c r="W28" s="3" t="str">
        <f ca="1">IFERROR(__xludf.DUMMYFUNCTION("""COMPUTED_VALUE"""),"E-26/007/6277/2019")</f>
        <v>E-26/007/6277/2019</v>
      </c>
      <c r="X28" s="3" t="str">
        <f ca="1">IFERROR(__xludf.DUMMYFUNCTION("""COMPUTED_VALUE"""),"S-Resposta do Reitor/Anotado.")</f>
        <v>S-Resposta do Reitor/Anotado.</v>
      </c>
    </row>
    <row r="29" spans="1:24" x14ac:dyDescent="0.2">
      <c r="A29" s="3" t="str">
        <f ca="1">IFERROR(__xludf.DUMMYFUNCTION("""COMPUTED_VALUE"""),"353/2022")</f>
        <v>353/2022</v>
      </c>
      <c r="B29" s="3" t="str">
        <f ca="1">IFERROR(__xludf.DUMMYFUNCTION("""COMPUTED_VALUE"""),"SEI-260007/017724/2022")</f>
        <v>SEI-260007/017724/2022</v>
      </c>
      <c r="C29" s="3" t="str">
        <f ca="1">IFERROR(__xludf.DUMMYFUNCTION("""COMPUTED_VALUE"""),"Luiz Mariano Paes de Carvalho Filho , matrícula nº 33431-8")</f>
        <v>Luiz Mariano Paes de Carvalho Filho , matrícula nº 33431-8</v>
      </c>
      <c r="D29" s="3" t="str">
        <f ca="1">IFERROR(__xludf.DUMMYFUNCTION("""COMPUTED_VALUE"""),"Desvio de conduta")</f>
        <v>Desvio de conduta</v>
      </c>
      <c r="E29" s="3" t="str">
        <f ca="1">IFERROR(__xludf.DUMMYFUNCTION("""COMPUTED_VALUE"""),"Desvio de conduta")</f>
        <v>Desvio de conduta</v>
      </c>
      <c r="F29" s="3" t="str">
        <f ca="1">IFERROR(__xludf.DUMMYFUNCTION("""COMPUTED_VALUE"""),"Violação dedicação exclusiva")</f>
        <v>Violação dedicação exclusiva</v>
      </c>
      <c r="G29" s="3" t="str">
        <f ca="1">IFERROR(__xludf.DUMMYFUNCTION("""COMPUTED_VALUE"""),"Violação dedicação exclusiva")</f>
        <v>Violação dedicação exclusiva</v>
      </c>
      <c r="H29" s="3" t="str">
        <f ca="1">IFERROR(__xludf.DUMMYFUNCTION("""COMPUTED_VALUE"""),"Violação ao regime de dedicação exclusiva")</f>
        <v>Violação ao regime de dedicação exclusiva</v>
      </c>
      <c r="I29" s="3"/>
      <c r="J29" s="5">
        <f ca="1">IFERROR(__xludf.DUMMYFUNCTION("""COMPUTED_VALUE"""),44659)</f>
        <v>44659</v>
      </c>
      <c r="K29" s="5">
        <f ca="1">IFERROR(__xludf.DUMMYFUNCTION("""COMPUTED_VALUE"""),44669)</f>
        <v>44669</v>
      </c>
      <c r="L29" s="5">
        <f ca="1">IFERROR(__xludf.DUMMYFUNCTION("""COMPUTED_VALUE"""),44849)</f>
        <v>44849</v>
      </c>
      <c r="M29" s="5">
        <f ca="1">IFERROR(__xludf.DUMMYFUNCTION("""COMPUTED_VALUE"""),44850)</f>
        <v>44850</v>
      </c>
      <c r="N29" s="3" t="str">
        <f ca="1">IFERROR(__xludf.DUMMYFUNCTION("""COMPUTED_VALUE"""),"Finalizado")</f>
        <v>Finalizado</v>
      </c>
      <c r="O29" s="5">
        <f ca="1">IFERROR(__xludf.DUMMYFUNCTION("""COMPUTED_VALUE"""),45581)</f>
        <v>45581</v>
      </c>
      <c r="P29" s="3" t="str">
        <f ca="1">IFERROR(__xludf.DUMMYFUNCTION("""COMPUTED_VALUE"""),"O processo durou 430 dias entre a assinatura do despacho de autorização de abertura do PAD pelo Reitor e a assinatura do despacho de concordância/divergência pelo mesmo.")</f>
        <v>O processo durou 430 dias entre a assinatura do despacho de autorização de abertura do PAD pelo Reitor e a assinatura do despacho de concordância/divergência pelo mesmo.</v>
      </c>
      <c r="Q29" s="5">
        <f ca="1">IFERROR(__xludf.DUMMYFUNCTION("""COMPUTED_VALUE"""),46676)</f>
        <v>46676</v>
      </c>
      <c r="R29" s="3" t="str">
        <f ca="1">IFERROR(__xludf.DUMMYFUNCTION("""COMPUTED_VALUE"""),"Alessandra Abelheira")</f>
        <v>Alessandra Abelheira</v>
      </c>
      <c r="S29" s="3"/>
      <c r="T29" s="3" t="str">
        <f ca="1">IFERROR(__xludf.DUMMYFUNCTION("""COMPUTED_VALUE"""),"Patrícia Glioche")</f>
        <v>Patrícia Glioche</v>
      </c>
      <c r="U29" s="3" t="str">
        <f ca="1">IFERROR(__xludf.DUMMYFUNCTION("""COMPUTED_VALUE"""),"Vanessa Queiroz")</f>
        <v>Vanessa Queiroz</v>
      </c>
      <c r="V29" s="3" t="str">
        <f ca="1">IFERROR(__xludf.DUMMYFUNCTION("""COMPUTED_VALUE"""),"Não")</f>
        <v>Não</v>
      </c>
      <c r="W29" s="3" t="str">
        <f ca="1">IFERROR(__xludf.DUMMYFUNCTION("""COMPUTED_VALUE"""),"14878/UERJ/2012")</f>
        <v>14878/UERJ/2012</v>
      </c>
      <c r="X29" s="3" t="str">
        <f ca="1">IFERROR(__xludf.DUMMYFUNCTION("""COMPUTED_VALUE"""),"S-Resposta do Reitor/Anotado.")</f>
        <v>S-Resposta do Reitor/Anotado.</v>
      </c>
    </row>
    <row r="30" spans="1:24" x14ac:dyDescent="0.2">
      <c r="A30" s="3" t="str">
        <f ca="1">IFERROR(__xludf.DUMMYFUNCTION("""COMPUTED_VALUE"""),"343/2021")</f>
        <v>343/2021</v>
      </c>
      <c r="B30" s="3" t="str">
        <f ca="1">IFERROR(__xludf.DUMMYFUNCTION("""COMPUTED_VALUE"""),"SEI-260007/034472/2021")</f>
        <v>SEI-260007/034472/2021</v>
      </c>
      <c r="C30" s="3" t="str">
        <f ca="1">IFERROR(__xludf.DUMMYFUNCTION("""COMPUTED_VALUE"""),"Marcia Cristina Brasil dos Santos, matrícula nº 34.283-2")</f>
        <v>Marcia Cristina Brasil dos Santos, matrícula nº 34.283-2</v>
      </c>
      <c r="D30" s="3" t="str">
        <f ca="1">IFERROR(__xludf.DUMMYFUNCTION("""COMPUTED_VALUE"""),"Desvio de conduta")</f>
        <v>Desvio de conduta</v>
      </c>
      <c r="E30" s="3" t="str">
        <f ca="1">IFERROR(__xludf.DUMMYFUNCTION("""COMPUTED_VALUE"""),"Desvio de conduta")</f>
        <v>Desvio de conduta</v>
      </c>
      <c r="F30" s="3" t="str">
        <f ca="1">IFERROR(__xludf.DUMMYFUNCTION("""COMPUTED_VALUE"""),"Acumulação de cargos.")</f>
        <v>Acumulação de cargos.</v>
      </c>
      <c r="G30" s="3" t="str">
        <f ca="1">IFERROR(__xludf.DUMMYFUNCTION("""COMPUTED_VALUE"""),"Acumulação de cargos")</f>
        <v>Acumulação de cargos</v>
      </c>
      <c r="H30" s="3" t="str">
        <f ca="1">IFERROR(__xludf.DUMMYFUNCTION("""COMPUTED_VALUE"""),"Acumulação de terceiro vínculo no período de 11/02/2015 a 31/01/2016")</f>
        <v>Acumulação de terceiro vínculo no período de 11/02/2015 a 31/01/2016</v>
      </c>
      <c r="I30" s="3"/>
      <c r="J30" s="5">
        <f ca="1">IFERROR(__xludf.DUMMYFUNCTION("""COMPUTED_VALUE"""),44534)</f>
        <v>44534</v>
      </c>
      <c r="K30" s="5">
        <f ca="1">IFERROR(__xludf.DUMMYFUNCTION("""COMPUTED_VALUE"""),44539)</f>
        <v>44539</v>
      </c>
      <c r="L30" s="5">
        <f ca="1">IFERROR(__xludf.DUMMYFUNCTION("""COMPUTED_VALUE"""),44719)</f>
        <v>44719</v>
      </c>
      <c r="M30" s="5">
        <f ca="1">IFERROR(__xludf.DUMMYFUNCTION("""COMPUTED_VALUE"""),44720)</f>
        <v>44720</v>
      </c>
      <c r="N30" s="3" t="str">
        <f ca="1">IFERROR(__xludf.DUMMYFUNCTION("""COMPUTED_VALUE"""),"Finalizado")</f>
        <v>Finalizado</v>
      </c>
      <c r="O30" s="5">
        <f ca="1">IFERROR(__xludf.DUMMYFUNCTION("""COMPUTED_VALUE"""),45451)</f>
        <v>45451</v>
      </c>
      <c r="P30" s="3" t="str">
        <f ca="1">IFERROR(__xludf.DUMMYFUNCTION("""COMPUTED_VALUE"""),"O processo durou 744 dias entre a assinatura do despacho de autorização de abertura do PAD pelo Reitor e a assinatura do despacho de concordância/divergência pelo mesmo.")</f>
        <v>O processo durou 744 dias entre a assinatura do despacho de autorização de abertura do PAD pelo Reitor e a assinatura do despacho de concordância/divergência pelo mesmo.</v>
      </c>
      <c r="Q30" s="5">
        <f ca="1">IFERROR(__xludf.DUMMYFUNCTION("""COMPUTED_VALUE"""),46546)</f>
        <v>46546</v>
      </c>
      <c r="R30" s="3" t="str">
        <f ca="1">IFERROR(__xludf.DUMMYFUNCTION("""COMPUTED_VALUE"""),"Alessandra Abelheira")</f>
        <v>Alessandra Abelheira</v>
      </c>
      <c r="S30" s="3" t="str">
        <f ca="1">IFERROR(__xludf.DUMMYFUNCTION("""COMPUTED_VALUE"""),"Débora")</f>
        <v>Débora</v>
      </c>
      <c r="T30" s="3" t="str">
        <f ca="1">IFERROR(__xludf.DUMMYFUNCTION("""COMPUTED_VALUE"""),"Karolynne Rocha")</f>
        <v>Karolynne Rocha</v>
      </c>
      <c r="U30" s="3" t="str">
        <f ca="1">IFERROR(__xludf.DUMMYFUNCTION("""COMPUTED_VALUE"""),"Ariane Serpa")</f>
        <v>Ariane Serpa</v>
      </c>
      <c r="V30" s="3"/>
      <c r="W30" s="3" t="str">
        <f ca="1">IFERROR(__xludf.DUMMYFUNCTION("""COMPUTED_VALUE"""),"7487/UERJ/2003")</f>
        <v>7487/UERJ/2003</v>
      </c>
      <c r="X30" s="3" t="str">
        <f ca="1">IFERROR(__xludf.DUMMYFUNCTION("""COMPUTED_VALUE"""),"S-Resposta do Reitor/Anotado.")</f>
        <v>S-Resposta do Reitor/Anotado.</v>
      </c>
    </row>
    <row r="31" spans="1:24" x14ac:dyDescent="0.2">
      <c r="A31" s="3" t="str">
        <f ca="1">IFERROR(__xludf.DUMMYFUNCTION("""COMPUTED_VALUE"""),"347/2022")</f>
        <v>347/2022</v>
      </c>
      <c r="B31" s="3" t="str">
        <f ca="1">IFERROR(__xludf.DUMMYFUNCTION("""COMPUTED_VALUE"""),"SEI-260007/012515/2022")</f>
        <v>SEI-260007/012515/2022</v>
      </c>
      <c r="C31" s="3" t="str">
        <f ca="1">IFERROR(__xludf.DUMMYFUNCTION("""COMPUTED_VALUE"""),"Miriam Tagliatti Gonçalves, matr. 39.443-7")</f>
        <v>Miriam Tagliatti Gonçalves, matr. 39.443-7</v>
      </c>
      <c r="D31" s="3" t="str">
        <f ca="1">IFERROR(__xludf.DUMMYFUNCTION("""COMPUTED_VALUE"""),"Desvio de conduta")</f>
        <v>Desvio de conduta</v>
      </c>
      <c r="E31" s="3" t="str">
        <f ca="1">IFERROR(__xludf.DUMMYFUNCTION("""COMPUTED_VALUE"""),"Desvio de conduta")</f>
        <v>Desvio de conduta</v>
      </c>
      <c r="F31" s="3" t="str">
        <f ca="1">IFERROR(__xludf.DUMMYFUNCTION("""COMPUTED_VALUE"""),"Acumulação de cargos.")</f>
        <v>Acumulação de cargos.</v>
      </c>
      <c r="G31" s="3" t="str">
        <f ca="1">IFERROR(__xludf.DUMMYFUNCTION("""COMPUTED_VALUE"""),"Acumulação de cargos")</f>
        <v>Acumulação de cargos</v>
      </c>
      <c r="H31" s="3" t="str">
        <f ca="1">IFERROR(__xludf.DUMMYFUNCTION("""COMPUTED_VALUE"""),"Acumulação de terceiro vínculo no período de 17/12/2018 a 08/09/2019.")</f>
        <v>Acumulação de terceiro vínculo no período de 17/12/2018 a 08/09/2019.</v>
      </c>
      <c r="I31" s="3"/>
      <c r="J31" s="5">
        <f ca="1">IFERROR(__xludf.DUMMYFUNCTION("""COMPUTED_VALUE"""),44592)</f>
        <v>44592</v>
      </c>
      <c r="K31" s="5">
        <f ca="1">IFERROR(__xludf.DUMMYFUNCTION("""COMPUTED_VALUE"""),44603)</f>
        <v>44603</v>
      </c>
      <c r="L31" s="5">
        <f ca="1">IFERROR(__xludf.DUMMYFUNCTION("""COMPUTED_VALUE"""),44783)</f>
        <v>44783</v>
      </c>
      <c r="M31" s="5">
        <f ca="1">IFERROR(__xludf.DUMMYFUNCTION("""COMPUTED_VALUE"""),44784)</f>
        <v>44784</v>
      </c>
      <c r="N31" s="3" t="str">
        <f ca="1">IFERROR(__xludf.DUMMYFUNCTION("""COMPUTED_VALUE"""),"Finalizado")</f>
        <v>Finalizado</v>
      </c>
      <c r="O31" s="5">
        <f ca="1">IFERROR(__xludf.DUMMYFUNCTION("""COMPUTED_VALUE"""),45515)</f>
        <v>45515</v>
      </c>
      <c r="P31" s="3" t="str">
        <f ca="1">IFERROR(__xludf.DUMMYFUNCTION("""COMPUTED_VALUE"""),"O processo durou 677 dias entre a assinatura do despacho de autorização de abertura do PAD pelo Reitor e a assinatura do despacho de concordância/divergência pelo mesmo.")</f>
        <v>O processo durou 677 dias entre a assinatura do despacho de autorização de abertura do PAD pelo Reitor e a assinatura do despacho de concordância/divergência pelo mesmo.</v>
      </c>
      <c r="Q31" s="5">
        <f ca="1">IFERROR(__xludf.DUMMYFUNCTION("""COMPUTED_VALUE"""),46610)</f>
        <v>46610</v>
      </c>
      <c r="R31" s="3" t="str">
        <f ca="1">IFERROR(__xludf.DUMMYFUNCTION("""COMPUTED_VALUE"""),"Alessandra Abelheira")</f>
        <v>Alessandra Abelheira</v>
      </c>
      <c r="S31" s="3" t="str">
        <f ca="1">IFERROR(__xludf.DUMMYFUNCTION("""COMPUTED_VALUE"""),"Débora")</f>
        <v>Débora</v>
      </c>
      <c r="T31" s="3" t="str">
        <f ca="1">IFERROR(__xludf.DUMMYFUNCTION("""COMPUTED_VALUE"""),"Ariane Serpa")</f>
        <v>Ariane Serpa</v>
      </c>
      <c r="U31" s="3" t="str">
        <f ca="1">IFERROR(__xludf.DUMMYFUNCTION("""COMPUTED_VALUE"""),"Teresa Jardin")</f>
        <v>Teresa Jardin</v>
      </c>
      <c r="V31" s="3"/>
      <c r="W31" s="3" t="str">
        <f ca="1">IFERROR(__xludf.DUMMYFUNCTION("""COMPUTED_VALUE"""),"E-26/007/2380/2019")</f>
        <v>E-26/007/2380/2019</v>
      </c>
      <c r="X31" s="3" t="str">
        <f ca="1">IFERROR(__xludf.DUMMYFUNCTION("""COMPUTED_VALUE"""),"S-Resposta do Reitor/Anotado.")</f>
        <v>S-Resposta do Reitor/Anotado.</v>
      </c>
    </row>
    <row r="32" spans="1:24" x14ac:dyDescent="0.2">
      <c r="A32" s="3" t="str">
        <f ca="1">IFERROR(__xludf.DUMMYFUNCTION("""COMPUTED_VALUE"""),"368/2022")</f>
        <v>368/2022</v>
      </c>
      <c r="B32" s="3" t="str">
        <f ca="1">IFERROR(__xludf.DUMMYFUNCTION("""COMPUTED_VALUE"""),"SEI-260007/042403/2022")</f>
        <v>SEI-260007/042403/2022</v>
      </c>
      <c r="C32" s="3" t="str">
        <f ca="1">IFERROR(__xludf.DUMMYFUNCTION("""COMPUTED_VALUE"""),"Elinete da Silva Carvalho, matrícula nº 08.234-7")</f>
        <v>Elinete da Silva Carvalho, matrícula nº 08.234-7</v>
      </c>
      <c r="D32" s="3" t="str">
        <f ca="1">IFERROR(__xludf.DUMMYFUNCTION("""COMPUTED_VALUE"""),"Desvio de conduta")</f>
        <v>Desvio de conduta</v>
      </c>
      <c r="E32" s="3" t="str">
        <f ca="1">IFERROR(__xludf.DUMMYFUNCTION("""COMPUTED_VALUE"""),"Desvio de conduta")</f>
        <v>Desvio de conduta</v>
      </c>
      <c r="F32" s="3" t="str">
        <f ca="1">IFERROR(__xludf.DUMMYFUNCTION("""COMPUTED_VALUE"""),"Abandono de cargo/ Inassiduidade habitual.")</f>
        <v>Abandono de cargo/ Inassiduidade habitual.</v>
      </c>
      <c r="G32" s="3" t="str">
        <f ca="1">IFERROR(__xludf.DUMMYFUNCTION("""COMPUTED_VALUE"""),"Abandono de cargo/ Inassiduidade habitual")</f>
        <v>Abandono de cargo/ Inassiduidade habitual</v>
      </c>
      <c r="H32" s="3" t="str">
        <f ca="1">IFERROR(__xludf.DUMMYFUNCTION("""COMPUTED_VALUE"""),"Apuração de faltas por período superior a 10 (dez) dias intercalados e consecutivos (01/12/2021 a 17/12/2021 e de 02/02/2022 a 30/04/2022).")</f>
        <v>Apuração de faltas por período superior a 10 (dez) dias intercalados e consecutivos (01/12/2021 a 17/12/2021 e de 02/02/2022 a 30/04/2022).</v>
      </c>
      <c r="I32" s="3"/>
      <c r="J32" s="5">
        <f ca="1">IFERROR(__xludf.DUMMYFUNCTION("""COMPUTED_VALUE"""),44827)</f>
        <v>44827</v>
      </c>
      <c r="K32" s="5">
        <f ca="1">IFERROR(__xludf.DUMMYFUNCTION("""COMPUTED_VALUE"""),44831)</f>
        <v>44831</v>
      </c>
      <c r="L32" s="5">
        <f ca="1">IFERROR(__xludf.DUMMYFUNCTION("""COMPUTED_VALUE"""),45011)</f>
        <v>45011</v>
      </c>
      <c r="M32" s="5">
        <f ca="1">IFERROR(__xludf.DUMMYFUNCTION("""COMPUTED_VALUE"""),45012)</f>
        <v>45012</v>
      </c>
      <c r="N32" s="3" t="str">
        <f ca="1">IFERROR(__xludf.DUMMYFUNCTION("""COMPUTED_VALUE"""),"Finalizado")</f>
        <v>Finalizado</v>
      </c>
      <c r="O32" s="5">
        <f ca="1">IFERROR(__xludf.DUMMYFUNCTION("""COMPUTED_VALUE"""),45743)</f>
        <v>45743</v>
      </c>
      <c r="P32" s="3" t="str">
        <f ca="1">IFERROR(__xludf.DUMMYFUNCTION("""COMPUTED_VALUE"""),"O processo durou 451 dias entre a assinatura do despacho de autorização de abertura do PAD pelo Reitor e a assinatura do despacho de concordância/divergência pelo mesmo.")</f>
        <v>O processo durou 451 dias entre a assinatura do despacho de autorização de abertura do PAD pelo Reitor e a assinatura do despacho de concordância/divergência pelo mesmo.</v>
      </c>
      <c r="Q32" s="5">
        <f ca="1">IFERROR(__xludf.DUMMYFUNCTION("""COMPUTED_VALUE"""),46839)</f>
        <v>46839</v>
      </c>
      <c r="R32" s="3" t="str">
        <f ca="1">IFERROR(__xludf.DUMMYFUNCTION("""COMPUTED_VALUE"""),"Alessandra Abelheira")</f>
        <v>Alessandra Abelheira</v>
      </c>
      <c r="S32" s="3" t="str">
        <f ca="1">IFERROR(__xludf.DUMMYFUNCTION("""COMPUTED_VALUE"""),"Débora")</f>
        <v>Débora</v>
      </c>
      <c r="T32" s="3" t="str">
        <f ca="1">IFERROR(__xludf.DUMMYFUNCTION("""COMPUTED_VALUE"""),"Karolynne Rocha")</f>
        <v>Karolynne Rocha</v>
      </c>
      <c r="U32" s="3" t="str">
        <f ca="1">IFERROR(__xludf.DUMMYFUNCTION("""COMPUTED_VALUE"""),"Marcelo Ferreira")</f>
        <v>Marcelo Ferreira</v>
      </c>
      <c r="V32" s="3"/>
      <c r="W32" s="3" t="str">
        <f ca="1">IFERROR(__xludf.DUMMYFUNCTION("""COMPUTED_VALUE"""),"SEI-260007/004964/2022")</f>
        <v>SEI-260007/004964/2022</v>
      </c>
      <c r="X32" s="3" t="str">
        <f ca="1">IFERROR(__xludf.DUMMYFUNCTION("""COMPUTED_VALUE"""),"S-Resposta do Reitor/Anotado.")</f>
        <v>S-Resposta do Reitor/Anotado.</v>
      </c>
    </row>
    <row r="33" spans="1:24" x14ac:dyDescent="0.2">
      <c r="A33" s="3" t="str">
        <f ca="1">IFERROR(__xludf.DUMMYFUNCTION("""COMPUTED_VALUE"""),"287/2018")</f>
        <v>287/2018</v>
      </c>
      <c r="B33" s="3" t="str">
        <f ca="1">IFERROR(__xludf.DUMMYFUNCTION("""COMPUTED_VALUE"""),"E-26/007/1013/2013")</f>
        <v>E-26/007/1013/2013</v>
      </c>
      <c r="C33" s="3" t="str">
        <f ca="1">IFERROR(__xludf.DUMMYFUNCTION("""COMPUTED_VALUE"""),"Samyra Kede, matr. 36.552-8,")</f>
        <v>Samyra Kede, matr. 36.552-8,</v>
      </c>
      <c r="D33" s="3" t="str">
        <f ca="1">IFERROR(__xludf.DUMMYFUNCTION("""COMPUTED_VALUE"""),"Fraudes")</f>
        <v>Fraudes</v>
      </c>
      <c r="E33" s="3" t="str">
        <f ca="1">IFERROR(__xludf.DUMMYFUNCTION("""COMPUTED_VALUE"""),"Desvio de conduta, Fraudes")</f>
        <v>Desvio de conduta, Fraudes</v>
      </c>
      <c r="F33" s="3" t="str">
        <f ca="1">IFERROR(__xludf.DUMMYFUNCTION("""COMPUTED_VALUE"""),"Acumulação de cargos.")</f>
        <v>Acumulação de cargos.</v>
      </c>
      <c r="G33" s="3" t="str">
        <f ca="1">IFERROR(__xludf.DUMMYFUNCTION("""COMPUTED_VALUE"""),"Acumulação de cargos")</f>
        <v>Acumulação de cargos</v>
      </c>
      <c r="H33" s="3" t="str">
        <f ca="1">IFERROR(__xludf.DUMMYFUNCTION("""COMPUTED_VALUE"""),"Tríplice acumulação de cargos de 07/01/13 a 17/06/15, quando se exonerou de São Gonçalo. UERJ, Prefeitura Municipal do Rio de Janeiro e Prefeitura de São Gonçalo. Não informou o vínculo com São Gonçalo ao preencher a declaração de cargos. Possível falsida"&amp;"de ideológica")</f>
        <v>Tríplice acumulação de cargos de 07/01/13 a 17/06/15, quando se exonerou de São Gonçalo. UERJ, Prefeitura Municipal do Rio de Janeiro e Prefeitura de São Gonçalo. Não informou o vínculo com São Gonçalo ao preencher a declaração de cargos. Possível falsidade ideológica</v>
      </c>
      <c r="I33" s="3"/>
      <c r="J33" s="5">
        <f ca="1">IFERROR(__xludf.DUMMYFUNCTION("""COMPUTED_VALUE"""),43215)</f>
        <v>43215</v>
      </c>
      <c r="K33" s="5">
        <f ca="1">IFERROR(__xludf.DUMMYFUNCTION("""COMPUTED_VALUE"""),43228)</f>
        <v>43228</v>
      </c>
      <c r="L33" s="5">
        <f ca="1">IFERROR(__xludf.DUMMYFUNCTION("""COMPUTED_VALUE"""),43408)</f>
        <v>43408</v>
      </c>
      <c r="M33" s="5">
        <f ca="1">IFERROR(__xludf.DUMMYFUNCTION("""COMPUTED_VALUE"""),43409)</f>
        <v>43409</v>
      </c>
      <c r="N33" s="3" t="str">
        <f ca="1">IFERROR(__xludf.DUMMYFUNCTION("""COMPUTED_VALUE"""),"Finalizado")</f>
        <v>Finalizado</v>
      </c>
      <c r="O33" s="5">
        <f ca="1">IFERROR(__xludf.DUMMYFUNCTION("""COMPUTED_VALUE"""),44140)</f>
        <v>44140</v>
      </c>
      <c r="P33" s="3" t="str">
        <f ca="1">IFERROR(__xludf.DUMMYFUNCTION("""COMPUTED_VALUE"""),"O processo durou 2038 dias entre a assinatura do despacho de autorização de abertura do PAD pelo Reitor e a assinatura do despacho de concordância/divergência pelo mesmo.")</f>
        <v>O processo durou 2038 dias entre a assinatura do despacho de autorização de abertura do PAD pelo Reitor e a assinatura do despacho de concordância/divergência pelo mesmo.</v>
      </c>
      <c r="Q33" s="5">
        <f ca="1">IFERROR(__xludf.DUMMYFUNCTION("""COMPUTED_VALUE"""),45235)</f>
        <v>45235</v>
      </c>
      <c r="R33" s="3" t="str">
        <f ca="1">IFERROR(__xludf.DUMMYFUNCTION("""COMPUTED_VALUE"""),"Alessandra Abelheira")</f>
        <v>Alessandra Abelheira</v>
      </c>
      <c r="S33" s="3" t="str">
        <f ca="1">IFERROR(__xludf.DUMMYFUNCTION("""COMPUTED_VALUE"""),"Débora")</f>
        <v>Débora</v>
      </c>
      <c r="T33" s="3" t="str">
        <f ca="1">IFERROR(__xludf.DUMMYFUNCTION("""COMPUTED_VALUE"""),"Ariane Serpa")</f>
        <v>Ariane Serpa</v>
      </c>
      <c r="U33" s="3" t="str">
        <f ca="1">IFERROR(__xludf.DUMMYFUNCTION("""COMPUTED_VALUE"""),"Julio Mattos")</f>
        <v>Julio Mattos</v>
      </c>
      <c r="V33" s="3"/>
      <c r="W33" s="3" t="str">
        <f ca="1">IFERROR(__xludf.DUMMYFUNCTION("""COMPUTED_VALUE"""),"E-26/007/1013/2013")</f>
        <v>E-26/007/1013/2013</v>
      </c>
      <c r="X33" s="3" t="str">
        <f ca="1">IFERROR(__xludf.DUMMYFUNCTION("""COMPUTED_VALUE"""),"S-Resposta do Reitor/Anotado.")</f>
        <v>S-Resposta do Reitor/Anotado.</v>
      </c>
    </row>
    <row r="34" spans="1:24" x14ac:dyDescent="0.2">
      <c r="A34" s="3" t="str">
        <f ca="1">IFERROR(__xludf.DUMMYFUNCTION("""COMPUTED_VALUE"""),"354/2022")</f>
        <v>354/2022</v>
      </c>
      <c r="B34" s="3" t="str">
        <f ca="1">IFERROR(__xludf.DUMMYFUNCTION("""COMPUTED_VALUE"""),"SEI-260007/018424/2022")</f>
        <v>SEI-260007/018424/2022</v>
      </c>
      <c r="C34" s="3" t="str">
        <f ca="1">IFERROR(__xludf.DUMMYFUNCTION("""COMPUTED_VALUE"""),"ELYZABETH AVVAD PORTARI, matrícula nº 33.509-1")</f>
        <v>ELYZABETH AVVAD PORTARI, matrícula nº 33.509-1</v>
      </c>
      <c r="D34" s="3" t="str">
        <f ca="1">IFERROR(__xludf.DUMMYFUNCTION("""COMPUTED_VALUE"""),"Desvio de conduta")</f>
        <v>Desvio de conduta</v>
      </c>
      <c r="E34" s="3" t="str">
        <f ca="1">IFERROR(__xludf.DUMMYFUNCTION("""COMPUTED_VALUE"""),"Desvio de conduta")</f>
        <v>Desvio de conduta</v>
      </c>
      <c r="F34" s="3" t="str">
        <f ca="1">IFERROR(__xludf.DUMMYFUNCTION("""COMPUTED_VALUE"""),"Abandono de cargo/ Inassiduidade habitual.")</f>
        <v>Abandono de cargo/ Inassiduidade habitual.</v>
      </c>
      <c r="G34" s="3" t="str">
        <f ca="1">IFERROR(__xludf.DUMMYFUNCTION("""COMPUTED_VALUE"""),"Abandono de cargo/ Inassiduidade habitual")</f>
        <v>Abandono de cargo/ Inassiduidade habitual</v>
      </c>
      <c r="H34" s="3" t="str">
        <f ca="1">IFERROR(__xludf.DUMMYFUNCTION("""COMPUTED_VALUE"""),"Apuração de faltas sucessivas superior a 10 dias")</f>
        <v>Apuração de faltas sucessivas superior a 10 dias</v>
      </c>
      <c r="I34" s="3"/>
      <c r="J34" s="5">
        <f ca="1">IFERROR(__xludf.DUMMYFUNCTION("""COMPUTED_VALUE"""),44677)</f>
        <v>44677</v>
      </c>
      <c r="K34" s="5">
        <f ca="1">IFERROR(__xludf.DUMMYFUNCTION("""COMPUTED_VALUE"""),44680)</f>
        <v>44680</v>
      </c>
      <c r="L34" s="5">
        <f ca="1">IFERROR(__xludf.DUMMYFUNCTION("""COMPUTED_VALUE"""),44860)</f>
        <v>44860</v>
      </c>
      <c r="M34" s="5">
        <f ca="1">IFERROR(__xludf.DUMMYFUNCTION("""COMPUTED_VALUE"""),44861)</f>
        <v>44861</v>
      </c>
      <c r="N34" s="3" t="str">
        <f ca="1">IFERROR(__xludf.DUMMYFUNCTION("""COMPUTED_VALUE"""),"Finalizado")</f>
        <v>Finalizado</v>
      </c>
      <c r="O34" s="5">
        <f ca="1">IFERROR(__xludf.DUMMYFUNCTION("""COMPUTED_VALUE"""),45592)</f>
        <v>45592</v>
      </c>
      <c r="P34" s="3" t="str">
        <f ca="1">IFERROR(__xludf.DUMMYFUNCTION("""COMPUTED_VALUE"""),"O processo durou 592 dias entre a assinatura do despacho de autorização de abertura do PAD pelo Reitor e a assinatura do despacho de concordância/divergência pelo mesmo.")</f>
        <v>O processo durou 592 dias entre a assinatura do despacho de autorização de abertura do PAD pelo Reitor e a assinatura do despacho de concordância/divergência pelo mesmo.</v>
      </c>
      <c r="Q34" s="5">
        <f ca="1">IFERROR(__xludf.DUMMYFUNCTION("""COMPUTED_VALUE"""),46687)</f>
        <v>46687</v>
      </c>
      <c r="R34" s="3" t="str">
        <f ca="1">IFERROR(__xludf.DUMMYFUNCTION("""COMPUTED_VALUE"""),"Alessandra Abelheira")</f>
        <v>Alessandra Abelheira</v>
      </c>
      <c r="S34" s="3" t="str">
        <f ca="1">IFERROR(__xludf.DUMMYFUNCTION("""COMPUTED_VALUE"""),"Débora")</f>
        <v>Débora</v>
      </c>
      <c r="T34" s="3" t="str">
        <f ca="1">IFERROR(__xludf.DUMMYFUNCTION("""COMPUTED_VALUE"""),"Ariane Serpa")</f>
        <v>Ariane Serpa</v>
      </c>
      <c r="U34" s="3" t="str">
        <f ca="1">IFERROR(__xludf.DUMMYFUNCTION("""COMPUTED_VALUE"""),"Patrícia Glioche")</f>
        <v>Patrícia Glioche</v>
      </c>
      <c r="V34" s="3"/>
      <c r="W34" s="3" t="str">
        <f ca="1">IFERROR(__xludf.DUMMYFUNCTION("""COMPUTED_VALUE"""),"E-26/007/8046/2019")</f>
        <v>E-26/007/8046/2019</v>
      </c>
      <c r="X34" s="3" t="str">
        <f ca="1">IFERROR(__xludf.DUMMYFUNCTION("""COMPUTED_VALUE"""),"S-Resposta do Reitor/Anotado.")</f>
        <v>S-Resposta do Reitor/Anotado.</v>
      </c>
    </row>
    <row r="35" spans="1:24" x14ac:dyDescent="0.2">
      <c r="A35" s="3" t="str">
        <f ca="1">IFERROR(__xludf.DUMMYFUNCTION("""COMPUTED_VALUE"""),"334/2021")</f>
        <v>334/2021</v>
      </c>
      <c r="B35" s="3" t="str">
        <f ca="1">IFERROR(__xludf.DUMMYFUNCTION("""COMPUTED_VALUE"""),"SEI-260007/014556/2021")</f>
        <v>SEI-260007/014556/2021</v>
      </c>
      <c r="C35" s="3" t="str">
        <f ca="1">IFERROR(__xludf.DUMMYFUNCTION("""COMPUTED_VALUE"""),"Adriana Vasconcelos de Azevedo, matr. 32.119-0
")</f>
        <v xml:space="preserve">Adriana Vasconcelos de Azevedo, matr. 32.119-0
</v>
      </c>
      <c r="D35" s="3" t="str">
        <f ca="1">IFERROR(__xludf.DUMMYFUNCTION("""COMPUTED_VALUE"""),"Desvio de conduta")</f>
        <v>Desvio de conduta</v>
      </c>
      <c r="E35" s="3" t="str">
        <f ca="1">IFERROR(__xludf.DUMMYFUNCTION("""COMPUTED_VALUE"""),"Desvio de conduta")</f>
        <v>Desvio de conduta</v>
      </c>
      <c r="F35" s="3" t="str">
        <f ca="1">IFERROR(__xludf.DUMMYFUNCTION("""COMPUTED_VALUE"""),"Abandono de cargo/ Inassiduidade habitual.")</f>
        <v>Abandono de cargo/ Inassiduidade habitual.</v>
      </c>
      <c r="G35" s="3" t="str">
        <f ca="1">IFERROR(__xludf.DUMMYFUNCTION("""COMPUTED_VALUE"""),"Abandono de cargo/ Inassiduidade habitual")</f>
        <v>Abandono de cargo/ Inassiduidade habitual</v>
      </c>
      <c r="H35" s="3" t="str">
        <f ca="1">IFERROR(__xludf.DUMMYFUNCTION("""COMPUTED_VALUE"""),"Períodos de faltas não justificadas, objeto do presente apuratório, quais sejam: 27 (vinte e sete) dias de faltas diretas e interpoladas ocorridas no período de 01/07/2019 a 09/07/2019 (9 dias) e 01/08/2019 a 18/08/2019 (18 dias)")</f>
        <v>Períodos de faltas não justificadas, objeto do presente apuratório, quais sejam: 27 (vinte e sete) dias de faltas diretas e interpoladas ocorridas no período de 01/07/2019 a 09/07/2019 (9 dias) e 01/08/2019 a 18/08/2019 (18 dias)</v>
      </c>
      <c r="I35" s="3" t="str">
        <f ca="1">IFERROR(__xludf.DUMMYFUNCTION("""COMPUTED_VALUE"""),"Não")</f>
        <v>Não</v>
      </c>
      <c r="J35" s="5">
        <f ca="1">IFERROR(__xludf.DUMMYFUNCTION("""COMPUTED_VALUE"""),44356)</f>
        <v>44356</v>
      </c>
      <c r="K35" s="5">
        <f ca="1">IFERROR(__xludf.DUMMYFUNCTION("""COMPUTED_VALUE"""),44378)</f>
        <v>44378</v>
      </c>
      <c r="L35" s="5">
        <f ca="1">IFERROR(__xludf.DUMMYFUNCTION("""COMPUTED_VALUE"""),44558)</f>
        <v>44558</v>
      </c>
      <c r="M35" s="5">
        <f ca="1">IFERROR(__xludf.DUMMYFUNCTION("""COMPUTED_VALUE"""),44559)</f>
        <v>44559</v>
      </c>
      <c r="N35" s="3" t="str">
        <f ca="1">IFERROR(__xludf.DUMMYFUNCTION("""COMPUTED_VALUE"""),"Finalizado")</f>
        <v>Finalizado</v>
      </c>
      <c r="O35" s="5">
        <f ca="1">IFERROR(__xludf.DUMMYFUNCTION("""COMPUTED_VALUE"""),45289)</f>
        <v>45289</v>
      </c>
      <c r="P35" s="3" t="str">
        <f ca="1">IFERROR(__xludf.DUMMYFUNCTION("""COMPUTED_VALUE"""),"O processo durou 918 dias entre a assinatura do despacho de autorização de abertura do PAD pelo Reitor e a assinatura do despacho de concordância/divergência pelo mesmo.")</f>
        <v>O processo durou 918 dias entre a assinatura do despacho de autorização de abertura do PAD pelo Reitor e a assinatura do despacho de concordância/divergência pelo mesmo.</v>
      </c>
      <c r="Q35" s="5">
        <f ca="1">IFERROR(__xludf.DUMMYFUNCTION("""COMPUTED_VALUE"""),46385)</f>
        <v>46385</v>
      </c>
      <c r="R35" s="3" t="str">
        <f ca="1">IFERROR(__xludf.DUMMYFUNCTION("""COMPUTED_VALUE"""),"Alessandra Abelheira")</f>
        <v>Alessandra Abelheira</v>
      </c>
      <c r="S35" s="3" t="str">
        <f ca="1">IFERROR(__xludf.DUMMYFUNCTION("""COMPUTED_VALUE"""),"Isadora")</f>
        <v>Isadora</v>
      </c>
      <c r="T35" s="3" t="str">
        <f ca="1">IFERROR(__xludf.DUMMYFUNCTION("""COMPUTED_VALUE"""),"Teresa Jardin")</f>
        <v>Teresa Jardin</v>
      </c>
      <c r="U35" s="3" t="str">
        <f ca="1">IFERROR(__xludf.DUMMYFUNCTION("""COMPUTED_VALUE"""),"Karolynne Rocha")</f>
        <v>Karolynne Rocha</v>
      </c>
      <c r="V35" s="3" t="str">
        <f ca="1">IFERROR(__xludf.DUMMYFUNCTION("""COMPUTED_VALUE"""),"Não")</f>
        <v>Não</v>
      </c>
      <c r="W35" s="3" t="str">
        <f ca="1">IFERROR(__xludf.DUMMYFUNCTION("""COMPUTED_VALUE"""),"E-26/007/8432/2019")</f>
        <v>E-26/007/8432/2019</v>
      </c>
      <c r="X35" s="3" t="str">
        <f ca="1">IFERROR(__xludf.DUMMYFUNCTION("""COMPUTED_VALUE"""),"S-Resposta do Reitor/Anotado.")</f>
        <v>S-Resposta do Reitor/Anotado.</v>
      </c>
    </row>
    <row r="36" spans="1:24" x14ac:dyDescent="0.2">
      <c r="A36" s="3" t="str">
        <f ca="1">IFERROR(__xludf.DUMMYFUNCTION("""COMPUTED_VALUE"""),"409/2023")</f>
        <v>409/2023</v>
      </c>
      <c r="B36" s="3" t="str">
        <f ca="1">IFERROR(__xludf.DUMMYFUNCTION("""COMPUTED_VALUE"""),"SEI-260007/031824/2023")</f>
        <v>SEI-260007/031824/2023</v>
      </c>
      <c r="C36" s="3" t="str">
        <f ca="1">IFERROR(__xludf.DUMMYFUNCTION("""COMPUTED_VALUE"""),"Jansley Alves Chaves, matrícula nº 40.521-7")</f>
        <v>Jansley Alves Chaves, matrícula nº 40.521-7</v>
      </c>
      <c r="D36" s="3" t="str">
        <f ca="1">IFERROR(__xludf.DUMMYFUNCTION("""COMPUTED_VALUE"""),"Desvio de conduta")</f>
        <v>Desvio de conduta</v>
      </c>
      <c r="E36" s="3" t="str">
        <f ca="1">IFERROR(__xludf.DUMMYFUNCTION("""COMPUTED_VALUE"""),"Desvio de conduta")</f>
        <v>Desvio de conduta</v>
      </c>
      <c r="F36" s="3" t="str">
        <f ca="1">IFERROR(__xludf.DUMMYFUNCTION("""COMPUTED_VALUE"""),"Acumulação de cargos.")</f>
        <v>Acumulação de cargos.</v>
      </c>
      <c r="G36" s="3" t="str">
        <f ca="1">IFERROR(__xludf.DUMMYFUNCTION("""COMPUTED_VALUE"""),"Acumulação de cargos")</f>
        <v>Acumulação de cargos</v>
      </c>
      <c r="H36" s="3" t="str">
        <f ca="1">IFERROR(__xludf.DUMMYFUNCTION("""COMPUTED_VALUE"""),"Acumulação de cargos")</f>
        <v>Acumulação de cargos</v>
      </c>
      <c r="I36" s="3"/>
      <c r="J36" s="5">
        <f ca="1">IFERROR(__xludf.DUMMYFUNCTION("""COMPUTED_VALUE"""),45089)</f>
        <v>45089</v>
      </c>
      <c r="K36" s="5">
        <f ca="1">IFERROR(__xludf.DUMMYFUNCTION("""COMPUTED_VALUE"""),45093)</f>
        <v>45093</v>
      </c>
      <c r="L36" s="5">
        <f ca="1">IFERROR(__xludf.DUMMYFUNCTION("""COMPUTED_VALUE"""),45273)</f>
        <v>45273</v>
      </c>
      <c r="M36" s="5">
        <f ca="1">IFERROR(__xludf.DUMMYFUNCTION("""COMPUTED_VALUE"""),45274)</f>
        <v>45274</v>
      </c>
      <c r="N36" s="3" t="str">
        <f ca="1">IFERROR(__xludf.DUMMYFUNCTION("""COMPUTED_VALUE"""),"Finalizado")</f>
        <v>Finalizado</v>
      </c>
      <c r="O36" s="5">
        <f ca="1">IFERROR(__xludf.DUMMYFUNCTION("""COMPUTED_VALUE"""),46005)</f>
        <v>46005</v>
      </c>
      <c r="P36" s="3" t="str">
        <f ca="1">IFERROR(__xludf.DUMMYFUNCTION("""COMPUTED_VALUE"""),"O processo durou 184 dias entre a assinatura do despacho de autorização de abertura do PAD pelo Reitor e a assinatura do despacho de concordância/divergência pelo mesmo.")</f>
        <v>O processo durou 184 dias entre a assinatura do despacho de autorização de abertura do PAD pelo Reitor e a assinatura do despacho de concordância/divergência pelo mesmo.</v>
      </c>
      <c r="Q36" s="5">
        <f ca="1">IFERROR(__xludf.DUMMYFUNCTION("""COMPUTED_VALUE"""),47101)</f>
        <v>47101</v>
      </c>
      <c r="R36" s="3" t="str">
        <f ca="1">IFERROR(__xludf.DUMMYFUNCTION("""COMPUTED_VALUE"""),"Alessandra Abelheira")</f>
        <v>Alessandra Abelheira</v>
      </c>
      <c r="S36" s="3" t="str">
        <f ca="1">IFERROR(__xludf.DUMMYFUNCTION("""COMPUTED_VALUE"""),"Isadora")</f>
        <v>Isadora</v>
      </c>
      <c r="T36" s="3" t="str">
        <f ca="1">IFERROR(__xludf.DUMMYFUNCTION("""COMPUTED_VALUE"""),"Karolynne Rocha")</f>
        <v>Karolynne Rocha</v>
      </c>
      <c r="U36" s="3" t="str">
        <f ca="1">IFERROR(__xludf.DUMMYFUNCTION("""COMPUTED_VALUE"""),"Patrícia Glioche")</f>
        <v>Patrícia Glioche</v>
      </c>
      <c r="V36" s="3"/>
      <c r="W36" s="3" t="str">
        <f ca="1">IFERROR(__xludf.DUMMYFUNCTION("""COMPUTED_VALUE"""),"SEI-260007/031393/2021")</f>
        <v>SEI-260007/031393/2021</v>
      </c>
      <c r="X36" s="3" t="str">
        <f ca="1">IFERROR(__xludf.DUMMYFUNCTION("""COMPUTED_VALUE"""),"S-Resposta do Reitor/Anotado.")</f>
        <v>S-Resposta do Reitor/Anotado.</v>
      </c>
    </row>
    <row r="37" spans="1:24" x14ac:dyDescent="0.2">
      <c r="A37" s="3" t="str">
        <f ca="1">IFERROR(__xludf.DUMMYFUNCTION("""COMPUTED_VALUE"""),"380/2023")</f>
        <v>380/2023</v>
      </c>
      <c r="B37" s="3" t="str">
        <f ca="1">IFERROR(__xludf.DUMMYFUNCTION("""COMPUTED_VALUE"""),"SEI-260007/008958/2023")</f>
        <v>SEI-260007/008958/2023</v>
      </c>
      <c r="C37" s="3" t="str">
        <f ca="1">IFERROR(__xludf.DUMMYFUNCTION("""COMPUTED_VALUE"""),"Cláudio Ricardo dos Santos Cruz Azevedo 39.733-1")</f>
        <v>Cláudio Ricardo dos Santos Cruz Azevedo 39.733-1</v>
      </c>
      <c r="D37" s="3" t="str">
        <f ca="1">IFERROR(__xludf.DUMMYFUNCTION("""COMPUTED_VALUE"""),"Desvio de conduta")</f>
        <v>Desvio de conduta</v>
      </c>
      <c r="E37" s="3" t="str">
        <f ca="1">IFERROR(__xludf.DUMMYFUNCTION("""COMPUTED_VALUE"""),"Desvio de conduta")</f>
        <v>Desvio de conduta</v>
      </c>
      <c r="F37" s="3" t="str">
        <f ca="1">IFERROR(__xludf.DUMMYFUNCTION("""COMPUTED_VALUE"""),"Abandono de cargo/ Inassiduidade habitual.")</f>
        <v>Abandono de cargo/ Inassiduidade habitual.</v>
      </c>
      <c r="G37" s="3" t="str">
        <f ca="1">IFERROR(__xludf.DUMMYFUNCTION("""COMPUTED_VALUE"""),"Abandono de cargo/ Inassiduidade habitual")</f>
        <v>Abandono de cargo/ Inassiduidade habitual</v>
      </c>
      <c r="H37" s="3" t="str">
        <f ca="1">IFERROR(__xludf.DUMMYFUNCTION("""COMPUTED_VALUE"""),"Apuração de faltas no período de 01/01/2021 a 12/01/2023.")</f>
        <v>Apuração de faltas no período de 01/01/2021 a 12/01/2023.</v>
      </c>
      <c r="I37" s="3"/>
      <c r="J37" s="5">
        <f ca="1">IFERROR(__xludf.DUMMYFUNCTION("""COMPUTED_VALUE"""),44963)</f>
        <v>44963</v>
      </c>
      <c r="K37" s="5">
        <f ca="1">IFERROR(__xludf.DUMMYFUNCTION("""COMPUTED_VALUE"""),44973)</f>
        <v>44973</v>
      </c>
      <c r="L37" s="5">
        <f ca="1">IFERROR(__xludf.DUMMYFUNCTION("""COMPUTED_VALUE"""),45153)</f>
        <v>45153</v>
      </c>
      <c r="M37" s="5">
        <f ca="1">IFERROR(__xludf.DUMMYFUNCTION("""COMPUTED_VALUE"""),45154)</f>
        <v>45154</v>
      </c>
      <c r="N37" s="3" t="str">
        <f ca="1">IFERROR(__xludf.DUMMYFUNCTION("""COMPUTED_VALUE"""),"Finalizado")</f>
        <v>Finalizado</v>
      </c>
      <c r="O37" s="5">
        <f ca="1">IFERROR(__xludf.DUMMYFUNCTION("""COMPUTED_VALUE"""),45885)</f>
        <v>45885</v>
      </c>
      <c r="P37" s="3" t="str">
        <f ca="1">IFERROR(__xludf.DUMMYFUNCTION("""COMPUTED_VALUE"""),"O processo durou 311 dias entre a assinatura do despacho de autorização de abertura do PAD pelo Reitor e a assinatura do despacho de concordância/divergência pelo mesmo.")</f>
        <v>O processo durou 311 dias entre a assinatura do despacho de autorização de abertura do PAD pelo Reitor e a assinatura do despacho de concordância/divergência pelo mesmo.</v>
      </c>
      <c r="Q37" s="5">
        <f ca="1">IFERROR(__xludf.DUMMYFUNCTION("""COMPUTED_VALUE"""),46981)</f>
        <v>46981</v>
      </c>
      <c r="R37" s="3" t="str">
        <f ca="1">IFERROR(__xludf.DUMMYFUNCTION("""COMPUTED_VALUE"""),"Alessandra Abelheira")</f>
        <v>Alessandra Abelheira</v>
      </c>
      <c r="S37" s="3" t="str">
        <f ca="1">IFERROR(__xludf.DUMMYFUNCTION("""COMPUTED_VALUE"""),"Isadora")</f>
        <v>Isadora</v>
      </c>
      <c r="T37" s="3" t="str">
        <f ca="1">IFERROR(__xludf.DUMMYFUNCTION("""COMPUTED_VALUE"""),"Karolynne Rocha")</f>
        <v>Karolynne Rocha</v>
      </c>
      <c r="U37" s="3" t="str">
        <f ca="1">IFERROR(__xludf.DUMMYFUNCTION("""COMPUTED_VALUE"""),"Teresa Jardin")</f>
        <v>Teresa Jardin</v>
      </c>
      <c r="V37" s="3"/>
      <c r="W37" s="3" t="str">
        <f ca="1">IFERROR(__xludf.DUMMYFUNCTION("""COMPUTED_VALUE"""),"SEI-260007/007905/2022")</f>
        <v>SEI-260007/007905/2022</v>
      </c>
      <c r="X37" s="3" t="str">
        <f ca="1">IFERROR(__xludf.DUMMYFUNCTION("""COMPUTED_VALUE"""),"S-Resposta do Reitor/Anotado.")</f>
        <v>S-Resposta do Reitor/Anotado.</v>
      </c>
    </row>
    <row r="38" spans="1:24" x14ac:dyDescent="0.2">
      <c r="A38" s="3" t="str">
        <f ca="1">IFERROR(__xludf.DUMMYFUNCTION("""COMPUTED_VALUE"""),"337/2021")</f>
        <v>337/2021</v>
      </c>
      <c r="B38" s="3" t="str">
        <f ca="1">IFERROR(__xludf.DUMMYFUNCTION("""COMPUTED_VALUE"""),"SEI-260007/025806/2021")</f>
        <v>SEI-260007/025806/2021</v>
      </c>
      <c r="C38" s="3" t="str">
        <f ca="1">IFERROR(__xludf.DUMMYFUNCTION("""COMPUTED_VALUE"""),"Fernanda Rodrigues Martins de Souza, matrícula n. 34.840-9.")</f>
        <v>Fernanda Rodrigues Martins de Souza, matrícula n. 34.840-9.</v>
      </c>
      <c r="D38" s="3" t="str">
        <f ca="1">IFERROR(__xludf.DUMMYFUNCTION("""COMPUTED_VALUE"""),"Fraudes")</f>
        <v>Fraudes</v>
      </c>
      <c r="E38" s="3" t="str">
        <f ca="1">IFERROR(__xludf.DUMMYFUNCTION("""COMPUTED_VALUE"""),"Desvio de conduta, Fraudes")</f>
        <v>Desvio de conduta, Fraudes</v>
      </c>
      <c r="F38" s="3" t="str">
        <f ca="1">IFERROR(__xludf.DUMMYFUNCTION("""COMPUTED_VALUE"""),"Acumulação de cargos.")</f>
        <v>Acumulação de cargos.</v>
      </c>
      <c r="G38" s="3" t="str">
        <f ca="1">IFERROR(__xludf.DUMMYFUNCTION("""COMPUTED_VALUE"""),"Acumulação de cargos")</f>
        <v>Acumulação de cargos</v>
      </c>
      <c r="H38" s="3" t="str">
        <f ca="1">IFERROR(__xludf.DUMMYFUNCTION("""COMPUTED_VALUE"""),"Tríplice acumulação de cargos no período de 02/06/2008 a 29/08/2018. Informou apenas o vínculo junto ao Ministério da Saúde e omitiu o vínculo com a Prefeitura de Duque de Caxias. A declaração de cargos não tem campo para indicação dos vínculos, mas prevê"&amp;" que os demais vínculos seriam informados nos documenos juntados.")</f>
        <v>Tríplice acumulação de cargos no período de 02/06/2008 a 29/08/2018. Informou apenas o vínculo junto ao Ministério da Saúde e omitiu o vínculo com a Prefeitura de Duque de Caxias. A declaração de cargos não tem campo para indicação dos vínculos, mas prevê que os demais vínculos seriam informados nos documenos juntados.</v>
      </c>
      <c r="I38" s="3"/>
      <c r="J38" s="5">
        <f ca="1">IFERROR(__xludf.DUMMYFUNCTION("""COMPUTED_VALUE"""),44425)</f>
        <v>44425</v>
      </c>
      <c r="K38" s="5">
        <f ca="1">IFERROR(__xludf.DUMMYFUNCTION("""COMPUTED_VALUE"""),44441)</f>
        <v>44441</v>
      </c>
      <c r="L38" s="5">
        <f ca="1">IFERROR(__xludf.DUMMYFUNCTION("""COMPUTED_VALUE"""),44621)</f>
        <v>44621</v>
      </c>
      <c r="M38" s="5">
        <f ca="1">IFERROR(__xludf.DUMMYFUNCTION("""COMPUTED_VALUE"""),44622)</f>
        <v>44622</v>
      </c>
      <c r="N38" s="3" t="str">
        <f ca="1">IFERROR(__xludf.DUMMYFUNCTION("""COMPUTED_VALUE"""),"Finalizado")</f>
        <v>Finalizado</v>
      </c>
      <c r="O38" s="5">
        <f ca="1">IFERROR(__xludf.DUMMYFUNCTION("""COMPUTED_VALUE"""),45353)</f>
        <v>45353</v>
      </c>
      <c r="P38" s="3" t="str">
        <f ca="1">IFERROR(__xludf.DUMMYFUNCTION("""COMPUTED_VALUE"""),"O processo durou 849 dias entre a assinatura do despacho de autorização de abertura do PAD pelo Reitor e a assinatura do despacho de concordância/divergência pelo mesmo.")</f>
        <v>O processo durou 849 dias entre a assinatura do despacho de autorização de abertura do PAD pelo Reitor e a assinatura do despacho de concordância/divergência pelo mesmo.</v>
      </c>
      <c r="Q38" s="5">
        <f ca="1">IFERROR(__xludf.DUMMYFUNCTION("""COMPUTED_VALUE"""),46448)</f>
        <v>46448</v>
      </c>
      <c r="R38" s="3" t="str">
        <f ca="1">IFERROR(__xludf.DUMMYFUNCTION("""COMPUTED_VALUE"""),"Alessandra Abelheira")</f>
        <v>Alessandra Abelheira</v>
      </c>
      <c r="S38" s="3" t="str">
        <f ca="1">IFERROR(__xludf.DUMMYFUNCTION("""COMPUTED_VALUE"""),"Isadora")</f>
        <v>Isadora</v>
      </c>
      <c r="T38" s="3" t="str">
        <f ca="1">IFERROR(__xludf.DUMMYFUNCTION("""COMPUTED_VALUE"""),"Karolynne Rocha")</f>
        <v>Karolynne Rocha</v>
      </c>
      <c r="U38" s="3" t="str">
        <f ca="1">IFERROR(__xludf.DUMMYFUNCTION("""COMPUTED_VALUE"""),"Teresa Jardin")</f>
        <v>Teresa Jardin</v>
      </c>
      <c r="V38" s="3"/>
      <c r="W38" s="3" t="str">
        <f ca="1">IFERROR(__xludf.DUMMYFUNCTION("""COMPUTED_VALUE"""),"10975/2008")</f>
        <v>10975/2008</v>
      </c>
      <c r="X38" s="3" t="str">
        <f ca="1">IFERROR(__xludf.DUMMYFUNCTION("""COMPUTED_VALUE"""),"S-Resposta do Reitor/Anotado.")</f>
        <v>S-Resposta do Reitor/Anotado.</v>
      </c>
    </row>
    <row r="39" spans="1:24" x14ac:dyDescent="0.2">
      <c r="A39" s="3" t="str">
        <f ca="1">IFERROR(__xludf.DUMMYFUNCTION("""COMPUTED_VALUE"""),"346/2022")</f>
        <v>346/2022</v>
      </c>
      <c r="B39" s="3" t="str">
        <f ca="1">IFERROR(__xludf.DUMMYFUNCTION("""COMPUTED_VALUE"""),"SEI-260007/011795/2022")</f>
        <v>SEI-260007/011795/2022</v>
      </c>
      <c r="C39" s="3" t="str">
        <f ca="1">IFERROR(__xludf.DUMMYFUNCTION("""COMPUTED_VALUE"""),"Adalzisa Teixeira de Souza, 35207-0")</f>
        <v>Adalzisa Teixeira de Souza, 35207-0</v>
      </c>
      <c r="D39" s="3" t="str">
        <f ca="1">IFERROR(__xludf.DUMMYFUNCTION("""COMPUTED_VALUE"""),"Desvio de conduta")</f>
        <v>Desvio de conduta</v>
      </c>
      <c r="E39" s="3" t="str">
        <f ca="1">IFERROR(__xludf.DUMMYFUNCTION("""COMPUTED_VALUE"""),"Fraudes, Desvio de conduta")</f>
        <v>Fraudes, Desvio de conduta</v>
      </c>
      <c r="F39" s="3" t="str">
        <f ca="1">IFERROR(__xludf.DUMMYFUNCTION("""COMPUTED_VALUE"""),"Acumulação de cargos.")</f>
        <v>Acumulação de cargos.</v>
      </c>
      <c r="G39" s="3" t="str">
        <f ca="1">IFERROR(__xludf.DUMMYFUNCTION("""COMPUTED_VALUE"""),"Acumulação de cargos")</f>
        <v>Acumulação de cargos</v>
      </c>
      <c r="H39" s="3" t="str">
        <f ca="1">IFERROR(__xludf.DUMMYFUNCTION("""COMPUTED_VALUE"""),"Tríplice acumulação no período de 01/07/2010 a 21/12/2017.Ao ingressar na UERJ, em 01/07/2010, já possuia 2 outros vínculos, não tendo informado à UERJ na ocasião da posse.")</f>
        <v>Tríplice acumulação no período de 01/07/2010 a 21/12/2017.Ao ingressar na UERJ, em 01/07/2010, já possuia 2 outros vínculos, não tendo informado à UERJ na ocasião da posse.</v>
      </c>
      <c r="I39" s="3"/>
      <c r="J39" s="5">
        <f ca="1">IFERROR(__xludf.DUMMYFUNCTION("""COMPUTED_VALUE"""),44592)</f>
        <v>44592</v>
      </c>
      <c r="K39" s="5">
        <f ca="1">IFERROR(__xludf.DUMMYFUNCTION("""COMPUTED_VALUE"""),44603)</f>
        <v>44603</v>
      </c>
      <c r="L39" s="5">
        <f ca="1">IFERROR(__xludf.DUMMYFUNCTION("""COMPUTED_VALUE"""),44783)</f>
        <v>44783</v>
      </c>
      <c r="M39" s="5">
        <f ca="1">IFERROR(__xludf.DUMMYFUNCTION("""COMPUTED_VALUE"""),44784)</f>
        <v>44784</v>
      </c>
      <c r="N39" s="3" t="str">
        <f ca="1">IFERROR(__xludf.DUMMYFUNCTION("""COMPUTED_VALUE"""),"Finalizado")</f>
        <v>Finalizado</v>
      </c>
      <c r="O39" s="5">
        <f ca="1">IFERROR(__xludf.DUMMYFUNCTION("""COMPUTED_VALUE"""),45515)</f>
        <v>45515</v>
      </c>
      <c r="P39" s="3" t="str">
        <f ca="1">IFERROR(__xludf.DUMMYFUNCTION("""COMPUTED_VALUE"""),"O processo durou 687 dias entre a assinatura do despacho de autorização de abertura do PAD pelo Reitor e a assinatura do despacho de concordância/divergência pelo mesmo.")</f>
        <v>O processo durou 687 dias entre a assinatura do despacho de autorização de abertura do PAD pelo Reitor e a assinatura do despacho de concordância/divergência pelo mesmo.</v>
      </c>
      <c r="Q39" s="5">
        <f ca="1">IFERROR(__xludf.DUMMYFUNCTION("""COMPUTED_VALUE"""),46610)</f>
        <v>46610</v>
      </c>
      <c r="R39" s="3" t="str">
        <f ca="1">IFERROR(__xludf.DUMMYFUNCTION("""COMPUTED_VALUE"""),"Alessandra Abelheira")</f>
        <v>Alessandra Abelheira</v>
      </c>
      <c r="S39" s="3" t="str">
        <f ca="1">IFERROR(__xludf.DUMMYFUNCTION("""COMPUTED_VALUE"""),"Débora")</f>
        <v>Débora</v>
      </c>
      <c r="T39" s="3" t="str">
        <f ca="1">IFERROR(__xludf.DUMMYFUNCTION("""COMPUTED_VALUE"""),"Ariane Serpa")</f>
        <v>Ariane Serpa</v>
      </c>
      <c r="U39" s="3" t="str">
        <f ca="1">IFERROR(__xludf.DUMMYFUNCTION("""COMPUTED_VALUE"""),"Teresa Jardin")</f>
        <v>Teresa Jardin</v>
      </c>
      <c r="V39" s="3"/>
      <c r="W39" s="3" t="str">
        <f ca="1">IFERROR(__xludf.DUMMYFUNCTION("""COMPUTED_VALUE"""),"E-26/007/913/2019")</f>
        <v>E-26/007/913/2019</v>
      </c>
      <c r="X39" s="3" t="str">
        <f ca="1">IFERROR(__xludf.DUMMYFUNCTION("""COMPUTED_VALUE"""),"S-Resposta do Reitor/Anotado.")</f>
        <v>S-Resposta do Reitor/Anotado.</v>
      </c>
    </row>
    <row r="40" spans="1:24" x14ac:dyDescent="0.2">
      <c r="A40" s="3" t="str">
        <f ca="1">IFERROR(__xludf.DUMMYFUNCTION("""COMPUTED_VALUE"""),"362/2022")</f>
        <v>362/2022</v>
      </c>
      <c r="B40" s="3" t="str">
        <f ca="1">IFERROR(__xludf.DUMMYFUNCTION("""COMPUTED_VALUE"""),"SEI-260007/025763/2022")</f>
        <v>SEI-260007/025763/2022</v>
      </c>
      <c r="C40" s="3" t="str">
        <f ca="1">IFERROR(__xludf.DUMMYFUNCTION("""COMPUTED_VALUE"""),"Solange Fonseca de Sousa Ventura, matrícula 30.7132")</f>
        <v>Solange Fonseca de Sousa Ventura, matrícula 30.7132</v>
      </c>
      <c r="D40" s="3" t="str">
        <f ca="1">IFERROR(__xludf.DUMMYFUNCTION("""COMPUTED_VALUE"""),"Desvio de conduta")</f>
        <v>Desvio de conduta</v>
      </c>
      <c r="E40" s="3" t="str">
        <f ca="1">IFERROR(__xludf.DUMMYFUNCTION("""COMPUTED_VALUE"""),"Desvio de conduta")</f>
        <v>Desvio de conduta</v>
      </c>
      <c r="F40" s="3" t="str">
        <f ca="1">IFERROR(__xludf.DUMMYFUNCTION("""COMPUTED_VALUE"""),"Acumulação de cargos.")</f>
        <v>Acumulação de cargos.</v>
      </c>
      <c r="G40" s="3" t="str">
        <f ca="1">IFERROR(__xludf.DUMMYFUNCTION("""COMPUTED_VALUE"""),"Acumulação de cargos")</f>
        <v>Acumulação de cargos</v>
      </c>
      <c r="H40" s="3" t="str">
        <f ca="1">IFERROR(__xludf.DUMMYFUNCTION("""COMPUTED_VALUE"""),"Descumprimento das normas legais e internas ao deixar de comunicar ao órgão competente quando do início do terceiro vínculo (25.02.2019 a 25.08.2021), em desacordo com a legislação vigente à época e a previsão expressa na declaração de cargo/emprego/funçã"&amp;"o de que qualquer alteração da situação da declarante deve ser comunicada ao setor de pessoal.")</f>
        <v>Descumprimento das normas legais e internas ao deixar de comunicar ao órgão competente quando do início do terceiro vínculo (25.02.2019 a 25.08.2021), em desacordo com a legislação vigente à época e a previsão expressa na declaração de cargo/emprego/função de que qualquer alteração da situação da declarante deve ser comunicada ao setor de pessoal.</v>
      </c>
      <c r="I40" s="3"/>
      <c r="J40" s="5">
        <f ca="1">IFERROR(__xludf.DUMMYFUNCTION("""COMPUTED_VALUE"""),44686)</f>
        <v>44686</v>
      </c>
      <c r="K40" s="5">
        <f ca="1">IFERROR(__xludf.DUMMYFUNCTION("""COMPUTED_VALUE"""),44714)</f>
        <v>44714</v>
      </c>
      <c r="L40" s="5">
        <f ca="1">IFERROR(__xludf.DUMMYFUNCTION("""COMPUTED_VALUE"""),44894)</f>
        <v>44894</v>
      </c>
      <c r="M40" s="5">
        <f ca="1">IFERROR(__xludf.DUMMYFUNCTION("""COMPUTED_VALUE"""),44895)</f>
        <v>44895</v>
      </c>
      <c r="N40" s="3" t="str">
        <f ca="1">IFERROR(__xludf.DUMMYFUNCTION("""COMPUTED_VALUE"""),"Finalizado")</f>
        <v>Finalizado</v>
      </c>
      <c r="O40" s="5">
        <f ca="1">IFERROR(__xludf.DUMMYFUNCTION("""COMPUTED_VALUE"""),45626)</f>
        <v>45626</v>
      </c>
      <c r="P40" s="3" t="str">
        <f ca="1">IFERROR(__xludf.DUMMYFUNCTION("""COMPUTED_VALUE"""),"O processo durou 685 dias entre a assinatura do despacho de autorização de abertura do PAD pelo Reitor e a assinatura do despacho de concordância/divergência pelo mesmo.")</f>
        <v>O processo durou 685 dias entre a assinatura do despacho de autorização de abertura do PAD pelo Reitor e a assinatura do despacho de concordância/divergência pelo mesmo.</v>
      </c>
      <c r="Q40" s="5">
        <f ca="1">IFERROR(__xludf.DUMMYFUNCTION("""COMPUTED_VALUE"""),46721)</f>
        <v>46721</v>
      </c>
      <c r="R40" s="3" t="str">
        <f ca="1">IFERROR(__xludf.DUMMYFUNCTION("""COMPUTED_VALUE"""),"Alessandra Abelheira")</f>
        <v>Alessandra Abelheira</v>
      </c>
      <c r="S40" s="3" t="str">
        <f ca="1">IFERROR(__xludf.DUMMYFUNCTION("""COMPUTED_VALUE"""),"Débora")</f>
        <v>Débora</v>
      </c>
      <c r="T40" s="3" t="str">
        <f ca="1">IFERROR(__xludf.DUMMYFUNCTION("""COMPUTED_VALUE"""),"Marcelo Ferreira")</f>
        <v>Marcelo Ferreira</v>
      </c>
      <c r="U40" s="3" t="str">
        <f ca="1">IFERROR(__xludf.DUMMYFUNCTION("""COMPUTED_VALUE"""),"Teresa Jardin")</f>
        <v>Teresa Jardin</v>
      </c>
      <c r="V40" s="3"/>
      <c r="W40" s="3" t="str">
        <f ca="1">IFERROR(__xludf.DUMMYFUNCTION("""COMPUTED_VALUE"""),"UERJ 3110/1999")</f>
        <v>UERJ 3110/1999</v>
      </c>
      <c r="X40" s="3" t="str">
        <f ca="1">IFERROR(__xludf.DUMMYFUNCTION("""COMPUTED_VALUE"""),"S-Resposta do Reitor/Anotado.")</f>
        <v>S-Resposta do Reitor/Anotado.</v>
      </c>
    </row>
    <row r="41" spans="1:24" x14ac:dyDescent="0.2">
      <c r="A41" s="3" t="str">
        <f ca="1">IFERROR(__xludf.DUMMYFUNCTION("""COMPUTED_VALUE"""),"340/2021")</f>
        <v>340/2021</v>
      </c>
      <c r="B41" s="3" t="str">
        <f ca="1">IFERROR(__xludf.DUMMYFUNCTION("""COMPUTED_VALUE"""),"SEI-260007/030729/2021")</f>
        <v>SEI-260007/030729/2021</v>
      </c>
      <c r="C41" s="3" t="str">
        <f ca="1">IFERROR(__xludf.DUMMYFUNCTION("""COMPUTED_VALUE"""),"Leonardo Pinheiro Pereira, matrícula 36.754-0")</f>
        <v>Leonardo Pinheiro Pereira, matrícula 36.754-0</v>
      </c>
      <c r="D41" s="3" t="str">
        <f ca="1">IFERROR(__xludf.DUMMYFUNCTION("""COMPUTED_VALUE"""),"Desvio de conduta")</f>
        <v>Desvio de conduta</v>
      </c>
      <c r="E41" s="3" t="str">
        <f ca="1">IFERROR(__xludf.DUMMYFUNCTION("""COMPUTED_VALUE"""),"Desvio de conduta")</f>
        <v>Desvio de conduta</v>
      </c>
      <c r="F41" s="3" t="str">
        <f ca="1">IFERROR(__xludf.DUMMYFUNCTION("""COMPUTED_VALUE"""),"Abandono de cargo/ Inassiduidade habitual.")</f>
        <v>Abandono de cargo/ Inassiduidade habitual.</v>
      </c>
      <c r="G41" s="3" t="str">
        <f ca="1">IFERROR(__xludf.DUMMYFUNCTION("""COMPUTED_VALUE"""),"Abandono de cargo/ Inassiduidade habitual")</f>
        <v>Abandono de cargo/ Inassiduidade habitual</v>
      </c>
      <c r="H41" s="3" t="str">
        <f ca="1">IFERROR(__xludf.DUMMYFUNCTION("""COMPUTED_VALUE"""),"Apuração de faltas sucessivas superior a 10 dias")</f>
        <v>Apuração de faltas sucessivas superior a 10 dias</v>
      </c>
      <c r="I41" s="3"/>
      <c r="J41" s="5">
        <f ca="1">IFERROR(__xludf.DUMMYFUNCTION("""COMPUTED_VALUE"""),44452)</f>
        <v>44452</v>
      </c>
      <c r="K41" s="5">
        <f ca="1">IFERROR(__xludf.DUMMYFUNCTION("""COMPUTED_VALUE"""),44466)</f>
        <v>44466</v>
      </c>
      <c r="L41" s="5">
        <f ca="1">IFERROR(__xludf.DUMMYFUNCTION("""COMPUTED_VALUE"""),44646)</f>
        <v>44646</v>
      </c>
      <c r="M41" s="5">
        <f ca="1">IFERROR(__xludf.DUMMYFUNCTION("""COMPUTED_VALUE"""),44647)</f>
        <v>44647</v>
      </c>
      <c r="N41" s="3" t="str">
        <f ca="1">IFERROR(__xludf.DUMMYFUNCTION("""COMPUTED_VALUE"""),"Finalizado")</f>
        <v>Finalizado</v>
      </c>
      <c r="O41" s="5">
        <f ca="1">IFERROR(__xludf.DUMMYFUNCTION("""COMPUTED_VALUE"""),45378)</f>
        <v>45378</v>
      </c>
      <c r="P41" s="3" t="str">
        <f ca="1">IFERROR(__xludf.DUMMYFUNCTION("""COMPUTED_VALUE"""),"O processo durou 862 dias entre a assinatura do despacho de autorização de abertura do PAD pelo Reitor e a assinatura do despacho de concordância/divergência pelo mesmo.")</f>
        <v>O processo durou 862 dias entre a assinatura do despacho de autorização de abertura do PAD pelo Reitor e a assinatura do despacho de concordância/divergência pelo mesmo.</v>
      </c>
      <c r="Q41" s="5">
        <f ca="1">IFERROR(__xludf.DUMMYFUNCTION("""COMPUTED_VALUE"""),46473)</f>
        <v>46473</v>
      </c>
      <c r="R41" s="3" t="str">
        <f ca="1">IFERROR(__xludf.DUMMYFUNCTION("""COMPUTED_VALUE"""),"Alessandra Abelheira")</f>
        <v>Alessandra Abelheira</v>
      </c>
      <c r="S41" s="3" t="str">
        <f ca="1">IFERROR(__xludf.DUMMYFUNCTION("""COMPUTED_VALUE"""),"Débora")</f>
        <v>Débora</v>
      </c>
      <c r="T41" s="3" t="str">
        <f ca="1">IFERROR(__xludf.DUMMYFUNCTION("""COMPUTED_VALUE"""),"Ariane Serpa")</f>
        <v>Ariane Serpa</v>
      </c>
      <c r="U41" s="3" t="str">
        <f ca="1">IFERROR(__xludf.DUMMYFUNCTION("""COMPUTED_VALUE"""),"Teresa Jardin")</f>
        <v>Teresa Jardin</v>
      </c>
      <c r="V41" s="3" t="str">
        <f ca="1">IFERROR(__xludf.DUMMYFUNCTION("""COMPUTED_VALUE"""),"Hugo Leal de Araújo Santos")</f>
        <v>Hugo Leal de Araújo Santos</v>
      </c>
      <c r="W41" s="3" t="str">
        <f ca="1">IFERROR(__xludf.DUMMYFUNCTION("""COMPUTED_VALUE"""),"E-26/007/1369/2020")</f>
        <v>E-26/007/1369/2020</v>
      </c>
      <c r="X41" s="3" t="str">
        <f ca="1">IFERROR(__xludf.DUMMYFUNCTION("""COMPUTED_VALUE"""),"S-Resposta do Reitor/Anotado.")</f>
        <v>S-Resposta do Reitor/Anotado.</v>
      </c>
    </row>
    <row r="42" spans="1:24" x14ac:dyDescent="0.2">
      <c r="A42" s="3" t="str">
        <f ca="1">IFERROR(__xludf.DUMMYFUNCTION("""COMPUTED_VALUE"""),"367/2022")</f>
        <v>367/2022</v>
      </c>
      <c r="B42" s="3" t="str">
        <f ca="1">IFERROR(__xludf.DUMMYFUNCTION("""COMPUTED_VALUE"""),"SEI-260007/041693/2022")</f>
        <v>SEI-260007/041693/2022</v>
      </c>
      <c r="C42" s="3" t="str">
        <f ca="1">IFERROR(__xludf.DUMMYFUNCTION("""COMPUTED_VALUE"""),"Ana Paula de Faria, matrícula nº 35.052-0")</f>
        <v>Ana Paula de Faria, matrícula nº 35.052-0</v>
      </c>
      <c r="D42" s="3" t="str">
        <f ca="1">IFERROR(__xludf.DUMMYFUNCTION("""COMPUTED_VALUE"""),"Desvio de conduta")</f>
        <v>Desvio de conduta</v>
      </c>
      <c r="E42" s="3" t="str">
        <f ca="1">IFERROR(__xludf.DUMMYFUNCTION("""COMPUTED_VALUE"""),"Desvio de conduta")</f>
        <v>Desvio de conduta</v>
      </c>
      <c r="F42" s="3" t="str">
        <f ca="1">IFERROR(__xludf.DUMMYFUNCTION("""COMPUTED_VALUE"""),"Abandono de cargo/ Inassiduidade habitual.")</f>
        <v>Abandono de cargo/ Inassiduidade habitual.</v>
      </c>
      <c r="G42" s="3" t="str">
        <f ca="1">IFERROR(__xludf.DUMMYFUNCTION("""COMPUTED_VALUE"""),"Abandono de cargo/ Inassiduidade habitual")</f>
        <v>Abandono de cargo/ Inassiduidade habitual</v>
      </c>
      <c r="H42" s="3" t="str">
        <f ca="1">IFERROR(__xludf.DUMMYFUNCTION("""COMPUTED_VALUE"""),"Apuração de faltas sucessivas superior a 10 dias")</f>
        <v>Apuração de faltas sucessivas superior a 10 dias</v>
      </c>
      <c r="I42" s="3"/>
      <c r="J42" s="5">
        <f ca="1">IFERROR(__xludf.DUMMYFUNCTION("""COMPUTED_VALUE"""),44827)</f>
        <v>44827</v>
      </c>
      <c r="K42" s="5">
        <f ca="1">IFERROR(__xludf.DUMMYFUNCTION("""COMPUTED_VALUE"""),44830)</f>
        <v>44830</v>
      </c>
      <c r="L42" s="5">
        <f ca="1">IFERROR(__xludf.DUMMYFUNCTION("""COMPUTED_VALUE"""),45010)</f>
        <v>45010</v>
      </c>
      <c r="M42" s="5">
        <f ca="1">IFERROR(__xludf.DUMMYFUNCTION("""COMPUTED_VALUE"""),45011)</f>
        <v>45011</v>
      </c>
      <c r="N42" s="3" t="str">
        <f ca="1">IFERROR(__xludf.DUMMYFUNCTION("""COMPUTED_VALUE"""),"Finalizado")</f>
        <v>Finalizado</v>
      </c>
      <c r="O42" s="5">
        <f ca="1">IFERROR(__xludf.DUMMYFUNCTION("""COMPUTED_VALUE"""),45742)</f>
        <v>45742</v>
      </c>
      <c r="P42" s="3" t="str">
        <f ca="1">IFERROR(__xludf.DUMMYFUNCTION("""COMPUTED_VALUE"""),"O processo durou 544 dias entre a assinatura do despacho de autorização de abertura do PAD pelo Reitor e a assinatura do despacho de concordância/divergência pelo mesmo.")</f>
        <v>O processo durou 544 dias entre a assinatura do despacho de autorização de abertura do PAD pelo Reitor e a assinatura do despacho de concordância/divergência pelo mesmo.</v>
      </c>
      <c r="Q42" s="5">
        <f ca="1">IFERROR(__xludf.DUMMYFUNCTION("""COMPUTED_VALUE"""),46838)</f>
        <v>46838</v>
      </c>
      <c r="R42" s="3" t="str">
        <f ca="1">IFERROR(__xludf.DUMMYFUNCTION("""COMPUTED_VALUE"""),"Alessandra Abelheira")</f>
        <v>Alessandra Abelheira</v>
      </c>
      <c r="S42" s="3" t="str">
        <f ca="1">IFERROR(__xludf.DUMMYFUNCTION("""COMPUTED_VALUE"""),"Isadora")</f>
        <v>Isadora</v>
      </c>
      <c r="T42" s="3" t="str">
        <f ca="1">IFERROR(__xludf.DUMMYFUNCTION("""COMPUTED_VALUE"""),"Karolynne Rocha")</f>
        <v>Karolynne Rocha</v>
      </c>
      <c r="U42" s="3" t="str">
        <f ca="1">IFERROR(__xludf.DUMMYFUNCTION("""COMPUTED_VALUE"""),"Marcelo Ferreira")</f>
        <v>Marcelo Ferreira</v>
      </c>
      <c r="V42" s="3"/>
      <c r="W42" s="3" t="str">
        <f ca="1">IFERROR(__xludf.DUMMYFUNCTION("""COMPUTED_VALUE"""),"SEI-260007/010549/2022")</f>
        <v>SEI-260007/010549/2022</v>
      </c>
      <c r="X42" s="3" t="str">
        <f ca="1">IFERROR(__xludf.DUMMYFUNCTION("""COMPUTED_VALUE"""),"S-Resposta do Reitor/Anotado.")</f>
        <v>S-Resposta do Reitor/Anotado.</v>
      </c>
    </row>
    <row r="43" spans="1:24" x14ac:dyDescent="0.2">
      <c r="A43" s="3" t="str">
        <f ca="1">IFERROR(__xludf.DUMMYFUNCTION("""COMPUTED_VALUE"""),"410/2023")</f>
        <v>410/2023</v>
      </c>
      <c r="B43" s="3" t="str">
        <f ca="1">IFERROR(__xludf.DUMMYFUNCTION("""COMPUTED_VALUE"""),"SEI-260007/033583/2023")</f>
        <v>SEI-260007/033583/2023</v>
      </c>
      <c r="C43" s="3" t="str">
        <f ca="1">IFERROR(__xludf.DUMMYFUNCTION("""COMPUTED_VALUE"""),"Glória Maria Marinho de Carvalho, 37932-1")</f>
        <v>Glória Maria Marinho de Carvalho, 37932-1</v>
      </c>
      <c r="D43" s="3" t="str">
        <f ca="1">IFERROR(__xludf.DUMMYFUNCTION("""COMPUTED_VALUE"""),"Desvio de conduta")</f>
        <v>Desvio de conduta</v>
      </c>
      <c r="E43" s="3" t="str">
        <f ca="1">IFERROR(__xludf.DUMMYFUNCTION("""COMPUTED_VALUE"""),"Desvio de conduta")</f>
        <v>Desvio de conduta</v>
      </c>
      <c r="F43" s="3" t="str">
        <f ca="1">IFERROR(__xludf.DUMMYFUNCTION("""COMPUTED_VALUE"""),"Acumulação de cargos.")</f>
        <v>Acumulação de cargos.</v>
      </c>
      <c r="G43" s="3" t="str">
        <f ca="1">IFERROR(__xludf.DUMMYFUNCTION("""COMPUTED_VALUE"""),"Acumulação de cargos")</f>
        <v>Acumulação de cargos</v>
      </c>
      <c r="H43" s="3" t="str">
        <f ca="1">IFERROR(__xludf.DUMMYFUNCTION("""COMPUTED_VALUE"""),"Tríplice acumulação de cargos públicos no período de 16/07/2014 a 01/10/2014.")</f>
        <v>Tríplice acumulação de cargos públicos no período de 16/07/2014 a 01/10/2014.</v>
      </c>
      <c r="I43" s="3"/>
      <c r="J43" s="5">
        <f ca="1">IFERROR(__xludf.DUMMYFUNCTION("""COMPUTED_VALUE"""),45013)</f>
        <v>45013</v>
      </c>
      <c r="K43" s="5">
        <f ca="1">IFERROR(__xludf.DUMMYFUNCTION("""COMPUTED_VALUE"""),45019)</f>
        <v>45019</v>
      </c>
      <c r="L43" s="5">
        <f ca="1">IFERROR(__xludf.DUMMYFUNCTION("""COMPUTED_VALUE"""),45199)</f>
        <v>45199</v>
      </c>
      <c r="M43" s="5">
        <f ca="1">IFERROR(__xludf.DUMMYFUNCTION("""COMPUTED_VALUE"""),45200)</f>
        <v>45200</v>
      </c>
      <c r="N43" s="3" t="str">
        <f ca="1">IFERROR(__xludf.DUMMYFUNCTION("""COMPUTED_VALUE"""),"Finalizado")</f>
        <v>Finalizado</v>
      </c>
      <c r="O43" s="5">
        <f ca="1">IFERROR(__xludf.DUMMYFUNCTION("""COMPUTED_VALUE"""),45931)</f>
        <v>45931</v>
      </c>
      <c r="P43" s="3" t="str">
        <f ca="1">IFERROR(__xludf.DUMMYFUNCTION("""COMPUTED_VALUE"""),"O processo durou 385 dias entre a assinatura do despacho de autorização de abertura do PAD pelo Reitor e a assinatura do despacho de concordância/divergência pelo mesmo.")</f>
        <v>O processo durou 385 dias entre a assinatura do despacho de autorização de abertura do PAD pelo Reitor e a assinatura do despacho de concordância/divergência pelo mesmo.</v>
      </c>
      <c r="Q43" s="5">
        <f ca="1">IFERROR(__xludf.DUMMYFUNCTION("""COMPUTED_VALUE"""),47027)</f>
        <v>47027</v>
      </c>
      <c r="R43" s="3" t="str">
        <f ca="1">IFERROR(__xludf.DUMMYFUNCTION("""COMPUTED_VALUE"""),"Alessandra Abelheira")</f>
        <v>Alessandra Abelheira</v>
      </c>
      <c r="S43" s="3" t="str">
        <f ca="1">IFERROR(__xludf.DUMMYFUNCTION("""COMPUTED_VALUE"""),"Isadora")</f>
        <v>Isadora</v>
      </c>
      <c r="T43" s="3" t="str">
        <f ca="1">IFERROR(__xludf.DUMMYFUNCTION("""COMPUTED_VALUE"""),"Débora Ribeiro")</f>
        <v>Débora Ribeiro</v>
      </c>
      <c r="U43" s="3" t="str">
        <f ca="1">IFERROR(__xludf.DUMMYFUNCTION("""COMPUTED_VALUE"""),"Karolynne Rocha")</f>
        <v>Karolynne Rocha</v>
      </c>
      <c r="V43" s="3"/>
      <c r="W43" s="3" t="str">
        <f ca="1">IFERROR(__xludf.DUMMYFUNCTION("""COMPUTED_VALUE"""),"E-26/007/10955/2014")</f>
        <v>E-26/007/10955/2014</v>
      </c>
      <c r="X43" s="3" t="str">
        <f ca="1">IFERROR(__xludf.DUMMYFUNCTION("""COMPUTED_VALUE"""),"S-Resposta do Reitor/Anotado.")</f>
        <v>S-Resposta do Reitor/Anotado.</v>
      </c>
    </row>
    <row r="44" spans="1:24" x14ac:dyDescent="0.2">
      <c r="A44" s="3" t="str">
        <f ca="1">IFERROR(__xludf.DUMMYFUNCTION("""COMPUTED_VALUE"""),"371/2022")</f>
        <v>371/2022</v>
      </c>
      <c r="B44" s="3" t="str">
        <f ca="1">IFERROR(__xludf.DUMMYFUNCTION("""COMPUTED_VALUE"""),"SEI-260007/044124/2022")</f>
        <v>SEI-260007/044124/2022</v>
      </c>
      <c r="C44" s="3" t="str">
        <f ca="1">IFERROR(__xludf.DUMMYFUNCTION("""COMPUTED_VALUE"""),"CAROLINA DA SILVA MACEDO BRAZ, matrícula n. 38.074-1")</f>
        <v>CAROLINA DA SILVA MACEDO BRAZ, matrícula n. 38.074-1</v>
      </c>
      <c r="D44" s="3" t="str">
        <f ca="1">IFERROR(__xludf.DUMMYFUNCTION("""COMPUTED_VALUE"""),"Desvio de conduta")</f>
        <v>Desvio de conduta</v>
      </c>
      <c r="E44" s="3" t="str">
        <f ca="1">IFERROR(__xludf.DUMMYFUNCTION("""COMPUTED_VALUE"""),"Desvio de conduta")</f>
        <v>Desvio de conduta</v>
      </c>
      <c r="F44" s="3" t="str">
        <f ca="1">IFERROR(__xludf.DUMMYFUNCTION("""COMPUTED_VALUE"""),"Abandono de cargo/ Inassiduidade habitual.")</f>
        <v>Abandono de cargo/ Inassiduidade habitual.</v>
      </c>
      <c r="G44" s="3" t="str">
        <f ca="1">IFERROR(__xludf.DUMMYFUNCTION("""COMPUTED_VALUE"""),"Abandono de cargo/ Inassiduidade habitual")</f>
        <v>Abandono de cargo/ Inassiduidade habitual</v>
      </c>
      <c r="H44" s="3" t="str">
        <f ca="1">IFERROR(__xludf.DUMMYFUNCTION("""COMPUTED_VALUE"""),"Apuração de faltas sucessivas superior a 10 dias")</f>
        <v>Apuração de faltas sucessivas superior a 10 dias</v>
      </c>
      <c r="I44" s="3"/>
      <c r="J44" s="5">
        <f ca="1">IFERROR(__xludf.DUMMYFUNCTION("""COMPUTED_VALUE"""),44833)</f>
        <v>44833</v>
      </c>
      <c r="K44" s="5">
        <f ca="1">IFERROR(__xludf.DUMMYFUNCTION("""COMPUTED_VALUE"""),44838)</f>
        <v>44838</v>
      </c>
      <c r="L44" s="5">
        <f ca="1">IFERROR(__xludf.DUMMYFUNCTION("""COMPUTED_VALUE"""),45018)</f>
        <v>45018</v>
      </c>
      <c r="M44" s="5">
        <f ca="1">IFERROR(__xludf.DUMMYFUNCTION("""COMPUTED_VALUE"""),45019)</f>
        <v>45019</v>
      </c>
      <c r="N44" s="3" t="str">
        <f ca="1">IFERROR(__xludf.DUMMYFUNCTION("""COMPUTED_VALUE"""),"Finalizado")</f>
        <v>Finalizado</v>
      </c>
      <c r="O44" s="5">
        <f ca="1">IFERROR(__xludf.DUMMYFUNCTION("""COMPUTED_VALUE"""),45750)</f>
        <v>45750</v>
      </c>
      <c r="P44" s="3" t="str">
        <f ca="1">IFERROR(__xludf.DUMMYFUNCTION("""COMPUTED_VALUE"""),"O processo durou 524 dias entre a assinatura do despacho de autorização de abertura do PAD pelo Reitor e a assinatura do despacho de concordância/divergência pelo mesmo.")</f>
        <v>O processo durou 524 dias entre a assinatura do despacho de autorização de abertura do PAD pelo Reitor e a assinatura do despacho de concordância/divergência pelo mesmo.</v>
      </c>
      <c r="Q44" s="5">
        <f ca="1">IFERROR(__xludf.DUMMYFUNCTION("""COMPUTED_VALUE"""),46846)</f>
        <v>46846</v>
      </c>
      <c r="R44" s="3" t="str">
        <f ca="1">IFERROR(__xludf.DUMMYFUNCTION("""COMPUTED_VALUE"""),"Alessandra Abelheira")</f>
        <v>Alessandra Abelheira</v>
      </c>
      <c r="S44" s="3" t="str">
        <f ca="1">IFERROR(__xludf.DUMMYFUNCTION("""COMPUTED_VALUE"""),"Débora")</f>
        <v>Débora</v>
      </c>
      <c r="T44" s="3" t="str">
        <f ca="1">IFERROR(__xludf.DUMMYFUNCTION("""COMPUTED_VALUE"""),"Marcelo Ferreira")</f>
        <v>Marcelo Ferreira</v>
      </c>
      <c r="U44" s="3" t="str">
        <f ca="1">IFERROR(__xludf.DUMMYFUNCTION("""COMPUTED_VALUE"""),"Thaís Muci")</f>
        <v>Thaís Muci</v>
      </c>
      <c r="V44" s="3"/>
      <c r="W44" s="3" t="str">
        <f ca="1">IFERROR(__xludf.DUMMYFUNCTION("""COMPUTED_VALUE"""),"SEI-260007/004949/2022")</f>
        <v>SEI-260007/004949/2022</v>
      </c>
      <c r="X44" s="3" t="str">
        <f ca="1">IFERROR(__xludf.DUMMYFUNCTION("""COMPUTED_VALUE"""),"S-Resposta do Reitor/Anotado.")</f>
        <v>S-Resposta do Reitor/Anotado.</v>
      </c>
    </row>
    <row r="45" spans="1:24" x14ac:dyDescent="0.2">
      <c r="A45" s="3" t="str">
        <f ca="1">IFERROR(__xludf.DUMMYFUNCTION("""COMPUTED_VALUE"""),"355/2022")</f>
        <v>355/2022</v>
      </c>
      <c r="B45" s="3" t="str">
        <f ca="1">IFERROR(__xludf.DUMMYFUNCTION("""COMPUTED_VALUE"""),"SEI-260007/018918/2022")</f>
        <v>SEI-260007/018918/2022</v>
      </c>
      <c r="C45" s="3" t="str">
        <f ca="1">IFERROR(__xludf.DUMMYFUNCTION("""COMPUTED_VALUE"""),"Marilia França Costa, matrícula nº 36.545-2")</f>
        <v>Marilia França Costa, matrícula nº 36.545-2</v>
      </c>
      <c r="D45" s="3" t="str">
        <f ca="1">IFERROR(__xludf.DUMMYFUNCTION("""COMPUTED_VALUE"""),"Desvio de conduta")</f>
        <v>Desvio de conduta</v>
      </c>
      <c r="E45" s="3" t="str">
        <f ca="1">IFERROR(__xludf.DUMMYFUNCTION("""COMPUTED_VALUE"""),"Desvio de conduta")</f>
        <v>Desvio de conduta</v>
      </c>
      <c r="F45" s="3" t="str">
        <f ca="1">IFERROR(__xludf.DUMMYFUNCTION("""COMPUTED_VALUE"""),"Abandono de cargo/ Inassiduidade habitual.")</f>
        <v>Abandono de cargo/ Inassiduidade habitual.</v>
      </c>
      <c r="G45" s="3" t="str">
        <f ca="1">IFERROR(__xludf.DUMMYFUNCTION("""COMPUTED_VALUE"""),"Abandono de cargo/ Inassiduidade habitual")</f>
        <v>Abandono de cargo/ Inassiduidade habitual</v>
      </c>
      <c r="H45" s="3" t="str">
        <f ca="1">IFERROR(__xludf.DUMMYFUNCTION("""COMPUTED_VALUE"""),"Apuração de faltas sucessivas superior a 10 dias")</f>
        <v>Apuração de faltas sucessivas superior a 10 dias</v>
      </c>
      <c r="I45" s="3"/>
      <c r="J45" s="5">
        <f ca="1">IFERROR(__xludf.DUMMYFUNCTION("""COMPUTED_VALUE"""),44452)</f>
        <v>44452</v>
      </c>
      <c r="K45" s="5">
        <f ca="1">IFERROR(__xludf.DUMMYFUNCTION("""COMPUTED_VALUE"""),44460)</f>
        <v>44460</v>
      </c>
      <c r="L45" s="5">
        <f ca="1">IFERROR(__xludf.DUMMYFUNCTION("""COMPUTED_VALUE"""),44640)</f>
        <v>44640</v>
      </c>
      <c r="M45" s="5">
        <f ca="1">IFERROR(__xludf.DUMMYFUNCTION("""COMPUTED_VALUE"""),44641)</f>
        <v>44641</v>
      </c>
      <c r="N45" s="3" t="str">
        <f ca="1">IFERROR(__xludf.DUMMYFUNCTION("""COMPUTED_VALUE"""),"Finalizado")</f>
        <v>Finalizado</v>
      </c>
      <c r="O45" s="5">
        <f ca="1">IFERROR(__xludf.DUMMYFUNCTION("""COMPUTED_VALUE"""),45372)</f>
        <v>45372</v>
      </c>
      <c r="P45" s="3" t="str">
        <f ca="1">IFERROR(__xludf.DUMMYFUNCTION("""COMPUTED_VALUE"""),"O processo durou 913 dias entre a assinatura do despacho de autorização de abertura do PAD pelo Reitor e a assinatura do despacho de concordância/divergência pelo mesmo.")</f>
        <v>O processo durou 913 dias entre a assinatura do despacho de autorização de abertura do PAD pelo Reitor e a assinatura do despacho de concordância/divergência pelo mesmo.</v>
      </c>
      <c r="Q45" s="5">
        <f ca="1">IFERROR(__xludf.DUMMYFUNCTION("""COMPUTED_VALUE"""),46467)</f>
        <v>46467</v>
      </c>
      <c r="R45" s="3" t="str">
        <f ca="1">IFERROR(__xludf.DUMMYFUNCTION("""COMPUTED_VALUE"""),"Vanessa Queiroz")</f>
        <v>Vanessa Queiroz</v>
      </c>
      <c r="S45" s="3" t="str">
        <f ca="1">IFERROR(__xludf.DUMMYFUNCTION("""COMPUTED_VALUE"""),"Débora")</f>
        <v>Débora</v>
      </c>
      <c r="T45" s="3" t="str">
        <f ca="1">IFERROR(__xludf.DUMMYFUNCTION("""COMPUTED_VALUE"""),"Felipe Perdigão")</f>
        <v>Felipe Perdigão</v>
      </c>
      <c r="U45" s="3" t="str">
        <f ca="1">IFERROR(__xludf.DUMMYFUNCTION("""COMPUTED_VALUE"""),"Thaís Muci")</f>
        <v>Thaís Muci</v>
      </c>
      <c r="V45" s="3" t="str">
        <f ca="1">IFERROR(__xludf.DUMMYFUNCTION("""COMPUTED_VALUE"""),"Jair Eduardo Salim Magluf Veras")</f>
        <v>Jair Eduardo Salim Magluf Veras</v>
      </c>
      <c r="W45" s="3" t="str">
        <f ca="1">IFERROR(__xludf.DUMMYFUNCTION("""COMPUTED_VALUE"""),"E-26/007/3228/2019")</f>
        <v>E-26/007/3228/2019</v>
      </c>
      <c r="X45" s="3" t="str">
        <f ca="1">IFERROR(__xludf.DUMMYFUNCTION("""COMPUTED_VALUE"""),"S-Resposta do Reitor/Anotado.")</f>
        <v>S-Resposta do Reitor/Anotado.</v>
      </c>
    </row>
    <row r="46" spans="1:24" x14ac:dyDescent="0.2">
      <c r="A46" s="3" t="str">
        <f ca="1">IFERROR(__xludf.DUMMYFUNCTION("""COMPUTED_VALUE"""),"369/2022")</f>
        <v>369/2022</v>
      </c>
      <c r="B46" s="3" t="str">
        <f ca="1">IFERROR(__xludf.DUMMYFUNCTION("""COMPUTED_VALUE"""),"SEI-260007/043513/2022")</f>
        <v>SEI-260007/043513/2022</v>
      </c>
      <c r="C46" s="3" t="str">
        <f ca="1">IFERROR(__xludf.DUMMYFUNCTION("""COMPUTED_VALUE"""),"KELLY CORTES DE OLIVEIRA,  35677-4")</f>
        <v>KELLY CORTES DE OLIVEIRA,  35677-4</v>
      </c>
      <c r="D46" s="3" t="str">
        <f ca="1">IFERROR(__xludf.DUMMYFUNCTION("""COMPUTED_VALUE"""),"Desvio de conduta")</f>
        <v>Desvio de conduta</v>
      </c>
      <c r="E46" s="3" t="str">
        <f ca="1">IFERROR(__xludf.DUMMYFUNCTION("""COMPUTED_VALUE"""),"Desvio de conduta")</f>
        <v>Desvio de conduta</v>
      </c>
      <c r="F46" s="3" t="str">
        <f ca="1">IFERROR(__xludf.DUMMYFUNCTION("""COMPUTED_VALUE"""),"Acumulação de cargos.")</f>
        <v>Acumulação de cargos.</v>
      </c>
      <c r="G46" s="3" t="str">
        <f ca="1">IFERROR(__xludf.DUMMYFUNCTION("""COMPUTED_VALUE"""),"Acumulação de cargos")</f>
        <v>Acumulação de cargos</v>
      </c>
      <c r="H46" s="3" t="str">
        <f ca="1">IFERROR(__xludf.DUMMYFUNCTION("""COMPUTED_VALUE"""),"Acumulação de terceiro vínculo no período de 01/11/2016 a 23/10/2018")</f>
        <v>Acumulação de terceiro vínculo no período de 01/11/2016 a 23/10/2018</v>
      </c>
      <c r="I46" s="3"/>
      <c r="J46" s="5">
        <f ca="1">IFERROR(__xludf.DUMMYFUNCTION("""COMPUTED_VALUE"""),44834)</f>
        <v>44834</v>
      </c>
      <c r="K46" s="5">
        <f ca="1">IFERROR(__xludf.DUMMYFUNCTION("""COMPUTED_VALUE"""),44838)</f>
        <v>44838</v>
      </c>
      <c r="L46" s="5">
        <f ca="1">IFERROR(__xludf.DUMMYFUNCTION("""COMPUTED_VALUE"""),45018)</f>
        <v>45018</v>
      </c>
      <c r="M46" s="5">
        <f ca="1">IFERROR(__xludf.DUMMYFUNCTION("""COMPUTED_VALUE"""),45019)</f>
        <v>45019</v>
      </c>
      <c r="N46" s="3" t="str">
        <f ca="1">IFERROR(__xludf.DUMMYFUNCTION("""COMPUTED_VALUE"""),"Finalizado")</f>
        <v>Finalizado</v>
      </c>
      <c r="O46" s="5">
        <f ca="1">IFERROR(__xludf.DUMMYFUNCTION("""COMPUTED_VALUE"""),45750)</f>
        <v>45750</v>
      </c>
      <c r="P46" s="3" t="str">
        <f ca="1">IFERROR(__xludf.DUMMYFUNCTION("""COMPUTED_VALUE"""),"O processo durou 537 dias entre a assinatura do despacho de autorização de abertura do PAD pelo Reitor e a assinatura do despacho de concordância/divergência pelo mesmo.")</f>
        <v>O processo durou 537 dias entre a assinatura do despacho de autorização de abertura do PAD pelo Reitor e a assinatura do despacho de concordância/divergência pelo mesmo.</v>
      </c>
      <c r="Q46" s="5">
        <f ca="1">IFERROR(__xludf.DUMMYFUNCTION("""COMPUTED_VALUE"""),46846)</f>
        <v>46846</v>
      </c>
      <c r="R46" s="3" t="str">
        <f ca="1">IFERROR(__xludf.DUMMYFUNCTION("""COMPUTED_VALUE"""),"Alessandra Abelheira")</f>
        <v>Alessandra Abelheira</v>
      </c>
      <c r="S46" s="3" t="str">
        <f ca="1">IFERROR(__xludf.DUMMYFUNCTION("""COMPUTED_VALUE"""),"Débora")</f>
        <v>Débora</v>
      </c>
      <c r="T46" s="3" t="str">
        <f ca="1">IFERROR(__xludf.DUMMYFUNCTION("""COMPUTED_VALUE"""),"Teresa Jardin")</f>
        <v>Teresa Jardin</v>
      </c>
      <c r="U46" s="3" t="str">
        <f ca="1">IFERROR(__xludf.DUMMYFUNCTION("""COMPUTED_VALUE"""),"Karolynne Rocha")</f>
        <v>Karolynne Rocha</v>
      </c>
      <c r="V46" s="3"/>
      <c r="W46" s="3" t="str">
        <f ca="1">IFERROR(__xludf.DUMMYFUNCTION("""COMPUTED_VALUE"""),"6632/2012")</f>
        <v>6632/2012</v>
      </c>
      <c r="X46" s="3" t="str">
        <f ca="1">IFERROR(__xludf.DUMMYFUNCTION("""COMPUTED_VALUE"""),"S-Resposta do Reitor/Anotado.")</f>
        <v>S-Resposta do Reitor/Anotado.</v>
      </c>
    </row>
    <row r="47" spans="1:24" x14ac:dyDescent="0.2">
      <c r="A47" s="3" t="str">
        <f ca="1">IFERROR(__xludf.DUMMYFUNCTION("""COMPUTED_VALUE"""),"342/2021")</f>
        <v>342/2021</v>
      </c>
      <c r="B47" s="3" t="str">
        <f ca="1">IFERROR(__xludf.DUMMYFUNCTION("""COMPUTED_VALUE"""),"SEI-260007/034454/2021")</f>
        <v>SEI-260007/034454/2021</v>
      </c>
      <c r="C47" s="3" t="str">
        <f ca="1">IFERROR(__xludf.DUMMYFUNCTION("""COMPUTED_VALUE"""),"Anderson Luiz dos Santos Ribeiro, matrícula nº 37.076-7.")</f>
        <v>Anderson Luiz dos Santos Ribeiro, matrícula nº 37.076-7.</v>
      </c>
      <c r="D47" s="3" t="str">
        <f ca="1">IFERROR(__xludf.DUMMYFUNCTION("""COMPUTED_VALUE"""),"Desvio de conduta")</f>
        <v>Desvio de conduta</v>
      </c>
      <c r="E47" s="3" t="str">
        <f ca="1">IFERROR(__xludf.DUMMYFUNCTION("""COMPUTED_VALUE"""),"Desvio de conduta")</f>
        <v>Desvio de conduta</v>
      </c>
      <c r="F47" s="3" t="str">
        <f ca="1">IFERROR(__xludf.DUMMYFUNCTION("""COMPUTED_VALUE"""),"Outros.")</f>
        <v>Outros.</v>
      </c>
      <c r="G47" s="3"/>
      <c r="H47" s="3" t="str">
        <f ca="1">IFERROR(__xludf.DUMMYFUNCTION("""COMPUTED_VALUE"""),"""apuração
dos fatos de que trata o processo SEI-260007/016273/2021""")</f>
        <v>"apuração
dos fatos de que trata o processo SEI-260007/016273/2021"</v>
      </c>
      <c r="I47" s="3"/>
      <c r="J47" s="5">
        <f ca="1">IFERROR(__xludf.DUMMYFUNCTION("""COMPUTED_VALUE"""),44452)</f>
        <v>44452</v>
      </c>
      <c r="K47" s="5">
        <f ca="1">IFERROR(__xludf.DUMMYFUNCTION("""COMPUTED_VALUE"""),44490)</f>
        <v>44490</v>
      </c>
      <c r="L47" s="5">
        <f ca="1">IFERROR(__xludf.DUMMYFUNCTION("""COMPUTED_VALUE"""),44670)</f>
        <v>44670</v>
      </c>
      <c r="M47" s="5">
        <f ca="1">IFERROR(__xludf.DUMMYFUNCTION("""COMPUTED_VALUE"""),44671)</f>
        <v>44671</v>
      </c>
      <c r="N47" s="3" t="str">
        <f ca="1">IFERROR(__xludf.DUMMYFUNCTION("""COMPUTED_VALUE"""),"Prazo expirado")</f>
        <v>Prazo expirado</v>
      </c>
      <c r="O47" s="5">
        <f ca="1">IFERROR(__xludf.DUMMYFUNCTION("""COMPUTED_VALUE"""),45402)</f>
        <v>45402</v>
      </c>
      <c r="P47" s="3">
        <f ca="1">IFERROR(__xludf.DUMMYFUNCTION("""COMPUTED_VALUE"""),214)</f>
        <v>214</v>
      </c>
      <c r="Q47" s="5">
        <f ca="1">IFERROR(__xludf.DUMMYFUNCTION("""COMPUTED_VALUE"""),46497)</f>
        <v>46497</v>
      </c>
      <c r="R47" s="3" t="str">
        <f ca="1">IFERROR(__xludf.DUMMYFUNCTION("""COMPUTED_VALUE"""),"Alessandra Abelheira")</f>
        <v>Alessandra Abelheira</v>
      </c>
      <c r="S47" s="3" t="str">
        <f ca="1">IFERROR(__xludf.DUMMYFUNCTION("""COMPUTED_VALUE"""),"Débora")</f>
        <v>Débora</v>
      </c>
      <c r="T47" s="3" t="str">
        <f ca="1">IFERROR(__xludf.DUMMYFUNCTION("""COMPUTED_VALUE"""),"Karolynne Rocha")</f>
        <v>Karolynne Rocha</v>
      </c>
      <c r="U47" s="3" t="str">
        <f ca="1">IFERROR(__xludf.DUMMYFUNCTION("""COMPUTED_VALUE"""),"Ariane Serpa")</f>
        <v>Ariane Serpa</v>
      </c>
      <c r="V47" s="3" t="str">
        <f ca="1">IFERROR(__xludf.DUMMYFUNCTION("""COMPUTED_VALUE"""),"Não")</f>
        <v>Não</v>
      </c>
      <c r="W47" s="3" t="str">
        <f ca="1">IFERROR(__xludf.DUMMYFUNCTION("""COMPUTED_VALUE"""),"SEI-260007/016273/2021")</f>
        <v>SEI-260007/016273/2021</v>
      </c>
      <c r="X47" s="3" t="str">
        <f ca="1">IFERROR(__xludf.DUMMYFUNCTION("""COMPUTED_VALUE"""),"5 -Envio à PG/ Encerrado.")</f>
        <v>5 -Envio à PG/ Encerrado.</v>
      </c>
    </row>
    <row r="48" spans="1:24" x14ac:dyDescent="0.2">
      <c r="A48" s="3" t="str">
        <f ca="1">IFERROR(__xludf.DUMMYFUNCTION("""COMPUTED_VALUE"""),"372/2022")</f>
        <v>372/2022</v>
      </c>
      <c r="B48" s="3" t="str">
        <f ca="1">IFERROR(__xludf.DUMMYFUNCTION("""COMPUTED_VALUE"""),"SEI-260007/044136/2022")</f>
        <v>SEI-260007/044136/2022</v>
      </c>
      <c r="C48" s="3" t="str">
        <f ca="1">IFERROR(__xludf.DUMMYFUNCTION("""COMPUTED_VALUE"""),"LUCIANA MARIA PERLINGEIRO CHAMI, 398131")</f>
        <v>LUCIANA MARIA PERLINGEIRO CHAMI, 398131</v>
      </c>
      <c r="D48" s="3" t="str">
        <f ca="1">IFERROR(__xludf.DUMMYFUNCTION("""COMPUTED_VALUE"""),"Desvio de conduta")</f>
        <v>Desvio de conduta</v>
      </c>
      <c r="E48" s="3" t="str">
        <f ca="1">IFERROR(__xludf.DUMMYFUNCTION("""COMPUTED_VALUE"""),"Desvio de conduta")</f>
        <v>Desvio de conduta</v>
      </c>
      <c r="F48" s="3" t="str">
        <f ca="1">IFERROR(__xludf.DUMMYFUNCTION("""COMPUTED_VALUE"""),"Acumulação de cargos.")</f>
        <v>Acumulação de cargos.</v>
      </c>
      <c r="G48" s="3" t="str">
        <f ca="1">IFERROR(__xludf.DUMMYFUNCTION("""COMPUTED_VALUE"""),"Acumulação de cargos")</f>
        <v>Acumulação de cargos</v>
      </c>
      <c r="H48" s="3" t="str">
        <f ca="1">IFERROR(__xludf.DUMMYFUNCTION("""COMPUTED_VALUE"""),"Acumulação de terceiro vínculo no período de 07/12/2018 a 28/09/2021")</f>
        <v>Acumulação de terceiro vínculo no período de 07/12/2018 a 28/09/2021</v>
      </c>
      <c r="I48" s="3"/>
      <c r="J48" s="5">
        <f ca="1">IFERROR(__xludf.DUMMYFUNCTION("""COMPUTED_VALUE"""),44831)</f>
        <v>44831</v>
      </c>
      <c r="K48" s="5">
        <f ca="1">IFERROR(__xludf.DUMMYFUNCTION("""COMPUTED_VALUE"""),44837)</f>
        <v>44837</v>
      </c>
      <c r="L48" s="5">
        <f ca="1">IFERROR(__xludf.DUMMYFUNCTION("""COMPUTED_VALUE"""),45017)</f>
        <v>45017</v>
      </c>
      <c r="M48" s="5">
        <f ca="1">IFERROR(__xludf.DUMMYFUNCTION("""COMPUTED_VALUE"""),45018)</f>
        <v>45018</v>
      </c>
      <c r="N48" s="3" t="str">
        <f ca="1">IFERROR(__xludf.DUMMYFUNCTION("""COMPUTED_VALUE"""),"Finalizado")</f>
        <v>Finalizado</v>
      </c>
      <c r="O48" s="5">
        <f ca="1">IFERROR(__xludf.DUMMYFUNCTION("""COMPUTED_VALUE"""),45749)</f>
        <v>45749</v>
      </c>
      <c r="P48" s="3" t="str">
        <f ca="1">IFERROR(__xludf.DUMMYFUNCTION("""COMPUTED_VALUE"""),"O processo durou 590 dias entre a assinatura do despacho de autorização de abertura do PAD pelo Reitor e a assinatura do despacho de concordância/divergência pelo mesmo.")</f>
        <v>O processo durou 590 dias entre a assinatura do despacho de autorização de abertura do PAD pelo Reitor e a assinatura do despacho de concordância/divergência pelo mesmo.</v>
      </c>
      <c r="Q48" s="5">
        <f ca="1">IFERROR(__xludf.DUMMYFUNCTION("""COMPUTED_VALUE"""),46845)</f>
        <v>46845</v>
      </c>
      <c r="R48" s="3" t="str">
        <f ca="1">IFERROR(__xludf.DUMMYFUNCTION("""COMPUTED_VALUE"""),"Alessandra Abelheira")</f>
        <v>Alessandra Abelheira</v>
      </c>
      <c r="S48" s="3" t="str">
        <f ca="1">IFERROR(__xludf.DUMMYFUNCTION("""COMPUTED_VALUE"""),"Isadora")</f>
        <v>Isadora</v>
      </c>
      <c r="T48" s="3" t="str">
        <f ca="1">IFERROR(__xludf.DUMMYFUNCTION("""COMPUTED_VALUE"""),"Teresa Jardin")</f>
        <v>Teresa Jardin</v>
      </c>
      <c r="U48" s="3" t="str">
        <f ca="1">IFERROR(__xludf.DUMMYFUNCTION("""COMPUTED_VALUE"""),"Ariane Serpa")</f>
        <v>Ariane Serpa</v>
      </c>
      <c r="V48" s="3"/>
      <c r="W48" s="3" t="str">
        <f ca="1">IFERROR(__xludf.DUMMYFUNCTION("""COMPUTED_VALUE"""),"E-26/007/102877/2018")</f>
        <v>E-26/007/102877/2018</v>
      </c>
      <c r="X48" s="3" t="str">
        <f ca="1">IFERROR(__xludf.DUMMYFUNCTION("""COMPUTED_VALUE"""),"S-Resposta do Reitor/Anotado.")</f>
        <v>S-Resposta do Reitor/Anotado.</v>
      </c>
    </row>
    <row r="49" spans="1:24" x14ac:dyDescent="0.2">
      <c r="A49" s="3" t="str">
        <f ca="1">IFERROR(__xludf.DUMMYFUNCTION("""COMPUTED_VALUE"""),"350/2022")</f>
        <v>350/2022</v>
      </c>
      <c r="B49" s="3" t="str">
        <f ca="1">IFERROR(__xludf.DUMMYFUNCTION("""COMPUTED_VALUE"""),"SEI-260007/013158/2022")</f>
        <v>SEI-260007/013158/2022</v>
      </c>
      <c r="C49" s="3" t="str">
        <f ca="1">IFERROR(__xludf.DUMMYFUNCTION("""COMPUTED_VALUE"""),"Marcielle da Cunha, matrícula nº 37.674-9.")</f>
        <v>Marcielle da Cunha, matrícula nº 37.674-9.</v>
      </c>
      <c r="D49" s="3" t="str">
        <f ca="1">IFERROR(__xludf.DUMMYFUNCTION("""COMPUTED_VALUE"""),"Desvio de conduta")</f>
        <v>Desvio de conduta</v>
      </c>
      <c r="E49" s="3" t="str">
        <f ca="1">IFERROR(__xludf.DUMMYFUNCTION("""COMPUTED_VALUE"""),"Desvio de conduta")</f>
        <v>Desvio de conduta</v>
      </c>
      <c r="F49" s="3" t="str">
        <f ca="1">IFERROR(__xludf.DUMMYFUNCTION("""COMPUTED_VALUE"""),"Acumulação de cargos.")</f>
        <v>Acumulação de cargos.</v>
      </c>
      <c r="G49" s="3" t="str">
        <f ca="1">IFERROR(__xludf.DUMMYFUNCTION("""COMPUTED_VALUE"""),"Acumulação de cargos")</f>
        <v>Acumulação de cargos</v>
      </c>
      <c r="H49" s="3" t="str">
        <f ca="1">IFERROR(__xludf.DUMMYFUNCTION("""COMPUTED_VALUE"""),"Acumulação de terceiro vínculo no período de 09.04.2014 a 16.05.2018. ")</f>
        <v xml:space="preserve">Acumulação de terceiro vínculo no período de 09.04.2014 a 16.05.2018. </v>
      </c>
      <c r="I49" s="3"/>
      <c r="J49" s="5">
        <f ca="1">IFERROR(__xludf.DUMMYFUNCTION("""COMPUTED_VALUE"""),44593)</f>
        <v>44593</v>
      </c>
      <c r="K49" s="5">
        <f ca="1">IFERROR(__xludf.DUMMYFUNCTION("""COMPUTED_VALUE"""),44606)</f>
        <v>44606</v>
      </c>
      <c r="L49" s="5">
        <f ca="1">IFERROR(__xludf.DUMMYFUNCTION("""COMPUTED_VALUE"""),44786)</f>
        <v>44786</v>
      </c>
      <c r="M49" s="5">
        <f ca="1">IFERROR(__xludf.DUMMYFUNCTION("""COMPUTED_VALUE"""),44787)</f>
        <v>44787</v>
      </c>
      <c r="N49" s="3" t="str">
        <f ca="1">IFERROR(__xludf.DUMMYFUNCTION("""COMPUTED_VALUE"""),"Finalizado")</f>
        <v>Finalizado</v>
      </c>
      <c r="O49" s="5">
        <f ca="1">IFERROR(__xludf.DUMMYFUNCTION("""COMPUTED_VALUE"""),45518)</f>
        <v>45518</v>
      </c>
      <c r="P49" s="3" t="str">
        <f ca="1">IFERROR(__xludf.DUMMYFUNCTION("""COMPUTED_VALUE"""),"O processo durou 840 dias entre a assinatura do despacho de autorização de abertura do PAD pelo Reitor e a assinatura do despacho de concordância/divergência pelo mesmo.")</f>
        <v>O processo durou 840 dias entre a assinatura do despacho de autorização de abertura do PAD pelo Reitor e a assinatura do despacho de concordância/divergência pelo mesmo.</v>
      </c>
      <c r="Q49" s="5">
        <f ca="1">IFERROR(__xludf.DUMMYFUNCTION("""COMPUTED_VALUE"""),46613)</f>
        <v>46613</v>
      </c>
      <c r="R49" s="3" t="str">
        <f ca="1">IFERROR(__xludf.DUMMYFUNCTION("""COMPUTED_VALUE"""),"Alessandra Abelheira")</f>
        <v>Alessandra Abelheira</v>
      </c>
      <c r="S49" s="3" t="str">
        <f ca="1">IFERROR(__xludf.DUMMYFUNCTION("""COMPUTED_VALUE"""),"Isadora")</f>
        <v>Isadora</v>
      </c>
      <c r="T49" s="3" t="str">
        <f ca="1">IFERROR(__xludf.DUMMYFUNCTION("""COMPUTED_VALUE"""),"Ariane Serpa")</f>
        <v>Ariane Serpa</v>
      </c>
      <c r="U49" s="3" t="str">
        <f ca="1">IFERROR(__xludf.DUMMYFUNCTION("""COMPUTED_VALUE"""),"Teresa Jardin")</f>
        <v>Teresa Jardin</v>
      </c>
      <c r="V49" s="3"/>
      <c r="W49" s="3" t="str">
        <f ca="1">IFERROR(__xludf.DUMMYFUNCTION("""COMPUTED_VALUE"""),"Acumulação de cargos E-26/007/7297/2014")</f>
        <v>Acumulação de cargos E-26/007/7297/2014</v>
      </c>
      <c r="X49" s="3" t="str">
        <f ca="1">IFERROR(__xludf.DUMMYFUNCTION("""COMPUTED_VALUE"""),"S-Resposta do Reitor/Anotado.")</f>
        <v>S-Resposta do Reitor/Anotado.</v>
      </c>
    </row>
    <row r="50" spans="1:24" x14ac:dyDescent="0.2">
      <c r="A50" s="3" t="str">
        <f ca="1">IFERROR(__xludf.DUMMYFUNCTION("""COMPUTED_VALUE"""),"348/2022")</f>
        <v>348/2022</v>
      </c>
      <c r="B50" s="3" t="str">
        <f ca="1">IFERROR(__xludf.DUMMYFUNCTION("""COMPUTED_VALUE"""),"SEI-260007/012619/2022")</f>
        <v>SEI-260007/012619/2022</v>
      </c>
      <c r="C50" s="3" t="str">
        <f ca="1">IFERROR(__xludf.DUMMYFUNCTION("""COMPUTED_VALUE"""),"Jacqueline Amar, mat 32066-3")</f>
        <v>Jacqueline Amar, mat 32066-3</v>
      </c>
      <c r="D50" s="3" t="str">
        <f ca="1">IFERROR(__xludf.DUMMYFUNCTION("""COMPUTED_VALUE"""),"Desvio de conduta")</f>
        <v>Desvio de conduta</v>
      </c>
      <c r="E50" s="3" t="str">
        <f ca="1">IFERROR(__xludf.DUMMYFUNCTION("""COMPUTED_VALUE"""),"Desvio de conduta")</f>
        <v>Desvio de conduta</v>
      </c>
      <c r="F50" s="3" t="str">
        <f ca="1">IFERROR(__xludf.DUMMYFUNCTION("""COMPUTED_VALUE"""),"Abandono de cargo/ Inassiduidade habitual.")</f>
        <v>Abandono de cargo/ Inassiduidade habitual.</v>
      </c>
      <c r="G50" s="3" t="str">
        <f ca="1">IFERROR(__xludf.DUMMYFUNCTION("""COMPUTED_VALUE"""),"Abandono de cargo/ Inassiduidade habitual")</f>
        <v>Abandono de cargo/ Inassiduidade habitual</v>
      </c>
      <c r="H50" s="3" t="str">
        <f ca="1">IFERROR(__xludf.DUMMYFUNCTION("""COMPUTED_VALUE"""),"Apuração de faltas nos períodos de 2014, 2015, 2016 e janeiro de 2017")</f>
        <v>Apuração de faltas nos períodos de 2014, 2015, 2016 e janeiro de 2017</v>
      </c>
      <c r="I50" s="3"/>
      <c r="J50" s="5">
        <f ca="1">IFERROR(__xludf.DUMMYFUNCTION("""COMPUTED_VALUE"""),44591)</f>
        <v>44591</v>
      </c>
      <c r="K50" s="5">
        <f ca="1">IFERROR(__xludf.DUMMYFUNCTION("""COMPUTED_VALUE"""),44602)</f>
        <v>44602</v>
      </c>
      <c r="L50" s="5">
        <f ca="1">IFERROR(__xludf.DUMMYFUNCTION("""COMPUTED_VALUE"""),44782)</f>
        <v>44782</v>
      </c>
      <c r="M50" s="5">
        <f ca="1">IFERROR(__xludf.DUMMYFUNCTION("""COMPUTED_VALUE"""),44783)</f>
        <v>44783</v>
      </c>
      <c r="N50" s="3" t="str">
        <f ca="1">IFERROR(__xludf.DUMMYFUNCTION("""COMPUTED_VALUE"""),"Finalizado")</f>
        <v>Finalizado</v>
      </c>
      <c r="O50" s="5">
        <f ca="1">IFERROR(__xludf.DUMMYFUNCTION("""COMPUTED_VALUE"""),45514)</f>
        <v>45514</v>
      </c>
      <c r="P50" s="3" t="str">
        <f ca="1">IFERROR(__xludf.DUMMYFUNCTION("""COMPUTED_VALUE"""),"O processo durou 844 dias entre a assinatura do despacho de autorização de abertura do PAD pelo Reitor e a assinatura do despacho de concordância/divergência pelo mesmo.")</f>
        <v>O processo durou 844 dias entre a assinatura do despacho de autorização de abertura do PAD pelo Reitor e a assinatura do despacho de concordância/divergência pelo mesmo.</v>
      </c>
      <c r="Q50" s="5">
        <f ca="1">IFERROR(__xludf.DUMMYFUNCTION("""COMPUTED_VALUE"""),46609)</f>
        <v>46609</v>
      </c>
      <c r="R50" s="3" t="str">
        <f ca="1">IFERROR(__xludf.DUMMYFUNCTION("""COMPUTED_VALUE"""),"Vanessa Queiroz")</f>
        <v>Vanessa Queiroz</v>
      </c>
      <c r="S50" s="3" t="str">
        <f ca="1">IFERROR(__xludf.DUMMYFUNCTION("""COMPUTED_VALUE"""),"Débora")</f>
        <v>Débora</v>
      </c>
      <c r="T50" s="3" t="str">
        <f ca="1">IFERROR(__xludf.DUMMYFUNCTION("""COMPUTED_VALUE"""),"Felipe Perdigão")</f>
        <v>Felipe Perdigão</v>
      </c>
      <c r="U50" s="3" t="str">
        <f ca="1">IFERROR(__xludf.DUMMYFUNCTION("""COMPUTED_VALUE"""),"Marcelo Ferreira")</f>
        <v>Marcelo Ferreira</v>
      </c>
      <c r="V50" s="3" t="str">
        <f ca="1">IFERROR(__xludf.DUMMYFUNCTION("""COMPUTED_VALUE"""),"Não")</f>
        <v>Não</v>
      </c>
      <c r="W50" s="3" t="str">
        <f ca="1">IFERROR(__xludf.DUMMYFUNCTION("""COMPUTED_VALUE"""),"E-26/007/103515/2018")</f>
        <v>E-26/007/103515/2018</v>
      </c>
      <c r="X50" s="3" t="str">
        <f ca="1">IFERROR(__xludf.DUMMYFUNCTION("""COMPUTED_VALUE"""),"S-Resposta do Reitor/Anotado.")</f>
        <v>S-Resposta do Reitor/Anotado.</v>
      </c>
    </row>
    <row r="51" spans="1:24" x14ac:dyDescent="0.2">
      <c r="A51" s="3" t="str">
        <f ca="1">IFERROR(__xludf.DUMMYFUNCTION("""COMPUTED_VALUE"""),"349/2022")</f>
        <v>349/2022</v>
      </c>
      <c r="B51" s="3" t="str">
        <f ca="1">IFERROR(__xludf.DUMMYFUNCTION("""COMPUTED_VALUE"""),"SEI-260007/012856/2022")</f>
        <v>SEI-260007/012856/2022</v>
      </c>
      <c r="C51" s="3" t="str">
        <f ca="1">IFERROR(__xludf.DUMMYFUNCTION("""COMPUTED_VALUE"""),"Jacqueline Amar, mat 32066-3")</f>
        <v>Jacqueline Amar, mat 32066-3</v>
      </c>
      <c r="D51" s="3" t="str">
        <f ca="1">IFERROR(__xludf.DUMMYFUNCTION("""COMPUTED_VALUE"""),"Desvio de conduta")</f>
        <v>Desvio de conduta</v>
      </c>
      <c r="E51" s="3" t="str">
        <f ca="1">IFERROR(__xludf.DUMMYFUNCTION("""COMPUTED_VALUE"""),"Desvio de conduta")</f>
        <v>Desvio de conduta</v>
      </c>
      <c r="F51" s="3" t="str">
        <f ca="1">IFERROR(__xludf.DUMMYFUNCTION("""COMPUTED_VALUE"""),"Abandono de cargo/ Inassiduidade habitual.")</f>
        <v>Abandono de cargo/ Inassiduidade habitual.</v>
      </c>
      <c r="G51" s="3" t="str">
        <f ca="1">IFERROR(__xludf.DUMMYFUNCTION("""COMPUTED_VALUE"""),"Abandono de cargo/ Inassiduidade habitual")</f>
        <v>Abandono de cargo/ Inassiduidade habitual</v>
      </c>
      <c r="H51" s="3" t="str">
        <f ca="1">IFERROR(__xludf.DUMMYFUNCTION("""COMPUTED_VALUE"""),"Apuração de faltas nos períodos de 2014, 2015, 2016 e janeiro de 2017")</f>
        <v>Apuração de faltas nos períodos de 2014, 2015, 2016 e janeiro de 2017</v>
      </c>
      <c r="I51" s="3"/>
      <c r="J51" s="5">
        <f ca="1">IFERROR(__xludf.DUMMYFUNCTION("""COMPUTED_VALUE"""),44592)</f>
        <v>44592</v>
      </c>
      <c r="K51" s="5">
        <f ca="1">IFERROR(__xludf.DUMMYFUNCTION("""COMPUTED_VALUE"""),44602)</f>
        <v>44602</v>
      </c>
      <c r="L51" s="5">
        <f ca="1">IFERROR(__xludf.DUMMYFUNCTION("""COMPUTED_VALUE"""),44782)</f>
        <v>44782</v>
      </c>
      <c r="M51" s="5">
        <f ca="1">IFERROR(__xludf.DUMMYFUNCTION("""COMPUTED_VALUE"""),44783)</f>
        <v>44783</v>
      </c>
      <c r="N51" s="3" t="str">
        <f ca="1">IFERROR(__xludf.DUMMYFUNCTION("""COMPUTED_VALUE"""),"Finalizado")</f>
        <v>Finalizado</v>
      </c>
      <c r="O51" s="5">
        <f ca="1">IFERROR(__xludf.DUMMYFUNCTION("""COMPUTED_VALUE"""),45514)</f>
        <v>45514</v>
      </c>
      <c r="P51" s="3" t="str">
        <f ca="1">IFERROR(__xludf.DUMMYFUNCTION("""COMPUTED_VALUE"""),"O processo durou 843 dias entre a assinatura do despacho de autorização de abertura do PAD pelo Reitor e a assinatura do despacho de concordância/divergência pelo mesmo.")</f>
        <v>O processo durou 843 dias entre a assinatura do despacho de autorização de abertura do PAD pelo Reitor e a assinatura do despacho de concordância/divergência pelo mesmo.</v>
      </c>
      <c r="Q51" s="5">
        <f ca="1">IFERROR(__xludf.DUMMYFUNCTION("""COMPUTED_VALUE"""),46609)</f>
        <v>46609</v>
      </c>
      <c r="R51" s="3" t="str">
        <f ca="1">IFERROR(__xludf.DUMMYFUNCTION("""COMPUTED_VALUE"""),"Vanessa Queiroz")</f>
        <v>Vanessa Queiroz</v>
      </c>
      <c r="S51" s="3"/>
      <c r="T51" s="3" t="str">
        <f ca="1">IFERROR(__xludf.DUMMYFUNCTION("""COMPUTED_VALUE"""),"Marcelo Ferreira")</f>
        <v>Marcelo Ferreira</v>
      </c>
      <c r="U51" s="3" t="str">
        <f ca="1">IFERROR(__xludf.DUMMYFUNCTION("""COMPUTED_VALUE"""),"Felipe Perdigão")</f>
        <v>Felipe Perdigão</v>
      </c>
      <c r="V51" s="3" t="str">
        <f ca="1">IFERROR(__xludf.DUMMYFUNCTION("""COMPUTED_VALUE"""),"Não")</f>
        <v>Não</v>
      </c>
      <c r="W51" s="3" t="str">
        <f ca="1">IFERROR(__xludf.DUMMYFUNCTION("""COMPUTED_VALUE"""),"E-26/007/15514/2014")</f>
        <v>E-26/007/15514/2014</v>
      </c>
      <c r="X51" s="3" t="str">
        <f ca="1">IFERROR(__xludf.DUMMYFUNCTION("""COMPUTED_VALUE"""),"Apensado em outro PAD")</f>
        <v>Apensado em outro PAD</v>
      </c>
    </row>
    <row r="52" spans="1:24" x14ac:dyDescent="0.2">
      <c r="A52" s="3" t="str">
        <f ca="1">IFERROR(__xludf.DUMMYFUNCTION("""COMPUTED_VALUE"""),"341/2021")</f>
        <v>341/2021</v>
      </c>
      <c r="B52" s="3" t="str">
        <f ca="1">IFERROR(__xludf.DUMMYFUNCTION("""COMPUTED_VALUE"""),"SEI-260007/030713/2021")</f>
        <v>SEI-260007/030713/2021</v>
      </c>
      <c r="C52" s="3" t="str">
        <f ca="1">IFERROR(__xludf.DUMMYFUNCTION("""COMPUTED_VALUE"""),"Cláudio Ricardo dos Santos Cruz Azevedo, matrícula 39.733-1")</f>
        <v>Cláudio Ricardo dos Santos Cruz Azevedo, matrícula 39.733-1</v>
      </c>
      <c r="D52" s="3" t="str">
        <f ca="1">IFERROR(__xludf.DUMMYFUNCTION("""COMPUTED_VALUE"""),"Desvio de conduta")</f>
        <v>Desvio de conduta</v>
      </c>
      <c r="E52" s="3" t="str">
        <f ca="1">IFERROR(__xludf.DUMMYFUNCTION("""COMPUTED_VALUE"""),"Desvio de conduta")</f>
        <v>Desvio de conduta</v>
      </c>
      <c r="F52" s="3" t="str">
        <f ca="1">IFERROR(__xludf.DUMMYFUNCTION("""COMPUTED_VALUE"""),"Abandono de cargo/ Inassiduidade habitual.")</f>
        <v>Abandono de cargo/ Inassiduidade habitual.</v>
      </c>
      <c r="G52" s="3" t="str">
        <f ca="1">IFERROR(__xludf.DUMMYFUNCTION("""COMPUTED_VALUE"""),"Abandono de cargo/ Inassiduidade habitual")</f>
        <v>Abandono de cargo/ Inassiduidade habitual</v>
      </c>
      <c r="H52" s="3" t="str">
        <f ca="1">IFERROR(__xludf.DUMMYFUNCTION("""COMPUTED_VALUE"""),"Apuração de faltas sucessivas superior a 10 dias")</f>
        <v>Apuração de faltas sucessivas superior a 10 dias</v>
      </c>
      <c r="I52" s="3"/>
      <c r="J52" s="5">
        <f ca="1">IFERROR(__xludf.DUMMYFUNCTION("""COMPUTED_VALUE"""),44454)</f>
        <v>44454</v>
      </c>
      <c r="K52" s="5">
        <f ca="1">IFERROR(__xludf.DUMMYFUNCTION("""COMPUTED_VALUE"""),44460)</f>
        <v>44460</v>
      </c>
      <c r="L52" s="5">
        <f ca="1">IFERROR(__xludf.DUMMYFUNCTION("""COMPUTED_VALUE"""),44640)</f>
        <v>44640</v>
      </c>
      <c r="M52" s="5">
        <f ca="1">IFERROR(__xludf.DUMMYFUNCTION("""COMPUTED_VALUE"""),44641)</f>
        <v>44641</v>
      </c>
      <c r="N52" s="3" t="str">
        <f ca="1">IFERROR(__xludf.DUMMYFUNCTION("""COMPUTED_VALUE"""),"Finalizado")</f>
        <v>Finalizado</v>
      </c>
      <c r="O52" s="5">
        <f ca="1">IFERROR(__xludf.DUMMYFUNCTION("""COMPUTED_VALUE"""),45372)</f>
        <v>45372</v>
      </c>
      <c r="P52" s="3" t="str">
        <f ca="1">IFERROR(__xludf.DUMMYFUNCTION("""COMPUTED_VALUE"""),"O processo durou 1056 dias entre a assinatura do despacho de autorização de abertura do PAD pelo Reitor e a assinatura do despacho de concordância/divergência pelo mesmo.")</f>
        <v>O processo durou 1056 dias entre a assinatura do despacho de autorização de abertura do PAD pelo Reitor e a assinatura do despacho de concordância/divergência pelo mesmo.</v>
      </c>
      <c r="Q52" s="5">
        <f ca="1">IFERROR(__xludf.DUMMYFUNCTION("""COMPUTED_VALUE"""),46467)</f>
        <v>46467</v>
      </c>
      <c r="R52" s="3" t="str">
        <f ca="1">IFERROR(__xludf.DUMMYFUNCTION("""COMPUTED_VALUE"""),"Alessandra Abelheira")</f>
        <v>Alessandra Abelheira</v>
      </c>
      <c r="S52" s="3" t="str">
        <f ca="1">IFERROR(__xludf.DUMMYFUNCTION("""COMPUTED_VALUE"""),"Débora")</f>
        <v>Débora</v>
      </c>
      <c r="T52" s="3" t="str">
        <f ca="1">IFERROR(__xludf.DUMMYFUNCTION("""COMPUTED_VALUE"""),"Karolynne Rocha")</f>
        <v>Karolynne Rocha</v>
      </c>
      <c r="U52" s="3" t="str">
        <f ca="1">IFERROR(__xludf.DUMMYFUNCTION("""COMPUTED_VALUE"""),"Teresa Jardin")</f>
        <v>Teresa Jardin</v>
      </c>
      <c r="V52" s="3" t="str">
        <f ca="1">IFERROR(__xludf.DUMMYFUNCTION("""COMPUTED_VALUE"""),"Não")</f>
        <v>Não</v>
      </c>
      <c r="W52" s="3" t="str">
        <f ca="1">IFERROR(__xludf.DUMMYFUNCTION("""COMPUTED_VALUE"""),"SEI-260007/003534/2021")</f>
        <v>SEI-260007/003534/2021</v>
      </c>
      <c r="X52" s="3" t="str">
        <f ca="1">IFERROR(__xludf.DUMMYFUNCTION("""COMPUTED_VALUE"""),"S-Resposta do Reitor/Anotado.")</f>
        <v>S-Resposta do Reitor/Anotado.</v>
      </c>
    </row>
    <row r="53" spans="1:24" x14ac:dyDescent="0.2">
      <c r="A53" s="3" t="str">
        <f ca="1">IFERROR(__xludf.DUMMYFUNCTION("""COMPUTED_VALUE"""),"389/2023")</f>
        <v>389/2023</v>
      </c>
      <c r="B53" s="3" t="str">
        <f ca="1">IFERROR(__xludf.DUMMYFUNCTION("""COMPUTED_VALUE"""),"SEI-260007/015164/2023")</f>
        <v>SEI-260007/015164/2023</v>
      </c>
      <c r="C53" s="3" t="str">
        <f ca="1">IFERROR(__xludf.DUMMYFUNCTION("""COMPUTED_VALUE"""),"Sônia Maria Gomes Dutra, 64428 - Servidor Inativo")</f>
        <v>Sônia Maria Gomes Dutra, 64428 - Servidor Inativo</v>
      </c>
      <c r="D53" s="3" t="str">
        <f ca="1">IFERROR(__xludf.DUMMYFUNCTION("""COMPUTED_VALUE"""),"Desvio de conduta")</f>
        <v>Desvio de conduta</v>
      </c>
      <c r="E53" s="3" t="str">
        <f ca="1">IFERROR(__xludf.DUMMYFUNCTION("""COMPUTED_VALUE"""),"Desvio de conduta")</f>
        <v>Desvio de conduta</v>
      </c>
      <c r="F53" s="3" t="str">
        <f ca="1">IFERROR(__xludf.DUMMYFUNCTION("""COMPUTED_VALUE"""),"Acumulação de cargos.")</f>
        <v>Acumulação de cargos.</v>
      </c>
      <c r="G53" s="3" t="str">
        <f ca="1">IFERROR(__xludf.DUMMYFUNCTION("""COMPUTED_VALUE"""),"Acumulação de cargos")</f>
        <v>Acumulação de cargos</v>
      </c>
      <c r="H53" s="3" t="str">
        <f ca="1">IFERROR(__xludf.DUMMYFUNCTION("""COMPUTED_VALUE"""),"Acumulação de cargos no período de 24.09.2004 a 01.07.2020.")</f>
        <v>Acumulação de cargos no período de 24.09.2004 a 01.07.2020.</v>
      </c>
      <c r="I53" s="3" t="str">
        <f ca="1">IFERROR(__xludf.DUMMYFUNCTION("""COMPUTED_VALUE"""),"Não")</f>
        <v>Não</v>
      </c>
      <c r="J53" s="5">
        <f ca="1">IFERROR(__xludf.DUMMYFUNCTION("""COMPUTED_VALUE"""),45008)</f>
        <v>45008</v>
      </c>
      <c r="K53" s="5">
        <f ca="1">IFERROR(__xludf.DUMMYFUNCTION("""COMPUTED_VALUE"""),45014)</f>
        <v>45014</v>
      </c>
      <c r="L53" s="5">
        <f ca="1">IFERROR(__xludf.DUMMYFUNCTION("""COMPUTED_VALUE"""),45194)</f>
        <v>45194</v>
      </c>
      <c r="M53" s="5">
        <f ca="1">IFERROR(__xludf.DUMMYFUNCTION("""COMPUTED_VALUE"""),45195)</f>
        <v>45195</v>
      </c>
      <c r="N53" s="3" t="str">
        <f ca="1">IFERROR(__xludf.DUMMYFUNCTION("""COMPUTED_VALUE"""),"Finalizado")</f>
        <v>Finalizado</v>
      </c>
      <c r="O53" s="5">
        <f ca="1">IFERROR(__xludf.DUMMYFUNCTION("""COMPUTED_VALUE"""),45926)</f>
        <v>45926</v>
      </c>
      <c r="P53" s="3" t="str">
        <f ca="1">IFERROR(__xludf.DUMMYFUNCTION("""COMPUTED_VALUE"""),"O processo durou 1261 dias entre a assinatura do despacho de autorização de abertura do PAD pelo Reitor e a assinatura do despacho de concordância/divergência pelo mesmo.")</f>
        <v>O processo durou 1261 dias entre a assinatura do despacho de autorização de abertura do PAD pelo Reitor e a assinatura do despacho de concordância/divergência pelo mesmo.</v>
      </c>
      <c r="Q53" s="5">
        <f ca="1">IFERROR(__xludf.DUMMYFUNCTION("""COMPUTED_VALUE"""),47022)</f>
        <v>47022</v>
      </c>
      <c r="R53" s="3" t="str">
        <f ca="1">IFERROR(__xludf.DUMMYFUNCTION("""COMPUTED_VALUE"""),"Thaís Muci")</f>
        <v>Thaís Muci</v>
      </c>
      <c r="S53" s="3" t="str">
        <f ca="1">IFERROR(__xludf.DUMMYFUNCTION("""COMPUTED_VALUE"""),"Isadora")</f>
        <v>Isadora</v>
      </c>
      <c r="T53" s="3" t="str">
        <f ca="1">IFERROR(__xludf.DUMMYFUNCTION("""COMPUTED_VALUE"""),"Ariane Serpa")</f>
        <v>Ariane Serpa</v>
      </c>
      <c r="U53" s="3" t="str">
        <f ca="1">IFERROR(__xludf.DUMMYFUNCTION("""COMPUTED_VALUE"""),"Marcelo Bento")</f>
        <v>Marcelo Bento</v>
      </c>
      <c r="V53" s="3" t="str">
        <f ca="1">IFERROR(__xludf.DUMMYFUNCTION("""COMPUTED_VALUE"""),"Não")</f>
        <v>Não</v>
      </c>
      <c r="W53" s="3" t="str">
        <f ca="1">IFERROR(__xludf.DUMMYFUNCTION("""COMPUTED_VALUE"""),"E-26/007/10580/2013")</f>
        <v>E-26/007/10580/2013</v>
      </c>
      <c r="X53" s="3" t="str">
        <f ca="1">IFERROR(__xludf.DUMMYFUNCTION("""COMPUTED_VALUE"""),"S-Resposta do Reitor/Anotado.")</f>
        <v>S-Resposta do Reitor/Anotado.</v>
      </c>
    </row>
    <row r="54" spans="1:24" x14ac:dyDescent="0.2">
      <c r="A54" s="3" t="str">
        <f ca="1">IFERROR(__xludf.DUMMYFUNCTION("""COMPUTED_VALUE"""),"378/2023")</f>
        <v>378/2023</v>
      </c>
      <c r="B54" s="3" t="str">
        <f ca="1">IFERROR(__xludf.DUMMYFUNCTION("""COMPUTED_VALUE"""),"SEI-260007/003555/2023")</f>
        <v>SEI-260007/003555/2023</v>
      </c>
      <c r="C54" s="3" t="str">
        <f ca="1">IFERROR(__xludf.DUMMYFUNCTION("""COMPUTED_VALUE"""),"Patrícia Britto Ribeiro de Jesus, matr. 39.376-9,")</f>
        <v>Patrícia Britto Ribeiro de Jesus, matr. 39.376-9,</v>
      </c>
      <c r="D54" s="3" t="str">
        <f ca="1">IFERROR(__xludf.DUMMYFUNCTION("""COMPUTED_VALUE"""),"Desvio de conduta")</f>
        <v>Desvio de conduta</v>
      </c>
      <c r="E54" s="3" t="str">
        <f ca="1">IFERROR(__xludf.DUMMYFUNCTION("""COMPUTED_VALUE"""),"Desvio de conduta")</f>
        <v>Desvio de conduta</v>
      </c>
      <c r="F54" s="3" t="str">
        <f ca="1">IFERROR(__xludf.DUMMYFUNCTION("""COMPUTED_VALUE"""),"Acumulação de cargos.")</f>
        <v>Acumulação de cargos.</v>
      </c>
      <c r="G54" s="3" t="str">
        <f ca="1">IFERROR(__xludf.DUMMYFUNCTION("""COMPUTED_VALUE"""),"Acumulação de cargos")</f>
        <v>Acumulação de cargos</v>
      </c>
      <c r="H54" s="3" t="str">
        <f ca="1">IFERROR(__xludf.DUMMYFUNCTION("""COMPUTED_VALUE"""),"acumulação de vínculos públicos, no período de 07/01/2016 a 03/05/2019.")</f>
        <v>acumulação de vínculos públicos, no período de 07/01/2016 a 03/05/2019.</v>
      </c>
      <c r="I54" s="3"/>
      <c r="J54" s="5">
        <f ca="1">IFERROR(__xludf.DUMMYFUNCTION("""COMPUTED_VALUE"""),44942)</f>
        <v>44942</v>
      </c>
      <c r="K54" s="5">
        <f ca="1">IFERROR(__xludf.DUMMYFUNCTION("""COMPUTED_VALUE"""),44951)</f>
        <v>44951</v>
      </c>
      <c r="L54" s="5">
        <f ca="1">IFERROR(__xludf.DUMMYFUNCTION("""COMPUTED_VALUE"""),45131)</f>
        <v>45131</v>
      </c>
      <c r="M54" s="5">
        <f ca="1">IFERROR(__xludf.DUMMYFUNCTION("""COMPUTED_VALUE"""),45132)</f>
        <v>45132</v>
      </c>
      <c r="N54" s="3" t="str">
        <f ca="1">IFERROR(__xludf.DUMMYFUNCTION("""COMPUTED_VALUE"""),"Finalizado")</f>
        <v>Finalizado</v>
      </c>
      <c r="O54" s="5">
        <f ca="1">IFERROR(__xludf.DUMMYFUNCTION("""COMPUTED_VALUE"""),45863)</f>
        <v>45863</v>
      </c>
      <c r="P54" s="3" t="str">
        <f ca="1">IFERROR(__xludf.DUMMYFUNCTION("""COMPUTED_VALUE"""),"O processo durou 592 dias entre a assinatura do despacho de autorização de abertura do PAD pelo Reitor e a assinatura do despacho de concordância/divergência pelo mesmo.")</f>
        <v>O processo durou 592 dias entre a assinatura do despacho de autorização de abertura do PAD pelo Reitor e a assinatura do despacho de concordância/divergência pelo mesmo.</v>
      </c>
      <c r="Q54" s="5">
        <f ca="1">IFERROR(__xludf.DUMMYFUNCTION("""COMPUTED_VALUE"""),46959)</f>
        <v>46959</v>
      </c>
      <c r="R54" s="3" t="str">
        <f ca="1">IFERROR(__xludf.DUMMYFUNCTION("""COMPUTED_VALUE"""),"Vanessa Queiroz")</f>
        <v>Vanessa Queiroz</v>
      </c>
      <c r="S54" s="3" t="str">
        <f ca="1">IFERROR(__xludf.DUMMYFUNCTION("""COMPUTED_VALUE"""),"Débora")</f>
        <v>Débora</v>
      </c>
      <c r="T54" s="3" t="str">
        <f ca="1">IFERROR(__xludf.DUMMYFUNCTION("""COMPUTED_VALUE"""),"Jeanny Passigatte")</f>
        <v>Jeanny Passigatte</v>
      </c>
      <c r="U54" s="3" t="str">
        <f ca="1">IFERROR(__xludf.DUMMYFUNCTION("""COMPUTED_VALUE"""),"Marcelo Ferreira")</f>
        <v>Marcelo Ferreira</v>
      </c>
      <c r="V54" s="3" t="str">
        <f ca="1">IFERROR(__xludf.DUMMYFUNCTION("""COMPUTED_VALUE"""),"Não")</f>
        <v>Não</v>
      </c>
      <c r="W54" s="3" t="str">
        <f ca="1">IFERROR(__xludf.DUMMYFUNCTION("""COMPUTED_VALUE"""),"E-26/007/1961/2016")</f>
        <v>E-26/007/1961/2016</v>
      </c>
      <c r="X54" s="3" t="str">
        <f ca="1">IFERROR(__xludf.DUMMYFUNCTION("""COMPUTED_VALUE"""),"S-Resposta do Reitor/Anotado.")</f>
        <v>S-Resposta do Reitor/Anotado.</v>
      </c>
    </row>
    <row r="55" spans="1:24" x14ac:dyDescent="0.2">
      <c r="A55" s="3" t="str">
        <f ca="1">IFERROR(__xludf.DUMMYFUNCTION("""COMPUTED_VALUE"""),"359/2022")</f>
        <v>359/2022</v>
      </c>
      <c r="B55" s="3" t="str">
        <f ca="1">IFERROR(__xludf.DUMMYFUNCTION("""COMPUTED_VALUE"""),"SEI-260007/019989/2022")</f>
        <v>SEI-260007/019989/2022</v>
      </c>
      <c r="C55" s="3" t="str">
        <f ca="1">IFERROR(__xludf.DUMMYFUNCTION("""COMPUTED_VALUE"""),"Carlos Darcy Alves Bersót, 353664")</f>
        <v>Carlos Darcy Alves Bersót, 353664</v>
      </c>
      <c r="D55" s="3" t="str">
        <f ca="1">IFERROR(__xludf.DUMMYFUNCTION("""COMPUTED_VALUE"""),"Desvio de conduta")</f>
        <v>Desvio de conduta</v>
      </c>
      <c r="E55" s="3" t="str">
        <f ca="1">IFERROR(__xludf.DUMMYFUNCTION("""COMPUTED_VALUE"""),"Desvio de conduta")</f>
        <v>Desvio de conduta</v>
      </c>
      <c r="F55" s="3" t="str">
        <f ca="1">IFERROR(__xludf.DUMMYFUNCTION("""COMPUTED_VALUE"""),"Abandono de cargo/ Inassiduidade habitual.")</f>
        <v>Abandono de cargo/ Inassiduidade habitual.</v>
      </c>
      <c r="G55" s="3" t="str">
        <f ca="1">IFERROR(__xludf.DUMMYFUNCTION("""COMPUTED_VALUE"""),"Abandono de cargo/ Inassiduidade habitual")</f>
        <v>Abandono de cargo/ Inassiduidade habitual</v>
      </c>
      <c r="H55" s="3" t="str">
        <f ca="1">IFERROR(__xludf.DUMMYFUNCTION("""COMPUTED_VALUE"""),"Apuração de faltas sucessivas superior a 10 dias")</f>
        <v>Apuração de faltas sucessivas superior a 10 dias</v>
      </c>
      <c r="I55" s="3"/>
      <c r="J55" s="5">
        <f ca="1">IFERROR(__xludf.DUMMYFUNCTION("""COMPUTED_VALUE"""),44662)</f>
        <v>44662</v>
      </c>
      <c r="K55" s="5">
        <f ca="1">IFERROR(__xludf.DUMMYFUNCTION("""COMPUTED_VALUE"""),44678)</f>
        <v>44678</v>
      </c>
      <c r="L55" s="5">
        <f ca="1">IFERROR(__xludf.DUMMYFUNCTION("""COMPUTED_VALUE"""),44858)</f>
        <v>44858</v>
      </c>
      <c r="M55" s="5">
        <f ca="1">IFERROR(__xludf.DUMMYFUNCTION("""COMPUTED_VALUE"""),44859)</f>
        <v>44859</v>
      </c>
      <c r="N55" s="3" t="str">
        <f ca="1">IFERROR(__xludf.DUMMYFUNCTION("""COMPUTED_VALUE"""),"Finalizado")</f>
        <v>Finalizado</v>
      </c>
      <c r="O55" s="5">
        <f ca="1">IFERROR(__xludf.DUMMYFUNCTION("""COMPUTED_VALUE"""),45590)</f>
        <v>45590</v>
      </c>
      <c r="P55" s="3" t="str">
        <f ca="1">IFERROR(__xludf.DUMMYFUNCTION("""COMPUTED_VALUE"""),"O processo durou 861 dias entre a assinatura do despacho de autorização de abertura do PAD pelo Reitor e a assinatura do despacho de concordância/divergência pelo mesmo.")</f>
        <v>O processo durou 861 dias entre a assinatura do despacho de autorização de abertura do PAD pelo Reitor e a assinatura do despacho de concordância/divergência pelo mesmo.</v>
      </c>
      <c r="Q55" s="5">
        <f ca="1">IFERROR(__xludf.DUMMYFUNCTION("""COMPUTED_VALUE"""),46685)</f>
        <v>46685</v>
      </c>
      <c r="R55" s="3" t="str">
        <f ca="1">IFERROR(__xludf.DUMMYFUNCTION("""COMPUTED_VALUE"""),"Vanessa Queiroz")</f>
        <v>Vanessa Queiroz</v>
      </c>
      <c r="S55" s="3" t="str">
        <f ca="1">IFERROR(__xludf.DUMMYFUNCTION("""COMPUTED_VALUE"""),"Débora")</f>
        <v>Débora</v>
      </c>
      <c r="T55" s="3" t="str">
        <f ca="1">IFERROR(__xludf.DUMMYFUNCTION("""COMPUTED_VALUE"""),"Felipe Perdigão")</f>
        <v>Felipe Perdigão</v>
      </c>
      <c r="U55" s="3" t="str">
        <f ca="1">IFERROR(__xludf.DUMMYFUNCTION("""COMPUTED_VALUE"""),"Karolynne Rocha")</f>
        <v>Karolynne Rocha</v>
      </c>
      <c r="V55" s="3" t="str">
        <f ca="1">IFERROR(__xludf.DUMMYFUNCTION("""COMPUTED_VALUE"""),"Não")</f>
        <v>Não</v>
      </c>
      <c r="W55" s="3" t="str">
        <f ca="1">IFERROR(__xludf.DUMMYFUNCTION("""COMPUTED_VALUE"""),"E-26/007/5098/2019")</f>
        <v>E-26/007/5098/2019</v>
      </c>
      <c r="X55" s="3" t="str">
        <f ca="1">IFERROR(__xludf.DUMMYFUNCTION("""COMPUTED_VALUE"""),"S-Resposta do Reitor/Anotado.")</f>
        <v>S-Resposta do Reitor/Anotado.</v>
      </c>
    </row>
    <row r="56" spans="1:24" x14ac:dyDescent="0.2">
      <c r="A56" s="3" t="str">
        <f ca="1">IFERROR(__xludf.DUMMYFUNCTION("""COMPUTED_VALUE"""),"377/2023")</f>
        <v>377/2023</v>
      </c>
      <c r="B56" s="3" t="str">
        <f ca="1">IFERROR(__xludf.DUMMYFUNCTION("""COMPUTED_VALUE"""),"SEI-260007/002546/2023")</f>
        <v>SEI-260007/002546/2023</v>
      </c>
      <c r="C56" s="3" t="str">
        <f ca="1">IFERROR(__xludf.DUMMYFUNCTION("""COMPUTED_VALUE"""),"MARCELO GUALTER RAIMUNDO, 33.627-1")</f>
        <v>MARCELO GUALTER RAIMUNDO, 33.627-1</v>
      </c>
      <c r="D56" s="3" t="str">
        <f ca="1">IFERROR(__xludf.DUMMYFUNCTION("""COMPUTED_VALUE"""),"Desvio de conduta")</f>
        <v>Desvio de conduta</v>
      </c>
      <c r="E56" s="3" t="str">
        <f ca="1">IFERROR(__xludf.DUMMYFUNCTION("""COMPUTED_VALUE"""),"Desvio de conduta")</f>
        <v>Desvio de conduta</v>
      </c>
      <c r="F56" s="3" t="str">
        <f ca="1">IFERROR(__xludf.DUMMYFUNCTION("""COMPUTED_VALUE"""),"Acumulação de cargos.")</f>
        <v>Acumulação de cargos.</v>
      </c>
      <c r="G56" s="3" t="str">
        <f ca="1">IFERROR(__xludf.DUMMYFUNCTION("""COMPUTED_VALUE"""),"Acumulação de cargos")</f>
        <v>Acumulação de cargos</v>
      </c>
      <c r="H56" s="3" t="str">
        <f ca="1">IFERROR(__xludf.DUMMYFUNCTION("""COMPUTED_VALUE"""),"Acumulação ilícita de cargos pelo período de 05/07/1999 a 02/08/2020.")</f>
        <v>Acumulação ilícita de cargos pelo período de 05/07/1999 a 02/08/2020.</v>
      </c>
      <c r="I56" s="3"/>
      <c r="J56" s="7">
        <f ca="1">IFERROR(__xludf.DUMMYFUNCTION("""COMPUTED_VALUE"""),44910)</f>
        <v>44910</v>
      </c>
      <c r="K56" s="5">
        <f ca="1">IFERROR(__xludf.DUMMYFUNCTION("""COMPUTED_VALUE"""),44930)</f>
        <v>44930</v>
      </c>
      <c r="L56" s="5">
        <f ca="1">IFERROR(__xludf.DUMMYFUNCTION("""COMPUTED_VALUE"""),45110)</f>
        <v>45110</v>
      </c>
      <c r="M56" s="5">
        <f ca="1">IFERROR(__xludf.DUMMYFUNCTION("""COMPUTED_VALUE"""),45111)</f>
        <v>45111</v>
      </c>
      <c r="N56" s="3" t="str">
        <f ca="1">IFERROR(__xludf.DUMMYFUNCTION("""COMPUTED_VALUE"""),"Finalizado")</f>
        <v>Finalizado</v>
      </c>
      <c r="O56" s="5">
        <f ca="1">IFERROR(__xludf.DUMMYFUNCTION("""COMPUTED_VALUE"""),45842)</f>
        <v>45842</v>
      </c>
      <c r="P56" s="3" t="str">
        <f ca="1">IFERROR(__xludf.DUMMYFUNCTION("""COMPUTED_VALUE"""),"O processo durou 648 dias entre a assinatura do despacho de autorização de abertura do PAD pelo Reitor e a assinatura do despacho de concordância/divergência pelo mesmo.")</f>
        <v>O processo durou 648 dias entre a assinatura do despacho de autorização de abertura do PAD pelo Reitor e a assinatura do despacho de concordância/divergência pelo mesmo.</v>
      </c>
      <c r="Q56" s="5">
        <f ca="1">IFERROR(__xludf.DUMMYFUNCTION("""COMPUTED_VALUE"""),46938)</f>
        <v>46938</v>
      </c>
      <c r="R56" s="3" t="str">
        <f ca="1">IFERROR(__xludf.DUMMYFUNCTION("""COMPUTED_VALUE"""),"Vanessa Queiroz")</f>
        <v>Vanessa Queiroz</v>
      </c>
      <c r="S56" s="3" t="str">
        <f ca="1">IFERROR(__xludf.DUMMYFUNCTION("""COMPUTED_VALUE"""),"Isadora")</f>
        <v>Isadora</v>
      </c>
      <c r="T56" s="3" t="str">
        <f ca="1">IFERROR(__xludf.DUMMYFUNCTION("""COMPUTED_VALUE"""),"Marcelo Ferreira")</f>
        <v>Marcelo Ferreira</v>
      </c>
      <c r="U56" s="3" t="str">
        <f ca="1">IFERROR(__xludf.DUMMYFUNCTION("""COMPUTED_VALUE"""),"Jeanny Passigatte")</f>
        <v>Jeanny Passigatte</v>
      </c>
      <c r="V56" s="3"/>
      <c r="W56" s="3" t="str">
        <f ca="1">IFERROR(__xludf.DUMMYFUNCTION("""COMPUTED_VALUE"""),"SEI-260007/002638/2020")</f>
        <v>SEI-260007/002638/2020</v>
      </c>
      <c r="X56" s="3" t="str">
        <f ca="1">IFERROR(__xludf.DUMMYFUNCTION("""COMPUTED_VALUE"""),"S-Resposta do Reitor/Anotado.")</f>
        <v>S-Resposta do Reitor/Anotado.</v>
      </c>
    </row>
    <row r="57" spans="1:24" x14ac:dyDescent="0.2">
      <c r="A57" s="3" t="str">
        <f ca="1">IFERROR(__xludf.DUMMYFUNCTION("""COMPUTED_VALUE"""),"376/2023")</f>
        <v>376/2023</v>
      </c>
      <c r="B57" s="3" t="str">
        <f ca="1">IFERROR(__xludf.DUMMYFUNCTION("""COMPUTED_VALUE"""),"SEI-260007/002549/2023")</f>
        <v>SEI-260007/002549/2023</v>
      </c>
      <c r="C57" s="3" t="str">
        <f ca="1">IFERROR(__xludf.DUMMYFUNCTION("""COMPUTED_VALUE"""),"RAFAEL FERREIRA DA COSTA, 34.842-5")</f>
        <v>RAFAEL FERREIRA DA COSTA, 34.842-5</v>
      </c>
      <c r="D57" s="3" t="str">
        <f ca="1">IFERROR(__xludf.DUMMYFUNCTION("""COMPUTED_VALUE"""),"Desvio de conduta")</f>
        <v>Desvio de conduta</v>
      </c>
      <c r="E57" s="3" t="str">
        <f ca="1">IFERROR(__xludf.DUMMYFUNCTION("""COMPUTED_VALUE"""),"Desvio de conduta")</f>
        <v>Desvio de conduta</v>
      </c>
      <c r="F57" s="3" t="str">
        <f ca="1">IFERROR(__xludf.DUMMYFUNCTION("""COMPUTED_VALUE"""),"Acumulação de cargos.")</f>
        <v>Acumulação de cargos.</v>
      </c>
      <c r="G57" s="3" t="str">
        <f ca="1">IFERROR(__xludf.DUMMYFUNCTION("""COMPUTED_VALUE"""),"Acumulação de cargos")</f>
        <v>Acumulação de cargos</v>
      </c>
      <c r="H57" s="3" t="str">
        <f ca="1">IFERROR(__xludf.DUMMYFUNCTION("""COMPUTED_VALUE"""),"Acumulação tríplice de cargos no período de 02/06/2008 a 29/09/2020 exercendo cargos públicos nesta Universidade (mat. nº 34.842-5), na Prefeitura Municipal de Duque de Caxias (mat. nº 158704) e na Prefeitura da Cidade do Rio de Janeiro (mat. nº 10/202.39"&amp;"5-0).")</f>
        <v>Acumulação tríplice de cargos no período de 02/06/2008 a 29/09/2020 exercendo cargos públicos nesta Universidade (mat. nº 34.842-5), na Prefeitura Municipal de Duque de Caxias (mat. nº 158704) e na Prefeitura da Cidade do Rio de Janeiro (mat. nº 10/202.395-0).</v>
      </c>
      <c r="I57" s="3"/>
      <c r="J57" s="5">
        <f ca="1">IFERROR(__xludf.DUMMYFUNCTION("""COMPUTED_VALUE"""),44897)</f>
        <v>44897</v>
      </c>
      <c r="K57" s="5">
        <f ca="1">IFERROR(__xludf.DUMMYFUNCTION("""COMPUTED_VALUE"""),44938)</f>
        <v>44938</v>
      </c>
      <c r="L57" s="5">
        <f ca="1">IFERROR(__xludf.DUMMYFUNCTION("""COMPUTED_VALUE"""),45118)</f>
        <v>45118</v>
      </c>
      <c r="M57" s="5">
        <f ca="1">IFERROR(__xludf.DUMMYFUNCTION("""COMPUTED_VALUE"""),45119)</f>
        <v>45119</v>
      </c>
      <c r="N57" s="3" t="str">
        <f ca="1">IFERROR(__xludf.DUMMYFUNCTION("""COMPUTED_VALUE"""),"Finalizado")</f>
        <v>Finalizado</v>
      </c>
      <c r="O57" s="5">
        <f ca="1">IFERROR(__xludf.DUMMYFUNCTION("""COMPUTED_VALUE"""),45850)</f>
        <v>45850</v>
      </c>
      <c r="P57" s="3" t="str">
        <f ca="1">IFERROR(__xludf.DUMMYFUNCTION("""COMPUTED_VALUE"""),"O processo durou 662 dias entre a assinatura do despacho de autorização de abertura do PAD pelo Reitor e a assinatura do despacho de concordância/divergência pelo mesmo.")</f>
        <v>O processo durou 662 dias entre a assinatura do despacho de autorização de abertura do PAD pelo Reitor e a assinatura do despacho de concordância/divergência pelo mesmo.</v>
      </c>
      <c r="Q57" s="5">
        <f ca="1">IFERROR(__xludf.DUMMYFUNCTION("""COMPUTED_VALUE"""),46946)</f>
        <v>46946</v>
      </c>
      <c r="R57" s="3" t="str">
        <f ca="1">IFERROR(__xludf.DUMMYFUNCTION("""COMPUTED_VALUE"""),"Vanessa Queiroz")</f>
        <v>Vanessa Queiroz</v>
      </c>
      <c r="S57" s="3" t="str">
        <f ca="1">IFERROR(__xludf.DUMMYFUNCTION("""COMPUTED_VALUE"""),"Isadora")</f>
        <v>Isadora</v>
      </c>
      <c r="T57" s="3" t="str">
        <f ca="1">IFERROR(__xludf.DUMMYFUNCTION("""COMPUTED_VALUE"""),"Marcelo Ferreira")</f>
        <v>Marcelo Ferreira</v>
      </c>
      <c r="U57" s="3" t="str">
        <f ca="1">IFERROR(__xludf.DUMMYFUNCTION("""COMPUTED_VALUE"""),"Jeanny Passigatte")</f>
        <v>Jeanny Passigatte</v>
      </c>
      <c r="V57" s="3"/>
      <c r="W57" s="3" t="str">
        <f ca="1">IFERROR(__xludf.DUMMYFUNCTION("""COMPUTED_VALUE"""),"SEI-260007/002779/2020")</f>
        <v>SEI-260007/002779/2020</v>
      </c>
      <c r="X57" s="3" t="str">
        <f ca="1">IFERROR(__xludf.DUMMYFUNCTION("""COMPUTED_VALUE"""),"S-Resposta do Reitor/Anotado.")</f>
        <v>S-Resposta do Reitor/Anotado.</v>
      </c>
    </row>
    <row r="58" spans="1:24" x14ac:dyDescent="0.2">
      <c r="A58" s="3" t="str">
        <f ca="1">IFERROR(__xludf.DUMMYFUNCTION("""COMPUTED_VALUE"""),"374/2022")</f>
        <v>374/2022</v>
      </c>
      <c r="B58" s="3" t="str">
        <f ca="1">IFERROR(__xludf.DUMMYFUNCTION("""COMPUTED_VALUE"""),"SEI-260007/050042/2022")</f>
        <v>SEI-260007/050042/2022</v>
      </c>
      <c r="C58" s="3" t="str">
        <f ca="1">IFERROR(__xludf.DUMMYFUNCTION("""COMPUTED_VALUE"""),"CARLOS ANDRÉ LINS ÁVILA, matrícula nº 39.548-3")</f>
        <v>CARLOS ANDRÉ LINS ÁVILA, matrícula nº 39.548-3</v>
      </c>
      <c r="D58" s="3" t="str">
        <f ca="1">IFERROR(__xludf.DUMMYFUNCTION("""COMPUTED_VALUE"""),"Desvio de conduta")</f>
        <v>Desvio de conduta</v>
      </c>
      <c r="E58" s="3" t="str">
        <f ca="1">IFERROR(__xludf.DUMMYFUNCTION("""COMPUTED_VALUE"""),"Desvio de conduta")</f>
        <v>Desvio de conduta</v>
      </c>
      <c r="F58" s="3" t="str">
        <f ca="1">IFERROR(__xludf.DUMMYFUNCTION("""COMPUTED_VALUE"""),"Abandono de cargo/ Inassiduidade habitual.")</f>
        <v>Abandono de cargo/ Inassiduidade habitual.</v>
      </c>
      <c r="G58" s="3" t="str">
        <f ca="1">IFERROR(__xludf.DUMMYFUNCTION("""COMPUTED_VALUE"""),"Abandono de cargo/ Inassiduidade habitual, Desídia")</f>
        <v>Abandono de cargo/ Inassiduidade habitual, Desídia</v>
      </c>
      <c r="H58" s="3" t="str">
        <f ca="1">IFERROR(__xludf.DUMMYFUNCTION("""COMPUTED_VALUE"""),"Apuração de faltas sucessivas superior a 10 dias")</f>
        <v>Apuração de faltas sucessivas superior a 10 dias</v>
      </c>
      <c r="I58" s="3"/>
      <c r="J58" s="7">
        <f ca="1">IFERROR(__xludf.DUMMYFUNCTION("""COMPUTED_VALUE"""),44875)</f>
        <v>44875</v>
      </c>
      <c r="K58" s="5">
        <f ca="1">IFERROR(__xludf.DUMMYFUNCTION("""COMPUTED_VALUE"""),44881)</f>
        <v>44881</v>
      </c>
      <c r="L58" s="5">
        <f ca="1">IFERROR(__xludf.DUMMYFUNCTION("""COMPUTED_VALUE"""),45061)</f>
        <v>45061</v>
      </c>
      <c r="M58" s="5">
        <f ca="1">IFERROR(__xludf.DUMMYFUNCTION("""COMPUTED_VALUE"""),45062)</f>
        <v>45062</v>
      </c>
      <c r="N58" s="3" t="str">
        <f ca="1">IFERROR(__xludf.DUMMYFUNCTION("""COMPUTED_VALUE"""),"Finalizado")</f>
        <v>Finalizado</v>
      </c>
      <c r="O58" s="5">
        <f ca="1">IFERROR(__xludf.DUMMYFUNCTION("""COMPUTED_VALUE"""),45793)</f>
        <v>45793</v>
      </c>
      <c r="P58" s="3" t="str">
        <f ca="1">IFERROR(__xludf.DUMMYFUNCTION("""COMPUTED_VALUE"""),"O processo durou 687 dias entre a assinatura do despacho de autorização de abertura do PAD pelo Reitor e a assinatura do despacho de concordância/divergência pelo mesmo.")</f>
        <v>O processo durou 687 dias entre a assinatura do despacho de autorização de abertura do PAD pelo Reitor e a assinatura do despacho de concordância/divergência pelo mesmo.</v>
      </c>
      <c r="Q58" s="5">
        <f ca="1">IFERROR(__xludf.DUMMYFUNCTION("""COMPUTED_VALUE"""),46889)</f>
        <v>46889</v>
      </c>
      <c r="R58" s="3" t="str">
        <f ca="1">IFERROR(__xludf.DUMMYFUNCTION("""COMPUTED_VALUE"""),"Vanessa Queiroz")</f>
        <v>Vanessa Queiroz</v>
      </c>
      <c r="S58" s="3" t="str">
        <f ca="1">IFERROR(__xludf.DUMMYFUNCTION("""COMPUTED_VALUE"""),"Isadora")</f>
        <v>Isadora</v>
      </c>
      <c r="T58" s="3" t="str">
        <f ca="1">IFERROR(__xludf.DUMMYFUNCTION("""COMPUTED_VALUE"""),"Débora Ribeiro")</f>
        <v>Débora Ribeiro</v>
      </c>
      <c r="U58" s="3" t="str">
        <f ca="1">IFERROR(__xludf.DUMMYFUNCTION("""COMPUTED_VALUE"""),"Marcelo Bento")</f>
        <v>Marcelo Bento</v>
      </c>
      <c r="V58" s="3" t="str">
        <f ca="1">IFERROR(__xludf.DUMMYFUNCTION("""COMPUTED_VALUE"""),"Yago Prelelué Monteir")</f>
        <v>Yago Prelelué Monteir</v>
      </c>
      <c r="W58" s="3" t="str">
        <f ca="1">IFERROR(__xludf.DUMMYFUNCTION("""COMPUTED_VALUE"""),"E-26/007/3554/2019")</f>
        <v>E-26/007/3554/2019</v>
      </c>
      <c r="X58" s="3" t="str">
        <f ca="1">IFERROR(__xludf.DUMMYFUNCTION("""COMPUTED_VALUE"""),"S-Resposta do Reitor/Anotado.")</f>
        <v>S-Resposta do Reitor/Anotado.</v>
      </c>
    </row>
    <row r="59" spans="1:24" x14ac:dyDescent="0.2">
      <c r="A59" s="3" t="str">
        <f ca="1">IFERROR(__xludf.DUMMYFUNCTION("""COMPUTED_VALUE"""),"390/2023")</f>
        <v>390/2023</v>
      </c>
      <c r="B59" s="3" t="str">
        <f ca="1">IFERROR(__xludf.DUMMYFUNCTION("""COMPUTED_VALUE"""),"SEI-260007/015189/2023")</f>
        <v>SEI-260007/015189/2023</v>
      </c>
      <c r="C59" s="3" t="str">
        <f ca="1">IFERROR(__xludf.DUMMYFUNCTION("""COMPUTED_VALUE"""),"Alexandre Gama da Silva, 392613")</f>
        <v>Alexandre Gama da Silva, 392613</v>
      </c>
      <c r="D59" s="3" t="str">
        <f ca="1">IFERROR(__xludf.DUMMYFUNCTION("""COMPUTED_VALUE"""),"Desvio de conduta")</f>
        <v>Desvio de conduta</v>
      </c>
      <c r="E59" s="3" t="str">
        <f ca="1">IFERROR(__xludf.DUMMYFUNCTION("""COMPUTED_VALUE"""),"Desvio de conduta")</f>
        <v>Desvio de conduta</v>
      </c>
      <c r="F59" s="3" t="str">
        <f ca="1">IFERROR(__xludf.DUMMYFUNCTION("""COMPUTED_VALUE"""),"Acumulação de cargos.")</f>
        <v>Acumulação de cargos.</v>
      </c>
      <c r="G59" s="3" t="str">
        <f ca="1">IFERROR(__xludf.DUMMYFUNCTION("""COMPUTED_VALUE"""),"Acumulação de cargos")</f>
        <v>Acumulação de cargos</v>
      </c>
      <c r="H59" s="3" t="str">
        <f ca="1">IFERROR(__xludf.DUMMYFUNCTION("""COMPUTED_VALUE"""),"Acumulação ilícita de três cargos públicos pelo período de 10/04/2017 a 18/07/2018.")</f>
        <v>Acumulação ilícita de três cargos públicos pelo período de 10/04/2017 a 18/07/2018.</v>
      </c>
      <c r="I59" s="3"/>
      <c r="J59" s="5">
        <f ca="1">IFERROR(__xludf.DUMMYFUNCTION("""COMPUTED_VALUE"""),45005)</f>
        <v>45005</v>
      </c>
      <c r="K59" s="5">
        <f ca="1">IFERROR(__xludf.DUMMYFUNCTION("""COMPUTED_VALUE"""),45013)</f>
        <v>45013</v>
      </c>
      <c r="L59" s="5">
        <f ca="1">IFERROR(__xludf.DUMMYFUNCTION("""COMPUTED_VALUE"""),45193)</f>
        <v>45193</v>
      </c>
      <c r="M59" s="5">
        <f ca="1">IFERROR(__xludf.DUMMYFUNCTION("""COMPUTED_VALUE"""),45194)</f>
        <v>45194</v>
      </c>
      <c r="N59" s="3" t="str">
        <f ca="1">IFERROR(__xludf.DUMMYFUNCTION("""COMPUTED_VALUE"""),"Finalizado")</f>
        <v>Finalizado</v>
      </c>
      <c r="O59" s="5">
        <f ca="1">IFERROR(__xludf.DUMMYFUNCTION("""COMPUTED_VALUE"""),45925)</f>
        <v>45925</v>
      </c>
      <c r="P59" s="3" t="str">
        <f ca="1">IFERROR(__xludf.DUMMYFUNCTION("""COMPUTED_VALUE"""),"O processo durou 597 dias entre a assinatura do despacho de autorização de abertura do PAD pelo Reitor e a assinatura do despacho de concordância/divergência pelo mesmo.")</f>
        <v>O processo durou 597 dias entre a assinatura do despacho de autorização de abertura do PAD pelo Reitor e a assinatura do despacho de concordância/divergência pelo mesmo.</v>
      </c>
      <c r="Q59" s="5">
        <f ca="1">IFERROR(__xludf.DUMMYFUNCTION("""COMPUTED_VALUE"""),47021)</f>
        <v>47021</v>
      </c>
      <c r="R59" s="3" t="str">
        <f ca="1">IFERROR(__xludf.DUMMYFUNCTION("""COMPUTED_VALUE"""),"Vanessa Queiroz")</f>
        <v>Vanessa Queiroz</v>
      </c>
      <c r="S59" s="3" t="str">
        <f ca="1">IFERROR(__xludf.DUMMYFUNCTION("""COMPUTED_VALUE"""),"Isadora")</f>
        <v>Isadora</v>
      </c>
      <c r="T59" s="3" t="str">
        <f ca="1">IFERROR(__xludf.DUMMYFUNCTION("""COMPUTED_VALUE"""),"Jeanny Passigatte")</f>
        <v>Jeanny Passigatte</v>
      </c>
      <c r="U59" s="3" t="str">
        <f ca="1">IFERROR(__xludf.DUMMYFUNCTION("""COMPUTED_VALUE"""),"Marcelo Bento")</f>
        <v>Marcelo Bento</v>
      </c>
      <c r="V59" s="3"/>
      <c r="W59" s="3" t="str">
        <f ca="1">IFERROR(__xludf.DUMMYFUNCTION("""COMPUTED_VALUE"""),"E-26/007/11742/2015")</f>
        <v>E-26/007/11742/2015</v>
      </c>
      <c r="X59" s="3" t="str">
        <f ca="1">IFERROR(__xludf.DUMMYFUNCTION("""COMPUTED_VALUE"""),"S-Resposta do Reitor/Anotado.")</f>
        <v>S-Resposta do Reitor/Anotado.</v>
      </c>
    </row>
    <row r="60" spans="1:24" x14ac:dyDescent="0.2">
      <c r="A60" s="3" t="str">
        <f ca="1">IFERROR(__xludf.DUMMYFUNCTION("""COMPUTED_VALUE"""),"418/2023")</f>
        <v>418/2023</v>
      </c>
      <c r="B60" s="3" t="str">
        <f ca="1">IFERROR(__xludf.DUMMYFUNCTION("""COMPUTED_VALUE"""),"SEI-260007/055892/2023")</f>
        <v>SEI-260007/055892/2023</v>
      </c>
      <c r="C60" s="3" t="str">
        <f ca="1">IFERROR(__xludf.DUMMYFUNCTION("""COMPUTED_VALUE"""),"Ana Paula de Almeida Pereira Nunes, mat. 40.247-9")</f>
        <v>Ana Paula de Almeida Pereira Nunes, mat. 40.247-9</v>
      </c>
      <c r="D60" s="3" t="str">
        <f ca="1">IFERROR(__xludf.DUMMYFUNCTION("""COMPUTED_VALUE"""),"Desvio de conduta")</f>
        <v>Desvio de conduta</v>
      </c>
      <c r="E60" s="3" t="str">
        <f ca="1">IFERROR(__xludf.DUMMYFUNCTION("""COMPUTED_VALUE"""),"Desvio de conduta")</f>
        <v>Desvio de conduta</v>
      </c>
      <c r="F60" s="3" t="str">
        <f ca="1">IFERROR(__xludf.DUMMYFUNCTION("""COMPUTED_VALUE"""),"Acumulação de cargos.")</f>
        <v>Acumulação de cargos.</v>
      </c>
      <c r="G60" s="3" t="str">
        <f ca="1">IFERROR(__xludf.DUMMYFUNCTION("""COMPUTED_VALUE"""),"Acumulação de cargos")</f>
        <v>Acumulação de cargos</v>
      </c>
      <c r="H60" s="3" t="str">
        <f ca="1">IFERROR(__xludf.DUMMYFUNCTION("""COMPUTED_VALUE"""),"Tríplice acumulação de cargos ocupante do cargo de TUS/Psicólogo, matrícula 40.247-9, nesta Universidade e o vínculo com a Prefeitura de Itaboraí e um contrato temporário junto à Fundação Saúde do Estado do Rio de Janeiro no período de  04/12/2020 a 02/09"&amp;"/2021, configurando tríplice acumulação.")</f>
        <v>Tríplice acumulação de cargos ocupante do cargo de TUS/Psicólogo, matrícula 40.247-9, nesta Universidade e o vínculo com a Prefeitura de Itaboraí e um contrato temporário junto à Fundação Saúde do Estado do Rio de Janeiro no período de  04/12/2020 a 02/09/2021, configurando tríplice acumulação.</v>
      </c>
      <c r="I60" s="3"/>
      <c r="J60" s="5">
        <f ca="1">IFERROR(__xludf.DUMMYFUNCTION("""COMPUTED_VALUE"""),45128)</f>
        <v>45128</v>
      </c>
      <c r="K60" s="5">
        <f ca="1">IFERROR(__xludf.DUMMYFUNCTION("""COMPUTED_VALUE"""),45133)</f>
        <v>45133</v>
      </c>
      <c r="L60" s="5">
        <f ca="1">IFERROR(__xludf.DUMMYFUNCTION("""COMPUTED_VALUE"""),45313)</f>
        <v>45313</v>
      </c>
      <c r="M60" s="5">
        <f ca="1">IFERROR(__xludf.DUMMYFUNCTION("""COMPUTED_VALUE"""),45314)</f>
        <v>45314</v>
      </c>
      <c r="N60" s="3" t="str">
        <f ca="1">IFERROR(__xludf.DUMMYFUNCTION("""COMPUTED_VALUE"""),"Finalizado")</f>
        <v>Finalizado</v>
      </c>
      <c r="O60" s="5">
        <f ca="1">IFERROR(__xludf.DUMMYFUNCTION("""COMPUTED_VALUE"""),46045)</f>
        <v>46045</v>
      </c>
      <c r="P60" s="3" t="str">
        <f ca="1">IFERROR(__xludf.DUMMYFUNCTION("""COMPUTED_VALUE"""),"O processo durou 475 dias entre a assinatura do despacho de autorização de abertura do PAD pelo Reitor e a assinatura do despacho de concordância/divergência pelo mesmo.")</f>
        <v>O processo durou 475 dias entre a assinatura do despacho de autorização de abertura do PAD pelo Reitor e a assinatura do despacho de concordância/divergência pelo mesmo.</v>
      </c>
      <c r="Q60" s="5">
        <f ca="1">IFERROR(__xludf.DUMMYFUNCTION("""COMPUTED_VALUE"""),47141)</f>
        <v>47141</v>
      </c>
      <c r="R60" s="3" t="str">
        <f ca="1">IFERROR(__xludf.DUMMYFUNCTION("""COMPUTED_VALUE"""),"Thaís Muci")</f>
        <v>Thaís Muci</v>
      </c>
      <c r="S60" s="3" t="str">
        <f ca="1">IFERROR(__xludf.DUMMYFUNCTION("""COMPUTED_VALUE"""),"Micheline")</f>
        <v>Micheline</v>
      </c>
      <c r="T60" s="3" t="str">
        <f ca="1">IFERROR(__xludf.DUMMYFUNCTION("""COMPUTED_VALUE"""),"Ariane Serpa")</f>
        <v>Ariane Serpa</v>
      </c>
      <c r="U60" s="3" t="str">
        <f ca="1">IFERROR(__xludf.DUMMYFUNCTION("""COMPUTED_VALUE"""),"Felipe Perdigão")</f>
        <v>Felipe Perdigão</v>
      </c>
      <c r="V60" s="3"/>
      <c r="W60" s="3" t="str">
        <f ca="1">IFERROR(__xludf.DUMMYFUNCTION("""COMPUTED_VALUE"""),"SEI-260007/009042/2022")</f>
        <v>SEI-260007/009042/2022</v>
      </c>
      <c r="X60" s="3" t="str">
        <f ca="1">IFERROR(__xludf.DUMMYFUNCTION("""COMPUTED_VALUE"""),"S-Resposta do Reitor/Anotado.")</f>
        <v>S-Resposta do Reitor/Anotado.</v>
      </c>
    </row>
    <row r="61" spans="1:24" x14ac:dyDescent="0.2">
      <c r="A61" s="3" t="str">
        <f ca="1">IFERROR(__xludf.DUMMYFUNCTION("""COMPUTED_VALUE"""),"388/2023")</f>
        <v>388/2023</v>
      </c>
      <c r="B61" s="3" t="str">
        <f ca="1">IFERROR(__xludf.DUMMYFUNCTION("""COMPUTED_VALUE"""),"SEI-260007/013635/2023")</f>
        <v>SEI-260007/013635/2023</v>
      </c>
      <c r="C61" s="3" t="str">
        <f ca="1">IFERROR(__xludf.DUMMYFUNCTION("""COMPUTED_VALUE"""),"ROSANE MARIA VIANA ZAQUIEU, 37953-7")</f>
        <v>ROSANE MARIA VIANA ZAQUIEU, 37953-7</v>
      </c>
      <c r="D61" s="3" t="str">
        <f ca="1">IFERROR(__xludf.DUMMYFUNCTION("""COMPUTED_VALUE"""),"Desvio de conduta")</f>
        <v>Desvio de conduta</v>
      </c>
      <c r="E61" s="3" t="str">
        <f ca="1">IFERROR(__xludf.DUMMYFUNCTION("""COMPUTED_VALUE"""),"Desvio de conduta")</f>
        <v>Desvio de conduta</v>
      </c>
      <c r="F61" s="3" t="str">
        <f ca="1">IFERROR(__xludf.DUMMYFUNCTION("""COMPUTED_VALUE"""),"Abandono de cargo/ Inassiduidade habitual.")</f>
        <v>Abandono de cargo/ Inassiduidade habitual.</v>
      </c>
      <c r="G61" s="3" t="str">
        <f ca="1">IFERROR(__xludf.DUMMYFUNCTION("""COMPUTED_VALUE"""),"Abandono de cargo/ Inassiduidade habitual")</f>
        <v>Abandono de cargo/ Inassiduidade habitual</v>
      </c>
      <c r="H61" s="3" t="str">
        <f ca="1">IFERROR(__xludf.DUMMYFUNCTION("""COMPUTED_VALUE"""),"apuração de faltas injustificadas no período de 08 a 31 de março de 2018")</f>
        <v>apuração de faltas injustificadas no período de 08 a 31 de março de 2018</v>
      </c>
      <c r="I61" s="3"/>
      <c r="J61" s="5">
        <f ca="1">IFERROR(__xludf.DUMMYFUNCTION("""COMPUTED_VALUE"""),44993)</f>
        <v>44993</v>
      </c>
      <c r="K61" s="5">
        <f ca="1">IFERROR(__xludf.DUMMYFUNCTION("""COMPUTED_VALUE"""),44999)</f>
        <v>44999</v>
      </c>
      <c r="L61" s="5">
        <f ca="1">IFERROR(__xludf.DUMMYFUNCTION("""COMPUTED_VALUE"""),45179)</f>
        <v>45179</v>
      </c>
      <c r="M61" s="5">
        <f ca="1">IFERROR(__xludf.DUMMYFUNCTION("""COMPUTED_VALUE"""),45180)</f>
        <v>45180</v>
      </c>
      <c r="N61" s="3" t="str">
        <f ca="1">IFERROR(__xludf.DUMMYFUNCTION("""COMPUTED_VALUE"""),"Finalizado")</f>
        <v>Finalizado</v>
      </c>
      <c r="O61" s="5">
        <f ca="1">IFERROR(__xludf.DUMMYFUNCTION("""COMPUTED_VALUE"""),45911)</f>
        <v>45911</v>
      </c>
      <c r="P61" s="3" t="str">
        <f ca="1">IFERROR(__xludf.DUMMYFUNCTION("""COMPUTED_VALUE"""),"O processo durou 643 dias entre a assinatura do despacho de autorização de abertura do PAD pelo Reitor e a assinatura do despacho de concordância/divergência pelo mesmo.")</f>
        <v>O processo durou 643 dias entre a assinatura do despacho de autorização de abertura do PAD pelo Reitor e a assinatura do despacho de concordância/divergência pelo mesmo.</v>
      </c>
      <c r="Q61" s="5">
        <f ca="1">IFERROR(__xludf.DUMMYFUNCTION("""COMPUTED_VALUE"""),47007)</f>
        <v>47007</v>
      </c>
      <c r="R61" s="3" t="str">
        <f ca="1">IFERROR(__xludf.DUMMYFUNCTION("""COMPUTED_VALUE"""),"Vanessa Queiroz")</f>
        <v>Vanessa Queiroz</v>
      </c>
      <c r="S61" s="3" t="str">
        <f ca="1">IFERROR(__xludf.DUMMYFUNCTION("""COMPUTED_VALUE"""),"Felipe")</f>
        <v>Felipe</v>
      </c>
      <c r="T61" s="3" t="str">
        <f ca="1">IFERROR(__xludf.DUMMYFUNCTION("""COMPUTED_VALUE"""),"Karolynne Rocha")</f>
        <v>Karolynne Rocha</v>
      </c>
      <c r="U61" s="3" t="str">
        <f ca="1">IFERROR(__xludf.DUMMYFUNCTION("""COMPUTED_VALUE"""),"Jeanny Passigatte")</f>
        <v>Jeanny Passigatte</v>
      </c>
      <c r="V61" s="3" t="str">
        <f ca="1">IFERROR(__xludf.DUMMYFUNCTION("""COMPUTED_VALUE"""),"Jair Eduardo Salim Magluf Veras")</f>
        <v>Jair Eduardo Salim Magluf Veras</v>
      </c>
      <c r="W61" s="3" t="str">
        <f ca="1">IFERROR(__xludf.DUMMYFUNCTION("""COMPUTED_VALUE"""),"SEI-E-26/007/6089/2019")</f>
        <v>SEI-E-26/007/6089/2019</v>
      </c>
      <c r="X61" s="3" t="str">
        <f ca="1">IFERROR(__xludf.DUMMYFUNCTION("""COMPUTED_VALUE"""),"S-Resposta do Reitor/Anotado.")</f>
        <v>S-Resposta do Reitor/Anotado.</v>
      </c>
    </row>
    <row r="62" spans="1:24" x14ac:dyDescent="0.2">
      <c r="A62" s="3" t="str">
        <f ca="1">IFERROR(__xludf.DUMMYFUNCTION("""COMPUTED_VALUE"""),"446/2024")</f>
        <v>446/2024</v>
      </c>
      <c r="B62" s="3" t="str">
        <f ca="1">IFERROR(__xludf.DUMMYFUNCTION("""COMPUTED_VALUE"""),"SEI-260006/026951/2024")</f>
        <v>SEI-260006/026951/2024</v>
      </c>
      <c r="C62" s="3" t="str">
        <f ca="1">IFERROR(__xludf.DUMMYFUNCTION("""COMPUTED_VALUE"""),"Ricardo Kullock, 39048-4")</f>
        <v>Ricardo Kullock, 39048-4</v>
      </c>
      <c r="D62" s="3" t="str">
        <f ca="1">IFERROR(__xludf.DUMMYFUNCTION("""COMPUTED_VALUE"""),"Abandono do Cargo")</f>
        <v>Abandono do Cargo</v>
      </c>
      <c r="E62" s="3"/>
      <c r="F62" s="3" t="str">
        <f ca="1">IFERROR(__xludf.DUMMYFUNCTION("""COMPUTED_VALUE"""),"Abandono de cargo/ Inassiduidade habitual.")</f>
        <v>Abandono de cargo/ Inassiduidade habitual.</v>
      </c>
      <c r="G62" s="3" t="str">
        <f ca="1">IFERROR(__xludf.DUMMYFUNCTION("""COMPUTED_VALUE"""),"Abandono de cargo/ Inassiduidade habitual")</f>
        <v>Abandono de cargo/ Inassiduidade habitual</v>
      </c>
      <c r="H62" s="3" t="str">
        <f ca="1">IFERROR(__xludf.DUMMYFUNCTION("""COMPUTED_VALUE"""),"Apuração de faltas injustificadas no período de 23/05 a 30/06/2022.")</f>
        <v>Apuração de faltas injustificadas no período de 23/05 a 30/06/2022.</v>
      </c>
      <c r="I62" s="3"/>
      <c r="J62" s="5">
        <f ca="1">IFERROR(__xludf.DUMMYFUNCTION("""COMPUTED_VALUE"""),45454)</f>
        <v>45454</v>
      </c>
      <c r="K62" s="5">
        <f ca="1">IFERROR(__xludf.DUMMYFUNCTION("""COMPUTED_VALUE"""),45460)</f>
        <v>45460</v>
      </c>
      <c r="L62" s="5">
        <f ca="1">IFERROR(__xludf.DUMMYFUNCTION("""COMPUTED_VALUE"""),45640)</f>
        <v>45640</v>
      </c>
      <c r="M62" s="5">
        <f ca="1">IFERROR(__xludf.DUMMYFUNCTION("""COMPUTED_VALUE"""),45641)</f>
        <v>45641</v>
      </c>
      <c r="N62" s="3" t="str">
        <f ca="1">IFERROR(__xludf.DUMMYFUNCTION("""COMPUTED_VALUE"""),"Finalizado")</f>
        <v>Finalizado</v>
      </c>
      <c r="O62" s="5">
        <f ca="1">IFERROR(__xludf.DUMMYFUNCTION("""COMPUTED_VALUE"""),46371)</f>
        <v>46371</v>
      </c>
      <c r="P62" s="3" t="str">
        <f ca="1">IFERROR(__xludf.DUMMYFUNCTION("""COMPUTED_VALUE"""),"O processo durou 295 dias entre a assinatura do despacho de autorização de abertura do PAD pelo Reitor e a assinatura do despacho de concordância/divergência pelo mesmo.")</f>
        <v>O processo durou 295 dias entre a assinatura do despacho de autorização de abertura do PAD pelo Reitor e a assinatura do despacho de concordância/divergência pelo mesmo.</v>
      </c>
      <c r="Q62" s="5">
        <f ca="1">IFERROR(__xludf.DUMMYFUNCTION("""COMPUTED_VALUE"""),47467)</f>
        <v>47467</v>
      </c>
      <c r="R62" s="3" t="str">
        <f ca="1">IFERROR(__xludf.DUMMYFUNCTION("""COMPUTED_VALUE"""),"Bianca Faertes")</f>
        <v>Bianca Faertes</v>
      </c>
      <c r="S62" s="3" t="str">
        <f ca="1">IFERROR(__xludf.DUMMYFUNCTION("""COMPUTED_VALUE"""),"Micheline")</f>
        <v>Micheline</v>
      </c>
      <c r="T62" s="3" t="str">
        <f ca="1">IFERROR(__xludf.DUMMYFUNCTION("""COMPUTED_VALUE"""),"Alessandra Abelheira")</f>
        <v>Alessandra Abelheira</v>
      </c>
      <c r="U62" s="3" t="str">
        <f ca="1">IFERROR(__xludf.DUMMYFUNCTION("""COMPUTED_VALUE"""),"Patrícia Glioche")</f>
        <v>Patrícia Glioche</v>
      </c>
      <c r="V62" s="3"/>
      <c r="W62" s="3" t="str">
        <f ca="1">IFERROR(__xludf.DUMMYFUNCTION("""COMPUTED_VALUE"""),"SEI-260007/033470/2022")</f>
        <v>SEI-260007/033470/2022</v>
      </c>
      <c r="X62" s="3" t="str">
        <f ca="1">IFERROR(__xludf.DUMMYFUNCTION("""COMPUTED_VALUE"""),"S-Resposta do Reitor/Anotado.")</f>
        <v>S-Resposta do Reitor/Anotado.</v>
      </c>
    </row>
    <row r="63" spans="1:24" x14ac:dyDescent="0.2">
      <c r="A63" s="3" t="str">
        <f ca="1">IFERROR(__xludf.DUMMYFUNCTION("""COMPUTED_VALUE"""),"365/2022")</f>
        <v>365/2022</v>
      </c>
      <c r="B63" s="3" t="str">
        <f ca="1">IFERROR(__xludf.DUMMYFUNCTION("""COMPUTED_VALUE"""),"SEI-260007/038391/2022")</f>
        <v>SEI-260007/038391/2022</v>
      </c>
      <c r="C63" s="3" t="str">
        <f ca="1">IFERROR(__xludf.DUMMYFUNCTION("""COMPUTED_VALUE"""),"Andrea Ronda dos Santos Silva, 367714")</f>
        <v>Andrea Ronda dos Santos Silva, 367714</v>
      </c>
      <c r="D63" s="3" t="str">
        <f ca="1">IFERROR(__xludf.DUMMYFUNCTION("""COMPUTED_VALUE"""),"Desvio de conduta")</f>
        <v>Desvio de conduta</v>
      </c>
      <c r="E63" s="3" t="str">
        <f ca="1">IFERROR(__xludf.DUMMYFUNCTION("""COMPUTED_VALUE"""),"Desvio de conduta")</f>
        <v>Desvio de conduta</v>
      </c>
      <c r="F63" s="3" t="str">
        <f ca="1">IFERROR(__xludf.DUMMYFUNCTION("""COMPUTED_VALUE"""),"Acumulação de cargos.")</f>
        <v>Acumulação de cargos.</v>
      </c>
      <c r="G63" s="3" t="str">
        <f ca="1">IFERROR(__xludf.DUMMYFUNCTION("""COMPUTED_VALUE"""),"Acumulação de cargos")</f>
        <v>Acumulação de cargos</v>
      </c>
      <c r="H63" s="3" t="str">
        <f ca="1">IFERROR(__xludf.DUMMYFUNCTION("""COMPUTED_VALUE"""),"Acumulação de terceiro vínculo no período de 07/03/2014 a 22/10/2014.")</f>
        <v>Acumulação de terceiro vínculo no período de 07/03/2014 a 22/10/2014.</v>
      </c>
      <c r="I63" s="3"/>
      <c r="J63" s="5">
        <f ca="1">IFERROR(__xludf.DUMMYFUNCTION("""COMPUTED_VALUE"""),44781)</f>
        <v>44781</v>
      </c>
      <c r="K63" s="5">
        <f ca="1">IFERROR(__xludf.DUMMYFUNCTION("""COMPUTED_VALUE"""),44784)</f>
        <v>44784</v>
      </c>
      <c r="L63" s="5">
        <f ca="1">IFERROR(__xludf.DUMMYFUNCTION("""COMPUTED_VALUE"""),44964)</f>
        <v>44964</v>
      </c>
      <c r="M63" s="5">
        <f ca="1">IFERROR(__xludf.DUMMYFUNCTION("""COMPUTED_VALUE"""),44965)</f>
        <v>44965</v>
      </c>
      <c r="N63" s="3" t="str">
        <f ca="1">IFERROR(__xludf.DUMMYFUNCTION("""COMPUTED_VALUE"""),"Finalizado")</f>
        <v>Finalizado</v>
      </c>
      <c r="O63" s="5">
        <f ca="1">IFERROR(__xludf.DUMMYFUNCTION("""COMPUTED_VALUE"""),45696)</f>
        <v>45696</v>
      </c>
      <c r="P63" s="3" t="str">
        <f ca="1">IFERROR(__xludf.DUMMYFUNCTION("""COMPUTED_VALUE"""),"O processo durou 931 dias entre a assinatura do despacho de autorização de abertura do PAD pelo Reitor e a assinatura do despacho de concordância/divergência pelo mesmo.")</f>
        <v>O processo durou 931 dias entre a assinatura do despacho de autorização de abertura do PAD pelo Reitor e a assinatura do despacho de concordância/divergência pelo mesmo.</v>
      </c>
      <c r="Q63" s="5">
        <f ca="1">IFERROR(__xludf.DUMMYFUNCTION("""COMPUTED_VALUE"""),46791)</f>
        <v>46791</v>
      </c>
      <c r="R63" s="3" t="str">
        <f ca="1">IFERROR(__xludf.DUMMYFUNCTION("""COMPUTED_VALUE"""),"Vanessa Queiroz")</f>
        <v>Vanessa Queiroz</v>
      </c>
      <c r="S63" s="3" t="str">
        <f ca="1">IFERROR(__xludf.DUMMYFUNCTION("""COMPUTED_VALUE"""),"Micheline")</f>
        <v>Micheline</v>
      </c>
      <c r="T63" s="3" t="str">
        <f ca="1">IFERROR(__xludf.DUMMYFUNCTION("""COMPUTED_VALUE"""),"Felipe Perdigão")</f>
        <v>Felipe Perdigão</v>
      </c>
      <c r="U63" s="3" t="str">
        <f ca="1">IFERROR(__xludf.DUMMYFUNCTION("""COMPUTED_VALUE"""),"Teresa Jardin")</f>
        <v>Teresa Jardin</v>
      </c>
      <c r="V63" s="3"/>
      <c r="W63" s="3" t="str">
        <f ca="1">IFERROR(__xludf.DUMMYFUNCTION("""COMPUTED_VALUE"""),"Acumulação de cargos: E-26/007/7233/2013")</f>
        <v>Acumulação de cargos: E-26/007/7233/2013</v>
      </c>
      <c r="X63" s="3" t="str">
        <f ca="1">IFERROR(__xludf.DUMMYFUNCTION("""COMPUTED_VALUE"""),"S-Resposta do Reitor/Anotado.")</f>
        <v>S-Resposta do Reitor/Anotado.</v>
      </c>
    </row>
    <row r="64" spans="1:24" x14ac:dyDescent="0.2">
      <c r="A64" s="3" t="str">
        <f ca="1">IFERROR(__xludf.DUMMYFUNCTION("""COMPUTED_VALUE"""),"364/2022")</f>
        <v>364/2022</v>
      </c>
      <c r="B64" s="3" t="str">
        <f ca="1">IFERROR(__xludf.DUMMYFUNCTION("""COMPUTED_VALUE"""),"SEI-260007/033079/2022")</f>
        <v>SEI-260007/033079/2022</v>
      </c>
      <c r="C64" s="3" t="str">
        <f ca="1">IFERROR(__xludf.DUMMYFUNCTION("""COMPUTED_VALUE"""),"Andréia Neves de Sant'Anna Menezes, 34.853-2
")</f>
        <v xml:space="preserve">Andréia Neves de Sant'Anna Menezes, 34.853-2
</v>
      </c>
      <c r="D64" s="3" t="str">
        <f ca="1">IFERROR(__xludf.DUMMYFUNCTION("""COMPUTED_VALUE"""),"Desvio de conduta")</f>
        <v>Desvio de conduta</v>
      </c>
      <c r="E64" s="3" t="str">
        <f ca="1">IFERROR(__xludf.DUMMYFUNCTION("""COMPUTED_VALUE"""),"Desvio de conduta")</f>
        <v>Desvio de conduta</v>
      </c>
      <c r="F64" s="3" t="str">
        <f ca="1">IFERROR(__xludf.DUMMYFUNCTION("""COMPUTED_VALUE"""),"Acumulação de cargos.")</f>
        <v>Acumulação de cargos.</v>
      </c>
      <c r="G64" s="3" t="str">
        <f ca="1">IFERROR(__xludf.DUMMYFUNCTION("""COMPUTED_VALUE"""),"Acumulação de cargos")</f>
        <v>Acumulação de cargos</v>
      </c>
      <c r="H64" s="3" t="str">
        <f ca="1">IFERROR(__xludf.DUMMYFUNCTION("""COMPUTED_VALUE"""),"Tríplice acumulação de cargos no período de 29/11/2018 a31/07/2019, sendo um dos cargos de professor substituto na UFF. A servidora não informou à SGP quando assumiu o cargo de professora substituta na UFF e rescindiu o contrato antes do término, após aud"&amp;"itoria do TCE. Não houve declaração falsa na prestação da declaração de cargo/emprego/função.")</f>
        <v>Tríplice acumulação de cargos no período de 29/11/2018 a31/07/2019, sendo um dos cargos de professor substituto na UFF. A servidora não informou à SGP quando assumiu o cargo de professora substituta na UFF e rescindiu o contrato antes do término, após auditoria do TCE. Não houve declaração falsa na prestação da declaração de cargo/emprego/função.</v>
      </c>
      <c r="I64" s="3"/>
      <c r="J64" s="5">
        <f ca="1">IFERROR(__xludf.DUMMYFUNCTION("""COMPUTED_VALUE"""),44734)</f>
        <v>44734</v>
      </c>
      <c r="K64" s="5">
        <f ca="1">IFERROR(__xludf.DUMMYFUNCTION("""COMPUTED_VALUE"""),44750)</f>
        <v>44750</v>
      </c>
      <c r="L64" s="5">
        <f ca="1">IFERROR(__xludf.DUMMYFUNCTION("""COMPUTED_VALUE"""),44930)</f>
        <v>44930</v>
      </c>
      <c r="M64" s="5">
        <f ca="1">IFERROR(__xludf.DUMMYFUNCTION("""COMPUTED_VALUE"""),44931)</f>
        <v>44931</v>
      </c>
      <c r="N64" s="3" t="str">
        <f ca="1">IFERROR(__xludf.DUMMYFUNCTION("""COMPUTED_VALUE"""),"Finalizado")</f>
        <v>Finalizado</v>
      </c>
      <c r="O64" s="5">
        <f ca="1">IFERROR(__xludf.DUMMYFUNCTION("""COMPUTED_VALUE"""),45662)</f>
        <v>45662</v>
      </c>
      <c r="P64" s="3" t="str">
        <f ca="1">IFERROR(__xludf.DUMMYFUNCTION("""COMPUTED_VALUE"""),"O processo durou 980 dias entre a assinatura do despacho de autorização de abertura do PAD pelo Reitor e a assinatura do despacho de concordância/divergência pelo mesmo.")</f>
        <v>O processo durou 980 dias entre a assinatura do despacho de autorização de abertura do PAD pelo Reitor e a assinatura do despacho de concordância/divergência pelo mesmo.</v>
      </c>
      <c r="Q64" s="5">
        <f ca="1">IFERROR(__xludf.DUMMYFUNCTION("""COMPUTED_VALUE"""),46757)</f>
        <v>46757</v>
      </c>
      <c r="R64" s="3" t="str">
        <f ca="1">IFERROR(__xludf.DUMMYFUNCTION("""COMPUTED_VALUE"""),"Alessandra Abelheira")</f>
        <v>Alessandra Abelheira</v>
      </c>
      <c r="S64" s="3" t="str">
        <f ca="1">IFERROR(__xludf.DUMMYFUNCTION("""COMPUTED_VALUE"""),"Micheline")</f>
        <v>Micheline</v>
      </c>
      <c r="T64" s="3" t="str">
        <f ca="1">IFERROR(__xludf.DUMMYFUNCTION("""COMPUTED_VALUE"""),"Teresa Jardin")</f>
        <v>Teresa Jardin</v>
      </c>
      <c r="U64" s="3" t="str">
        <f ca="1">IFERROR(__xludf.DUMMYFUNCTION("""COMPUTED_VALUE"""),"Marcelo Ferreira")</f>
        <v>Marcelo Ferreira</v>
      </c>
      <c r="V64" s="3"/>
      <c r="W64" s="3" t="str">
        <f ca="1">IFERROR(__xludf.DUMMYFUNCTION("""COMPUTED_VALUE"""),"UERJ 6597/2008")</f>
        <v>UERJ 6597/2008</v>
      </c>
      <c r="X64" s="3" t="str">
        <f ca="1">IFERROR(__xludf.DUMMYFUNCTION("""COMPUTED_VALUE"""),"S-Resposta do Reitor/Anotado.")</f>
        <v>S-Resposta do Reitor/Anotado.</v>
      </c>
    </row>
    <row r="65" spans="1:24" x14ac:dyDescent="0.2">
      <c r="A65" s="3" t="str">
        <f ca="1">IFERROR(__xludf.DUMMYFUNCTION("""COMPUTED_VALUE"""),"360/2022")</f>
        <v>360/2022</v>
      </c>
      <c r="B65" s="3" t="str">
        <f ca="1">IFERROR(__xludf.DUMMYFUNCTION("""COMPUTED_VALUE"""),"SEI-260007/021471/2022")</f>
        <v>SEI-260007/021471/2022</v>
      </c>
      <c r="C65" s="3" t="str">
        <f ca="1">IFERROR(__xludf.DUMMYFUNCTION("""COMPUTED_VALUE"""),"Aline Aparecida Silva De Souza, 361568")</f>
        <v>Aline Aparecida Silva De Souza, 361568</v>
      </c>
      <c r="D65" s="3" t="str">
        <f ca="1">IFERROR(__xludf.DUMMYFUNCTION("""COMPUTED_VALUE"""),"Desvio de conduta")</f>
        <v>Desvio de conduta</v>
      </c>
      <c r="E65" s="3" t="str">
        <f ca="1">IFERROR(__xludf.DUMMYFUNCTION("""COMPUTED_VALUE"""),"Desvio de conduta")</f>
        <v>Desvio de conduta</v>
      </c>
      <c r="F65" s="3" t="str">
        <f ca="1">IFERROR(__xludf.DUMMYFUNCTION("""COMPUTED_VALUE"""),"Abandono de cargo/ Inassiduidade habitual.")</f>
        <v>Abandono de cargo/ Inassiduidade habitual.</v>
      </c>
      <c r="G65" s="3" t="str">
        <f ca="1">IFERROR(__xludf.DUMMYFUNCTION("""COMPUTED_VALUE"""),"Abandono de cargo/ Inassiduidade habitual")</f>
        <v>Abandono de cargo/ Inassiduidade habitual</v>
      </c>
      <c r="H65" s="3" t="str">
        <f ca="1">IFERROR(__xludf.DUMMYFUNCTION("""COMPUTED_VALUE"""),"supostas faltas injustificadas ao serviço no período de 01/12/2021 a 17/12/2021 e 16/02/2022 a 28/02/2022")</f>
        <v>supostas faltas injustificadas ao serviço no período de 01/12/2021 a 17/12/2021 e 16/02/2022 a 28/02/2022</v>
      </c>
      <c r="I65" s="3"/>
      <c r="J65" s="5">
        <f ca="1">IFERROR(__xludf.DUMMYFUNCTION("""COMPUTED_VALUE"""),44690)</f>
        <v>44690</v>
      </c>
      <c r="K65" s="5">
        <f ca="1">IFERROR(__xludf.DUMMYFUNCTION("""COMPUTED_VALUE"""),44694)</f>
        <v>44694</v>
      </c>
      <c r="L65" s="5">
        <f ca="1">IFERROR(__xludf.DUMMYFUNCTION("""COMPUTED_VALUE"""),44874)</f>
        <v>44874</v>
      </c>
      <c r="M65" s="5">
        <f ca="1">IFERROR(__xludf.DUMMYFUNCTION("""COMPUTED_VALUE"""),44875)</f>
        <v>44875</v>
      </c>
      <c r="N65" s="3" t="str">
        <f ca="1">IFERROR(__xludf.DUMMYFUNCTION("""COMPUTED_VALUE"""),"Finalizado")</f>
        <v>Finalizado</v>
      </c>
      <c r="O65" s="5">
        <f ca="1">IFERROR(__xludf.DUMMYFUNCTION("""COMPUTED_VALUE"""),45606)</f>
        <v>45606</v>
      </c>
      <c r="P65" s="3" t="str">
        <f ca="1">IFERROR(__xludf.DUMMYFUNCTION("""COMPUTED_VALUE"""),"O processo durou 1059 dias entre a assinatura do despacho de autorização de abertura do PAD pelo Reitor e a assinatura do despacho de concordância/divergência pelo mesmo.")</f>
        <v>O processo durou 1059 dias entre a assinatura do despacho de autorização de abertura do PAD pelo Reitor e a assinatura do despacho de concordância/divergência pelo mesmo.</v>
      </c>
      <c r="Q65" s="5">
        <f ca="1">IFERROR(__xludf.DUMMYFUNCTION("""COMPUTED_VALUE"""),46701)</f>
        <v>46701</v>
      </c>
      <c r="R65" s="3" t="str">
        <f ca="1">IFERROR(__xludf.DUMMYFUNCTION("""COMPUTED_VALUE"""),"Alessandra Abelheira")</f>
        <v>Alessandra Abelheira</v>
      </c>
      <c r="S65" s="3" t="str">
        <f ca="1">IFERROR(__xludf.DUMMYFUNCTION("""COMPUTED_VALUE"""),"Micheline")</f>
        <v>Micheline</v>
      </c>
      <c r="T65" s="3" t="str">
        <f ca="1">IFERROR(__xludf.DUMMYFUNCTION("""COMPUTED_VALUE"""),"Thaís Muci")</f>
        <v>Thaís Muci</v>
      </c>
      <c r="U65" s="3" t="str">
        <f ca="1">IFERROR(__xludf.DUMMYFUNCTION("""COMPUTED_VALUE"""),"Vanessa Queiroz")</f>
        <v>Vanessa Queiroz</v>
      </c>
      <c r="V65" s="3" t="str">
        <f ca="1">IFERROR(__xludf.DUMMYFUNCTION("""COMPUTED_VALUE"""),"Arthur Cezar Alves de Melo")</f>
        <v>Arthur Cezar Alves de Melo</v>
      </c>
      <c r="W65" s="3" t="str">
        <f ca="1">IFERROR(__xludf.DUMMYFUNCTION("""COMPUTED_VALUE"""),"SEI-260007/004951/2022")</f>
        <v>SEI-260007/004951/2022</v>
      </c>
      <c r="X65" s="3" t="str">
        <f ca="1">IFERROR(__xludf.DUMMYFUNCTION("""COMPUTED_VALUE"""),"S-Resposta do Reitor/Anotado.")</f>
        <v>S-Resposta do Reitor/Anotado.</v>
      </c>
    </row>
    <row r="66" spans="1:24" x14ac:dyDescent="0.2">
      <c r="A66" s="3" t="str">
        <f ca="1">IFERROR(__xludf.DUMMYFUNCTION("""COMPUTED_VALUE"""),"363/2022")</f>
        <v>363/2022</v>
      </c>
      <c r="B66" s="3" t="str">
        <f ca="1">IFERROR(__xludf.DUMMYFUNCTION("""COMPUTED_VALUE"""),"SEI-260007/032283/2022")</f>
        <v>SEI-260007/032283/2022</v>
      </c>
      <c r="C66" s="3" t="str">
        <f ca="1">IFERROR(__xludf.DUMMYFUNCTION("""COMPUTED_VALUE"""),"Arles Martins Brotas, matrícula nº 39.106-0.")</f>
        <v>Arles Martins Brotas, matrícula nº 39.106-0.</v>
      </c>
      <c r="D66" s="3" t="str">
        <f ca="1">IFERROR(__xludf.DUMMYFUNCTION("""COMPUTED_VALUE"""),"Desvio de conduta")</f>
        <v>Desvio de conduta</v>
      </c>
      <c r="E66" s="3" t="str">
        <f ca="1">IFERROR(__xludf.DUMMYFUNCTION("""COMPUTED_VALUE"""),"Desvio de conduta")</f>
        <v>Desvio de conduta</v>
      </c>
      <c r="F66" s="3" t="str">
        <f ca="1">IFERROR(__xludf.DUMMYFUNCTION("""COMPUTED_VALUE"""),"Acumulação de cargos.")</f>
        <v>Acumulação de cargos.</v>
      </c>
      <c r="G66" s="3" t="str">
        <f ca="1">IFERROR(__xludf.DUMMYFUNCTION("""COMPUTED_VALUE"""),"Acumulação de cargos")</f>
        <v>Acumulação de cargos</v>
      </c>
      <c r="H66" s="3" t="str">
        <f ca="1">IFERROR(__xludf.DUMMYFUNCTION("""COMPUTED_VALUE"""),"Acumulação de terceiro vínculo no período de 04/08/2015 a 14/05/2018.")</f>
        <v>Acumulação de terceiro vínculo no período de 04/08/2015 a 14/05/2018.</v>
      </c>
      <c r="I66" s="3"/>
      <c r="J66" s="5">
        <f ca="1">IFERROR(__xludf.DUMMYFUNCTION("""COMPUTED_VALUE"""),43860)</f>
        <v>43860</v>
      </c>
      <c r="K66" s="5">
        <f ca="1">IFERROR(__xludf.DUMMYFUNCTION("""COMPUTED_VALUE"""),43988)</f>
        <v>43988</v>
      </c>
      <c r="L66" s="5">
        <f ca="1">IFERROR(__xludf.DUMMYFUNCTION("""COMPUTED_VALUE"""),44168)</f>
        <v>44168</v>
      </c>
      <c r="M66" s="5">
        <f ca="1">IFERROR(__xludf.DUMMYFUNCTION("""COMPUTED_VALUE"""),44169)</f>
        <v>44169</v>
      </c>
      <c r="N66" s="3" t="str">
        <f ca="1">IFERROR(__xludf.DUMMYFUNCTION("""COMPUTED_VALUE"""),"Finalizado")</f>
        <v>Finalizado</v>
      </c>
      <c r="O66" s="5">
        <f ca="1">IFERROR(__xludf.DUMMYFUNCTION("""COMPUTED_VALUE"""),44899)</f>
        <v>44899</v>
      </c>
      <c r="P66" s="3" t="str">
        <f ca="1">IFERROR(__xludf.DUMMYFUNCTION("""COMPUTED_VALUE"""),"O processo durou 1925 dias entre a assinatura do despacho de autorização de abertura do PAD pelo Reitor e a assinatura do despacho de concordância/divergência pelo mesmo.")</f>
        <v>O processo durou 1925 dias entre a assinatura do despacho de autorização de abertura do PAD pelo Reitor e a assinatura do despacho de concordância/divergência pelo mesmo.</v>
      </c>
      <c r="Q66" s="5">
        <f ca="1">IFERROR(__xludf.DUMMYFUNCTION("""COMPUTED_VALUE"""),45995)</f>
        <v>45995</v>
      </c>
      <c r="R66" s="3" t="str">
        <f ca="1">IFERROR(__xludf.DUMMYFUNCTION("""COMPUTED_VALUE"""),"Vanessa Queiroz")</f>
        <v>Vanessa Queiroz</v>
      </c>
      <c r="S66" s="3" t="str">
        <f ca="1">IFERROR(__xludf.DUMMYFUNCTION("""COMPUTED_VALUE"""),"Micheline")</f>
        <v>Micheline</v>
      </c>
      <c r="T66" s="3" t="str">
        <f ca="1">IFERROR(__xludf.DUMMYFUNCTION("""COMPUTED_VALUE"""),"Patrícia Glioche")</f>
        <v>Patrícia Glioche</v>
      </c>
      <c r="U66" s="3" t="str">
        <f ca="1">IFERROR(__xludf.DUMMYFUNCTION("""COMPUTED_VALUE"""),"Thaís Muci")</f>
        <v>Thaís Muci</v>
      </c>
      <c r="V66" s="3"/>
      <c r="W66" s="3" t="str">
        <f ca="1">IFERROR(__xludf.DUMMYFUNCTION("""COMPUTED_VALUE"""),"E-26/007/10102/2015")</f>
        <v>E-26/007/10102/2015</v>
      </c>
      <c r="X66" s="3" t="str">
        <f ca="1">IFERROR(__xludf.DUMMYFUNCTION("""COMPUTED_VALUE"""),"S-Resposta do Reitor/Anotado.")</f>
        <v>S-Resposta do Reitor/Anotado.</v>
      </c>
    </row>
    <row r="67" spans="1:24" x14ac:dyDescent="0.2">
      <c r="A67" s="3" t="str">
        <f ca="1">IFERROR(__xludf.DUMMYFUNCTION("""COMPUTED_VALUE"""),"419/2023")</f>
        <v>419/2023</v>
      </c>
      <c r="B67" s="3" t="str">
        <f ca="1">IFERROR(__xludf.DUMMYFUNCTION("""COMPUTED_VALUE"""),"SEI-260007/060039/2023")</f>
        <v>SEI-260007/060039/2023</v>
      </c>
      <c r="C67" s="3" t="str">
        <f ca="1">IFERROR(__xludf.DUMMYFUNCTION("""COMPUTED_VALUE"""),"Renata Schnoor Hartfelder, mat nº 37560-0")</f>
        <v>Renata Schnoor Hartfelder, mat nº 37560-0</v>
      </c>
      <c r="D67" s="3" t="str">
        <f ca="1">IFERROR(__xludf.DUMMYFUNCTION("""COMPUTED_VALUE"""),"Irregularidades relacionadas à gestão nas contas ")</f>
        <v xml:space="preserve">Irregularidades relacionadas à gestão nas contas </v>
      </c>
      <c r="E67" s="3" t="str">
        <f ca="1">IFERROR(__xludf.DUMMYFUNCTION("""COMPUTED_VALUE"""),"Desvio de recursos públicos ")</f>
        <v xml:space="preserve">Desvio de recursos públicos </v>
      </c>
      <c r="F67" s="3" t="str">
        <f ca="1">IFERROR(__xludf.DUMMYFUNCTION("""COMPUTED_VALUE"""),"Outros.")</f>
        <v>Outros.</v>
      </c>
      <c r="G67" s="3" t="str">
        <f ca="1">IFERROR(__xludf.DUMMYFUNCTION("""COMPUTED_VALUE"""),"Outros")</f>
        <v>Outros</v>
      </c>
      <c r="H67" s="3" t="str">
        <f ca="1">IFERROR(__xludf.DUMMYFUNCTION("""COMPUTED_VALUE"""),"Irregularidades relacionadas à gestão nas contas SIDES Centro de Estudos e do SIDES Direção da Policlínica Piquet Carneiro movimentados pela servidora Renata Schnoor Hartfelder.A PGUERJ, em suas manifestações 60716012, 60765128 e 61351520, opinou pela ins"&amp;"tauração de PAD (inquérito), considerando os indícios de prática de infração disciplinar de natureza grave, de desvio de recursos públicos, bem como a suspensão cautelar da servidora como medida de resguardo da instrução processual, nos termos do artigo 5"&amp;"9 do DL 220/75.")</f>
        <v>Irregularidades relacionadas à gestão nas contas SIDES Centro de Estudos e do SIDES Direção da Policlínica Piquet Carneiro movimentados pela servidora Renata Schnoor Hartfelder.A PGUERJ, em suas manifestações 60716012, 60765128 e 61351520, opinou pela instauração de PAD (inquérito), considerando os indícios de prática de infração disciplinar de natureza grave, de desvio de recursos públicos, bem como a suspensão cautelar da servidora como medida de resguardo da instrução processual, nos termos do artigo 59 do DL 220/75.</v>
      </c>
      <c r="I67" s="3" t="str">
        <f ca="1">IFERROR(__xludf.DUMMYFUNCTION("""COMPUTED_VALUE"""),"art. 59 § 1º do DL 220/75
(suspensão preventiva no sistema SIGRH a contar de 10/11/2023, -Despacho 63375320)
DOERJ de 28/01/2025-&gt;  PROCESSONº SEI-260006/024946/2024 -  a manutenção da medida cautelar da servidora
")</f>
        <v xml:space="preserve">art. 59 § 1º do DL 220/75
(suspensão preventiva no sistema SIGRH a contar de 10/11/2023, -Despacho 63375320)
DOERJ de 28/01/2025-&gt;  PROCESSONº SEI-260006/024946/2024 -  a manutenção da medida cautelar da servidora
</v>
      </c>
      <c r="J67" s="5">
        <f ca="1">IFERROR(__xludf.DUMMYFUNCTION("""COMPUTED_VALUE"""),45239)</f>
        <v>45239</v>
      </c>
      <c r="K67" s="5">
        <f ca="1">IFERROR(__xludf.DUMMYFUNCTION("""COMPUTED_VALUE"""),45240)</f>
        <v>45240</v>
      </c>
      <c r="L67" s="5">
        <f ca="1">IFERROR(__xludf.DUMMYFUNCTION("""COMPUTED_VALUE"""),45420)</f>
        <v>45420</v>
      </c>
      <c r="M67" s="5">
        <f ca="1">IFERROR(__xludf.DUMMYFUNCTION("""COMPUTED_VALUE"""),45421)</f>
        <v>45421</v>
      </c>
      <c r="N67" s="3" t="str">
        <f ca="1">IFERROR(__xludf.DUMMYFUNCTION("""COMPUTED_VALUE"""),"Finalizado")</f>
        <v>Finalizado</v>
      </c>
      <c r="O67" s="5">
        <f ca="1">IFERROR(__xludf.DUMMYFUNCTION("""COMPUTED_VALUE"""),46151)</f>
        <v>46151</v>
      </c>
      <c r="P67" s="3" t="str">
        <f ca="1">IFERROR(__xludf.DUMMYFUNCTION("""COMPUTED_VALUE"""),"O processo durou 498 dias entre a assinatura do despacho de autorização de abertura do PAD pelo Reitor e a assinatura do despacho de concordância/divergência pelo mesmo.")</f>
        <v>O processo durou 498 dias entre a assinatura do despacho de autorização de abertura do PAD pelo Reitor e a assinatura do despacho de concordância/divergência pelo mesmo.</v>
      </c>
      <c r="Q67" s="5">
        <f ca="1">IFERROR(__xludf.DUMMYFUNCTION("""COMPUTED_VALUE"""),47247)</f>
        <v>47247</v>
      </c>
      <c r="R67" s="3" t="str">
        <f ca="1">IFERROR(__xludf.DUMMYFUNCTION("""COMPUTED_VALUE"""),"Marcelo Bento")</f>
        <v>Marcelo Bento</v>
      </c>
      <c r="S67" s="3" t="str">
        <f ca="1">IFERROR(__xludf.DUMMYFUNCTION("""COMPUTED_VALUE"""),"Isadora")</f>
        <v>Isadora</v>
      </c>
      <c r="T67" s="3" t="str">
        <f ca="1">IFERROR(__xludf.DUMMYFUNCTION("""COMPUTED_VALUE"""),"Karolynne Rocha")</f>
        <v>Karolynne Rocha</v>
      </c>
      <c r="U67" s="3" t="str">
        <f ca="1">IFERROR(__xludf.DUMMYFUNCTION("""COMPUTED_VALUE"""),"Marcelo Ferreira")</f>
        <v>Marcelo Ferreira</v>
      </c>
      <c r="V67" s="3" t="str">
        <f ca="1">IFERROR(__xludf.DUMMYFUNCTION("""COMPUTED_VALUE"""),"Não")</f>
        <v>Não</v>
      </c>
      <c r="W67" s="3" t="str">
        <f ca="1">IFERROR(__xludf.DUMMYFUNCTION("""COMPUTED_VALUE"""),"SEI-260007/037778/2023")</f>
        <v>SEI-260007/037778/2023</v>
      </c>
      <c r="X67" s="3" t="str">
        <f ca="1">IFERROR(__xludf.DUMMYFUNCTION("""COMPUTED_VALUE"""),"S-Resposta do Reitor/Anotado.")</f>
        <v>S-Resposta do Reitor/Anotado.</v>
      </c>
    </row>
    <row r="68" spans="1:24" x14ac:dyDescent="0.2">
      <c r="A68" s="3" t="str">
        <f ca="1">IFERROR(__xludf.DUMMYFUNCTION("""COMPUTED_VALUE"""),"426/2024")</f>
        <v>426/2024</v>
      </c>
      <c r="B68" s="3" t="str">
        <f ca="1">IFERROR(__xludf.DUMMYFUNCTION("""COMPUTED_VALUE"""),"SEI-260007/001335/2024")</f>
        <v>SEI-260007/001335/2024</v>
      </c>
      <c r="C68" s="3" t="str">
        <f ca="1">IFERROR(__xludf.DUMMYFUNCTION("""COMPUTED_VALUE"""),"Marli da Luz, matr. nº 33.011-8.")</f>
        <v>Marli da Luz, matr. nº 33.011-8.</v>
      </c>
      <c r="D68" s="3" t="str">
        <f ca="1">IFERROR(__xludf.DUMMYFUNCTION("""COMPUTED_VALUE"""),"Desvio de conduta")</f>
        <v>Desvio de conduta</v>
      </c>
      <c r="E68" s="3" t="str">
        <f ca="1">IFERROR(__xludf.DUMMYFUNCTION("""COMPUTED_VALUE"""),"Desvio de conduta")</f>
        <v>Desvio de conduta</v>
      </c>
      <c r="F68" s="3" t="str">
        <f ca="1">IFERROR(__xludf.DUMMYFUNCTION("""COMPUTED_VALUE"""),"Acumulação de cargos.")</f>
        <v>Acumulação de cargos.</v>
      </c>
      <c r="G68" s="3" t="str">
        <f ca="1">IFERROR(__xludf.DUMMYFUNCTION("""COMPUTED_VALUE"""),"Acumulação de cargos")</f>
        <v>Acumulação de cargos</v>
      </c>
      <c r="H68" s="3" t="str">
        <f ca="1">IFERROR(__xludf.DUMMYFUNCTION("""COMPUTED_VALUE"""),"I. ACUMULAÇÃO ILEGAL DE CARGOS; II. VEDAÇÃO CONSTITUCIONAL; III. ARTIGO 37 DL 220/75; V. ARTIGOS 282 E 283 DL 2479/79; V.  OMISSÃO REITERADA EM FORNECER INFORMAÇÃOES; VI. INDÍCIOS DE INSUBORDINAÇÃO;")</f>
        <v>I. ACUMULAÇÃO ILEGAL DE CARGOS; II. VEDAÇÃO CONSTITUCIONAL; III. ARTIGO 37 DL 220/75; V. ARTIGOS 282 E 283 DL 2479/79; V.  OMISSÃO REITERADA EM FORNECER INFORMAÇÃOES; VI. INDÍCIOS DE INSUBORDINAÇÃO;</v>
      </c>
      <c r="I68" s="3"/>
      <c r="J68" s="5">
        <f ca="1">IFERROR(__xludf.DUMMYFUNCTION("""COMPUTED_VALUE"""),45269)</f>
        <v>45269</v>
      </c>
      <c r="K68" s="5">
        <f ca="1">IFERROR(__xludf.DUMMYFUNCTION("""COMPUTED_VALUE"""),45273)</f>
        <v>45273</v>
      </c>
      <c r="L68" s="5">
        <f ca="1">IFERROR(__xludf.DUMMYFUNCTION("""COMPUTED_VALUE"""),45453)</f>
        <v>45453</v>
      </c>
      <c r="M68" s="5">
        <f ca="1">IFERROR(__xludf.DUMMYFUNCTION("""COMPUTED_VALUE"""),45454)</f>
        <v>45454</v>
      </c>
      <c r="N68" s="3" t="str">
        <f ca="1">IFERROR(__xludf.DUMMYFUNCTION("""COMPUTED_VALUE"""),"Finalizado")</f>
        <v>Finalizado</v>
      </c>
      <c r="O68" s="5">
        <f ca="1">IFERROR(__xludf.DUMMYFUNCTION("""COMPUTED_VALUE"""),46184)</f>
        <v>46184</v>
      </c>
      <c r="P68" s="3" t="str">
        <f ca="1">IFERROR(__xludf.DUMMYFUNCTION("""COMPUTED_VALUE"""),"O processo durou 480 dias entre a assinatura do despacho de autorização de abertura do PAD pelo Reitor e a assinatura do despacho de concordância/divergência pelo mesmo.")</f>
        <v>O processo durou 480 dias entre a assinatura do despacho de autorização de abertura do PAD pelo Reitor e a assinatura do despacho de concordância/divergência pelo mesmo.</v>
      </c>
      <c r="Q68" s="5">
        <f ca="1">IFERROR(__xludf.DUMMYFUNCTION("""COMPUTED_VALUE"""),47280)</f>
        <v>47280</v>
      </c>
      <c r="R68" s="3" t="str">
        <f ca="1">IFERROR(__xludf.DUMMYFUNCTION("""COMPUTED_VALUE"""),"Vanessa Queiroz")</f>
        <v>Vanessa Queiroz</v>
      </c>
      <c r="S68" s="3" t="str">
        <f ca="1">IFERROR(__xludf.DUMMYFUNCTION("""COMPUTED_VALUE"""),"Franciane")</f>
        <v>Franciane</v>
      </c>
      <c r="T68" s="3" t="str">
        <f ca="1">IFERROR(__xludf.DUMMYFUNCTION("""COMPUTED_VALUE"""),"Débora Ribeiro")</f>
        <v>Débora Ribeiro</v>
      </c>
      <c r="U68" s="3" t="str">
        <f ca="1">IFERROR(__xludf.DUMMYFUNCTION("""COMPUTED_VALUE"""),"Jeanny Passigatte")</f>
        <v>Jeanny Passigatte</v>
      </c>
      <c r="V68" s="3" t="str">
        <f ca="1">IFERROR(__xludf.DUMMYFUNCTION("""COMPUTED_VALUE"""),"Não")</f>
        <v>Não</v>
      </c>
      <c r="W68" s="3" t="str">
        <f ca="1">IFERROR(__xludf.DUMMYFUNCTION("""COMPUTED_VALUE"""),"E-26/007/3477/2018")</f>
        <v>E-26/007/3477/2018</v>
      </c>
      <c r="X68" s="3" t="str">
        <f ca="1">IFERROR(__xludf.DUMMYFUNCTION("""COMPUTED_VALUE"""),"S-Resposta do Reitor/Anotado.")</f>
        <v>S-Resposta do Reitor/Anotado.</v>
      </c>
    </row>
    <row r="69" spans="1:24" x14ac:dyDescent="0.2">
      <c r="A69" s="3" t="str">
        <f ca="1">IFERROR(__xludf.DUMMYFUNCTION("""COMPUTED_VALUE"""),"405/2023")</f>
        <v>405/2023</v>
      </c>
      <c r="B69" s="3" t="str">
        <f ca="1">IFERROR(__xludf.DUMMYFUNCTION("""COMPUTED_VALUE"""),"SEI-260007/030889/2023")</f>
        <v>SEI-260007/030889/2023</v>
      </c>
      <c r="C69" s="3" t="str">
        <f ca="1">IFERROR(__xludf.DUMMYFUNCTION("""COMPUTED_VALUE"""),"Marilda Villela Iamamoto, matr.nº. 34.624-7.")</f>
        <v>Marilda Villela Iamamoto, matr.nº. 34.624-7.</v>
      </c>
      <c r="D69" s="3" t="str">
        <f ca="1">IFERROR(__xludf.DUMMYFUNCTION("""COMPUTED_VALUE"""),"Desvio de conduta")</f>
        <v>Desvio de conduta</v>
      </c>
      <c r="E69" s="3" t="str">
        <f ca="1">IFERROR(__xludf.DUMMYFUNCTION("""COMPUTED_VALUE"""),"Desvio de conduta")</f>
        <v>Desvio de conduta</v>
      </c>
      <c r="F69" s="3" t="str">
        <f ca="1">IFERROR(__xludf.DUMMYFUNCTION("""COMPUTED_VALUE"""),"Acumulação de cargos.")</f>
        <v>Acumulação de cargos.</v>
      </c>
      <c r="G69" s="3" t="str">
        <f ca="1">IFERROR(__xludf.DUMMYFUNCTION("""COMPUTED_VALUE"""),"Acumulação de cargos")</f>
        <v>Acumulação de cargos</v>
      </c>
      <c r="H69" s="3" t="str">
        <f ca="1">IFERROR(__xludf.DUMMYFUNCTION("""COMPUTED_VALUE"""),"Acumulação ilegal de três cargos públicos a partir da efetiva reintegração da servidora ao cargo ocupado no INSS.")</f>
        <v>Acumulação ilegal de três cargos públicos a partir da efetiva reintegração da servidora ao cargo ocupado no INSS.</v>
      </c>
      <c r="I69" s="3"/>
      <c r="J69" s="5">
        <f ca="1">IFERROR(__xludf.DUMMYFUNCTION("""COMPUTED_VALUE"""),45084)</f>
        <v>45084</v>
      </c>
      <c r="K69" s="5">
        <f ca="1">IFERROR(__xludf.DUMMYFUNCTION("""COMPUTED_VALUE"""),45090)</f>
        <v>45090</v>
      </c>
      <c r="L69" s="5">
        <f ca="1">IFERROR(__xludf.DUMMYFUNCTION("""COMPUTED_VALUE"""),45270)</f>
        <v>45270</v>
      </c>
      <c r="M69" s="5">
        <f ca="1">IFERROR(__xludf.DUMMYFUNCTION("""COMPUTED_VALUE"""),45271)</f>
        <v>45271</v>
      </c>
      <c r="N69" s="3" t="str">
        <f ca="1">IFERROR(__xludf.DUMMYFUNCTION("""COMPUTED_VALUE"""),"Finalizado")</f>
        <v>Finalizado</v>
      </c>
      <c r="O69" s="5">
        <f ca="1">IFERROR(__xludf.DUMMYFUNCTION("""COMPUTED_VALUE"""),46002)</f>
        <v>46002</v>
      </c>
      <c r="P69" s="3" t="str">
        <f ca="1">IFERROR(__xludf.DUMMYFUNCTION("""COMPUTED_VALUE"""),"O processo durou 672 dias entre a assinatura do despacho de autorização de abertura do PAD pelo Reitor e a assinatura do despacho de concordância/divergência pelo mesmo.")</f>
        <v>O processo durou 672 dias entre a assinatura do despacho de autorização de abertura do PAD pelo Reitor e a assinatura do despacho de concordância/divergência pelo mesmo.</v>
      </c>
      <c r="Q69" s="5">
        <f ca="1">IFERROR(__xludf.DUMMYFUNCTION("""COMPUTED_VALUE"""),47098)</f>
        <v>47098</v>
      </c>
      <c r="R69" s="3" t="str">
        <f ca="1">IFERROR(__xludf.DUMMYFUNCTION("""COMPUTED_VALUE"""),"Thaís Muci")</f>
        <v>Thaís Muci</v>
      </c>
      <c r="S69" s="3" t="str">
        <f ca="1">IFERROR(__xludf.DUMMYFUNCTION("""COMPUTED_VALUE"""),"Isadora")</f>
        <v>Isadora</v>
      </c>
      <c r="T69" s="3" t="str">
        <f ca="1">IFERROR(__xludf.DUMMYFUNCTION("""COMPUTED_VALUE"""),"Karolynne Rocha")</f>
        <v>Karolynne Rocha</v>
      </c>
      <c r="U69" s="3" t="str">
        <f ca="1">IFERROR(__xludf.DUMMYFUNCTION("""COMPUTED_VALUE"""),"Patrícia Glioche")</f>
        <v>Patrícia Glioche</v>
      </c>
      <c r="V69" s="3"/>
      <c r="W69" s="3" t="str">
        <f ca="1">IFERROR(__xludf.DUMMYFUNCTION("""COMPUTED_VALUE"""),"9560/2005")</f>
        <v>9560/2005</v>
      </c>
      <c r="X69" s="3" t="str">
        <f ca="1">IFERROR(__xludf.DUMMYFUNCTION("""COMPUTED_VALUE"""),"S-Resposta do Reitor/Anotado.")</f>
        <v>S-Resposta do Reitor/Anotado.</v>
      </c>
    </row>
    <row r="70" spans="1:24" x14ac:dyDescent="0.2">
      <c r="A70" s="3" t="str">
        <f ca="1">IFERROR(__xludf.DUMMYFUNCTION("""COMPUTED_VALUE"""),"366/2022")</f>
        <v>366/2022</v>
      </c>
      <c r="B70" s="3" t="str">
        <f ca="1">IFERROR(__xludf.DUMMYFUNCTION("""COMPUTED_VALUE"""),"SEI-260007/043697/2022")</f>
        <v>SEI-260007/043697/2022</v>
      </c>
      <c r="C70" s="3" t="str">
        <f ca="1">IFERROR(__xludf.DUMMYFUNCTION("""COMPUTED_VALUE"""),"Marcelo Ernandez Macedo, matr. 32807-0")</f>
        <v>Marcelo Ernandez Macedo, matr. 32807-0</v>
      </c>
      <c r="D70" s="3" t="str">
        <f ca="1">IFERROR(__xludf.DUMMYFUNCTION("""COMPUTED_VALUE"""),"Desvio de conduta")</f>
        <v>Desvio de conduta</v>
      </c>
      <c r="E70" s="3" t="str">
        <f ca="1">IFERROR(__xludf.DUMMYFUNCTION("""COMPUTED_VALUE"""),"Desvio de conduta")</f>
        <v>Desvio de conduta</v>
      </c>
      <c r="F70" s="3" t="str">
        <f ca="1">IFERROR(__xludf.DUMMYFUNCTION("""COMPUTED_VALUE"""),"Outros.")</f>
        <v>Outros.</v>
      </c>
      <c r="G70" s="3" t="str">
        <f ca="1">IFERROR(__xludf.DUMMYFUNCTION("""COMPUTED_VALUE"""),"Outros")</f>
        <v>Outros</v>
      </c>
      <c r="H70" s="3" t="str">
        <f ca="1">IFERROR(__xludf.DUMMYFUNCTION("""COMPUTED_VALUE"""),"Infrações disciplinares no tratamento dispensado às alunas e a concessão irregular de bolsas e seu pagamento de forma indevida
(antigo SEI-260007/039371/2022) - Inqto 366/2022")</f>
        <v>Infrações disciplinares no tratamento dispensado às alunas e a concessão irregular de bolsas e seu pagamento de forma indevida
(antigo SEI-260007/039371/2022) - Inqto 366/2022</v>
      </c>
      <c r="I70" s="3" t="str">
        <f ca="1">IFERROR(__xludf.DUMMYFUNCTION("""COMPUTED_VALUE"""),"Não")</f>
        <v>Não</v>
      </c>
      <c r="J70" s="5">
        <f ca="1">IFERROR(__xludf.DUMMYFUNCTION("""COMPUTED_VALUE"""),44790)</f>
        <v>44790</v>
      </c>
      <c r="K70" s="5">
        <f ca="1">IFERROR(__xludf.DUMMYFUNCTION("""COMPUTED_VALUE"""),44795)</f>
        <v>44795</v>
      </c>
      <c r="L70" s="5">
        <f ca="1">IFERROR(__xludf.DUMMYFUNCTION("""COMPUTED_VALUE"""),44975)</f>
        <v>44975</v>
      </c>
      <c r="M70" s="5">
        <f ca="1">IFERROR(__xludf.DUMMYFUNCTION("""COMPUTED_VALUE"""),44976)</f>
        <v>44976</v>
      </c>
      <c r="N70" s="3" t="str">
        <f ca="1">IFERROR(__xludf.DUMMYFUNCTION("""COMPUTED_VALUE"""),"Finalizado")</f>
        <v>Finalizado</v>
      </c>
      <c r="O70" s="5">
        <f ca="1">IFERROR(__xludf.DUMMYFUNCTION("""COMPUTED_VALUE"""),45707)</f>
        <v>45707</v>
      </c>
      <c r="P70" s="3" t="str">
        <f ca="1">IFERROR(__xludf.DUMMYFUNCTION("""COMPUTED_VALUE"""),"O processo durou 1195 dias entre a assinatura do despacho de autorização de abertura do PAD pelo Reitor e a assinatura do despacho de concordância/divergência pelo mesmo.")</f>
        <v>O processo durou 1195 dias entre a assinatura do despacho de autorização de abertura do PAD pelo Reitor e a assinatura do despacho de concordância/divergência pelo mesmo.</v>
      </c>
      <c r="Q70" s="5">
        <f ca="1">IFERROR(__xludf.DUMMYFUNCTION("""COMPUTED_VALUE"""),46802)</f>
        <v>46802</v>
      </c>
      <c r="R70" s="3" t="str">
        <f ca="1">IFERROR(__xludf.DUMMYFUNCTION("""COMPUTED_VALUE"""),"Vanessa Queiroz")</f>
        <v>Vanessa Queiroz</v>
      </c>
      <c r="S70" s="3" t="str">
        <f ca="1">IFERROR(__xludf.DUMMYFUNCTION("""COMPUTED_VALUE"""),"Isadora")</f>
        <v>Isadora</v>
      </c>
      <c r="T70" s="3" t="str">
        <f ca="1">IFERROR(__xludf.DUMMYFUNCTION("""COMPUTED_VALUE"""),"Marcelo Ferreira")</f>
        <v>Marcelo Ferreira</v>
      </c>
      <c r="U70" s="3" t="str">
        <f ca="1">IFERROR(__xludf.DUMMYFUNCTION("""COMPUTED_VALUE"""),"Patrícia Glioche")</f>
        <v>Patrícia Glioche</v>
      </c>
      <c r="V70" s="3" t="str">
        <f ca="1">IFERROR(__xludf.DUMMYFUNCTION("""COMPUTED_VALUE"""),"Não")</f>
        <v>Não</v>
      </c>
      <c r="W70" s="3" t="str">
        <f ca="1">IFERROR(__xludf.DUMMYFUNCTION("""COMPUTED_VALUE"""),"SEI-260007/018139/2021")</f>
        <v>SEI-260007/018139/2021</v>
      </c>
      <c r="X70" s="3" t="str">
        <f ca="1">IFERROR(__xludf.DUMMYFUNCTION("""COMPUTED_VALUE"""),"S-Resposta do Reitor/Anotado.")</f>
        <v>S-Resposta do Reitor/Anotado.</v>
      </c>
    </row>
    <row r="71" spans="1:24" x14ac:dyDescent="0.2">
      <c r="A71" s="3" t="str">
        <f ca="1">IFERROR(__xludf.DUMMYFUNCTION("""COMPUTED_VALUE"""),"357/2022")</f>
        <v>357/2022</v>
      </c>
      <c r="B71" s="3" t="str">
        <f ca="1">IFERROR(__xludf.DUMMYFUNCTION("""COMPUTED_VALUE"""),"SEI-260007/019130/2022")</f>
        <v>SEI-260007/019130/2022</v>
      </c>
      <c r="C71" s="3" t="str">
        <f ca="1">IFERROR(__xludf.DUMMYFUNCTION("""COMPUTED_VALUE"""),"Mônica Britto de Oliveira, 397067")</f>
        <v>Mônica Britto de Oliveira, 397067</v>
      </c>
      <c r="D71" s="3" t="str">
        <f ca="1">IFERROR(__xludf.DUMMYFUNCTION("""COMPUTED_VALUE"""),"Desvio de conduta")</f>
        <v>Desvio de conduta</v>
      </c>
      <c r="E71" s="3" t="str">
        <f ca="1">IFERROR(__xludf.DUMMYFUNCTION("""COMPUTED_VALUE"""),"Desvio de conduta")</f>
        <v>Desvio de conduta</v>
      </c>
      <c r="F71" s="3" t="str">
        <f ca="1">IFERROR(__xludf.DUMMYFUNCTION("""COMPUTED_VALUE"""),"Abandono de cargo/ Inassiduidade habitual.")</f>
        <v>Abandono de cargo/ Inassiduidade habitual.</v>
      </c>
      <c r="G71" s="3" t="str">
        <f ca="1">IFERROR(__xludf.DUMMYFUNCTION("""COMPUTED_VALUE"""),"Abandono de cargo/ Inassiduidade habitual")</f>
        <v>Abandono de cargo/ Inassiduidade habitual</v>
      </c>
      <c r="H71" s="3" t="str">
        <f ca="1">IFERROR(__xludf.DUMMYFUNCTION("""COMPUTED_VALUE"""),"Apuração de faltas sucessivas de servidora lotada no CAP/UERJ superior a 10 dias")</f>
        <v>Apuração de faltas sucessivas de servidora lotada no CAP/UERJ superior a 10 dias</v>
      </c>
      <c r="I71" s="3"/>
      <c r="J71" s="5">
        <f ca="1">IFERROR(__xludf.DUMMYFUNCTION("""COMPUTED_VALUE"""),44644)</f>
        <v>44644</v>
      </c>
      <c r="K71" s="5">
        <f ca="1">IFERROR(__xludf.DUMMYFUNCTION("""COMPUTED_VALUE"""),44650)</f>
        <v>44650</v>
      </c>
      <c r="L71" s="5">
        <f ca="1">IFERROR(__xludf.DUMMYFUNCTION("""COMPUTED_VALUE"""),44830)</f>
        <v>44830</v>
      </c>
      <c r="M71" s="5">
        <f ca="1">IFERROR(__xludf.DUMMYFUNCTION("""COMPUTED_VALUE"""),44831)</f>
        <v>44831</v>
      </c>
      <c r="N71" s="3" t="str">
        <f ca="1">IFERROR(__xludf.DUMMYFUNCTION("""COMPUTED_VALUE"""),"Finalizado")</f>
        <v>Finalizado</v>
      </c>
      <c r="O71" s="5">
        <f ca="1">IFERROR(__xludf.DUMMYFUNCTION("""COMPUTED_VALUE"""),45562)</f>
        <v>45562</v>
      </c>
      <c r="P71" s="3" t="str">
        <f ca="1">IFERROR(__xludf.DUMMYFUNCTION("""COMPUTED_VALUE"""),"O processo durou 1170 dias entre a assinatura do despacho de autorização de abertura do PAD pelo Reitor e a assinatura do despacho de concordância/divergência pelo mesmo.")</f>
        <v>O processo durou 1170 dias entre a assinatura do despacho de autorização de abertura do PAD pelo Reitor e a assinatura do despacho de concordância/divergência pelo mesmo.</v>
      </c>
      <c r="Q71" s="5">
        <f ca="1">IFERROR(__xludf.DUMMYFUNCTION("""COMPUTED_VALUE"""),46657)</f>
        <v>46657</v>
      </c>
      <c r="R71" s="3" t="str">
        <f ca="1">IFERROR(__xludf.DUMMYFUNCTION("""COMPUTED_VALUE"""),"Vanessa Queiroz")</f>
        <v>Vanessa Queiroz</v>
      </c>
      <c r="S71" s="3" t="str">
        <f ca="1">IFERROR(__xludf.DUMMYFUNCTION("""COMPUTED_VALUE"""),"Micheline")</f>
        <v>Micheline</v>
      </c>
      <c r="T71" s="3" t="str">
        <f ca="1">IFERROR(__xludf.DUMMYFUNCTION("""COMPUTED_VALUE"""),"Karolynne Rocha")</f>
        <v>Karolynne Rocha</v>
      </c>
      <c r="U71" s="3" t="str">
        <f ca="1">IFERROR(__xludf.DUMMYFUNCTION("""COMPUTED_VALUE"""),"Teresa Jardin")</f>
        <v>Teresa Jardin</v>
      </c>
      <c r="V71" s="3"/>
      <c r="W71" s="3" t="str">
        <f ca="1">IFERROR(__xludf.DUMMYFUNCTION("""COMPUTED_VALUE"""),"E-26/007/1367/2020")</f>
        <v>E-26/007/1367/2020</v>
      </c>
      <c r="X71" s="3" t="str">
        <f ca="1">IFERROR(__xludf.DUMMYFUNCTION("""COMPUTED_VALUE"""),"S-Resposta do Reitor/Anotado.")</f>
        <v>S-Resposta do Reitor/Anotado.</v>
      </c>
    </row>
    <row r="72" spans="1:24" x14ac:dyDescent="0.2">
      <c r="A72" s="3" t="str">
        <f ca="1">IFERROR(__xludf.DUMMYFUNCTION("""COMPUTED_VALUE"""),"382/2023")</f>
        <v>382/2023</v>
      </c>
      <c r="B72" s="3" t="str">
        <f ca="1">IFERROR(__xludf.DUMMYFUNCTION("""COMPUTED_VALUE"""),"SEI-260007/010530/2023")</f>
        <v>SEI-260007/010530/2023</v>
      </c>
      <c r="C72" s="3" t="str">
        <f ca="1">IFERROR(__xludf.DUMMYFUNCTION("""COMPUTED_VALUE"""),"Gisele Carvalho da Conceição, matr. 37817-4")</f>
        <v>Gisele Carvalho da Conceição, matr. 37817-4</v>
      </c>
      <c r="D72" s="3" t="str">
        <f ca="1">IFERROR(__xludf.DUMMYFUNCTION("""COMPUTED_VALUE"""),"Desvio de conduta")</f>
        <v>Desvio de conduta</v>
      </c>
      <c r="E72" s="3" t="str">
        <f ca="1">IFERROR(__xludf.DUMMYFUNCTION("""COMPUTED_VALUE"""),"Desvio de conduta")</f>
        <v>Desvio de conduta</v>
      </c>
      <c r="F72" s="3" t="str">
        <f ca="1">IFERROR(__xludf.DUMMYFUNCTION("""COMPUTED_VALUE"""),"Acumulação de cargos.")</f>
        <v>Acumulação de cargos.</v>
      </c>
      <c r="G72" s="3" t="str">
        <f ca="1">IFERROR(__xludf.DUMMYFUNCTION("""COMPUTED_VALUE"""),"Acumulação de cargos")</f>
        <v>Acumulação de cargos</v>
      </c>
      <c r="H72" s="3" t="str">
        <f ca="1">IFERROR(__xludf.DUMMYFUNCTION("""COMPUTED_VALUE"""),"Acumulação de terceiro vínculo de servidora que ocupa cargo de Técnica em Enfermagem no período de 16/07/2014 a 11/04/2018.")</f>
        <v>Acumulação de terceiro vínculo de servidora que ocupa cargo de Técnica em Enfermagem no período de 16/07/2014 a 11/04/2018.</v>
      </c>
      <c r="I72" s="3" t="str">
        <f ca="1">IFERROR(__xludf.DUMMYFUNCTION("""COMPUTED_VALUE"""),"Não")</f>
        <v>Não</v>
      </c>
      <c r="J72" s="5">
        <f ca="1">IFERROR(__xludf.DUMMYFUNCTION("""COMPUTED_VALUE"""),44970)</f>
        <v>44970</v>
      </c>
      <c r="K72" s="5">
        <f ca="1">IFERROR(__xludf.DUMMYFUNCTION("""COMPUTED_VALUE"""),44986)</f>
        <v>44986</v>
      </c>
      <c r="L72" s="5">
        <f ca="1">IFERROR(__xludf.DUMMYFUNCTION("""COMPUTED_VALUE"""),45166)</f>
        <v>45166</v>
      </c>
      <c r="M72" s="5">
        <f ca="1">IFERROR(__xludf.DUMMYFUNCTION("""COMPUTED_VALUE"""),45167)</f>
        <v>45167</v>
      </c>
      <c r="N72" s="3" t="str">
        <f ca="1">IFERROR(__xludf.DUMMYFUNCTION("""COMPUTED_VALUE"""),"Finalizado")</f>
        <v>Finalizado</v>
      </c>
      <c r="O72" s="5">
        <f ca="1">IFERROR(__xludf.DUMMYFUNCTION("""COMPUTED_VALUE"""),45898)</f>
        <v>45898</v>
      </c>
      <c r="P72" s="3" t="str">
        <f ca="1">IFERROR(__xludf.DUMMYFUNCTION("""COMPUTED_VALUE"""),"O processo durou 849 dias entre a assinatura do despacho de autorização de abertura do PAD pelo Reitor e a assinatura do despacho de concordância/divergência pelo mesmo.")</f>
        <v>O processo durou 849 dias entre a assinatura do despacho de autorização de abertura do PAD pelo Reitor e a assinatura do despacho de concordância/divergência pelo mesmo.</v>
      </c>
      <c r="Q72" s="5">
        <f ca="1">IFERROR(__xludf.DUMMYFUNCTION("""COMPUTED_VALUE"""),46994)</f>
        <v>46994</v>
      </c>
      <c r="R72" s="3" t="str">
        <f ca="1">IFERROR(__xludf.DUMMYFUNCTION("""COMPUTED_VALUE"""),"Vanessa Queiroz")</f>
        <v>Vanessa Queiroz</v>
      </c>
      <c r="S72" s="3" t="str">
        <f ca="1">IFERROR(__xludf.DUMMYFUNCTION("""COMPUTED_VALUE"""),"Isadora")</f>
        <v>Isadora</v>
      </c>
      <c r="T72" s="3" t="str">
        <f ca="1">IFERROR(__xludf.DUMMYFUNCTION("""COMPUTED_VALUE"""),"Marcelo Bento")</f>
        <v>Marcelo Bento</v>
      </c>
      <c r="U72" s="3" t="str">
        <f ca="1">IFERROR(__xludf.DUMMYFUNCTION("""COMPUTED_VALUE"""),"Teresa Jardin")</f>
        <v>Teresa Jardin</v>
      </c>
      <c r="V72" s="3" t="str">
        <f ca="1">IFERROR(__xludf.DUMMYFUNCTION("""COMPUTED_VALUE"""),"Não")</f>
        <v>Não</v>
      </c>
      <c r="W72" s="3" t="str">
        <f ca="1">IFERROR(__xludf.DUMMYFUNCTION("""COMPUTED_VALUE"""),"SEI-260008/000515/2022")</f>
        <v>SEI-260008/000515/2022</v>
      </c>
      <c r="X72" s="3" t="str">
        <f ca="1">IFERROR(__xludf.DUMMYFUNCTION("""COMPUTED_VALUE"""),"S-Resposta do Reitor/Anotado.")</f>
        <v>S-Resposta do Reitor/Anotado.</v>
      </c>
    </row>
    <row r="73" spans="1:24" x14ac:dyDescent="0.2">
      <c r="A73" s="3" t="str">
        <f ca="1">IFERROR(__xludf.DUMMYFUNCTION("""COMPUTED_VALUE"""),"285/2018")</f>
        <v>285/2018</v>
      </c>
      <c r="B73" s="3" t="str">
        <f ca="1">IFERROR(__xludf.DUMMYFUNCTION("""COMPUTED_VALUE"""),"E-26/007/3645/2016")</f>
        <v>E-26/007/3645/2016</v>
      </c>
      <c r="C73" s="3" t="str">
        <f ca="1">IFERROR(__xludf.DUMMYFUNCTION("""COMPUTED_VALUE"""),"Marcos Santos Ferreira, 32.465-7,")</f>
        <v>Marcos Santos Ferreira, 32.465-7,</v>
      </c>
      <c r="D73" s="3" t="str">
        <f ca="1">IFERROR(__xludf.DUMMYFUNCTION("""COMPUTED_VALUE"""),"Desvio de conduta")</f>
        <v>Desvio de conduta</v>
      </c>
      <c r="E73" s="3" t="str">
        <f ca="1">IFERROR(__xludf.DUMMYFUNCTION("""COMPUTED_VALUE"""),"Desvio de conduta")</f>
        <v>Desvio de conduta</v>
      </c>
      <c r="F73" s="3" t="str">
        <f ca="1">IFERROR(__xludf.DUMMYFUNCTION("""COMPUTED_VALUE"""),"Abandono de cargo/ Inassiduidade habitual.")</f>
        <v>Abandono de cargo/ Inassiduidade habitual.</v>
      </c>
      <c r="G73" s="3" t="str">
        <f ca="1">IFERROR(__xludf.DUMMYFUNCTION("""COMPUTED_VALUE"""),"Abandono de cargo/ Inassiduidade habitual")</f>
        <v>Abandono de cargo/ Inassiduidade habitual</v>
      </c>
      <c r="H73" s="3" t="str">
        <f ca="1">IFERROR(__xludf.DUMMYFUNCTION("""COMPUTED_VALUE"""),"Abandono de Cargo")</f>
        <v>Abandono de Cargo</v>
      </c>
      <c r="I73" s="3" t="str">
        <f ca="1">IFERROR(__xludf.DUMMYFUNCTION("""COMPUTED_VALUE"""),"não")</f>
        <v>não</v>
      </c>
      <c r="J73" s="5">
        <f ca="1">IFERROR(__xludf.DUMMYFUNCTION("""COMPUTED_VALUE"""),43132)</f>
        <v>43132</v>
      </c>
      <c r="K73" s="5">
        <f ca="1">IFERROR(__xludf.DUMMYFUNCTION("""COMPUTED_VALUE"""),43139)</f>
        <v>43139</v>
      </c>
      <c r="L73" s="5">
        <f ca="1">IFERROR(__xludf.DUMMYFUNCTION("""COMPUTED_VALUE"""),43319)</f>
        <v>43319</v>
      </c>
      <c r="M73" s="5">
        <f ca="1">IFERROR(__xludf.DUMMYFUNCTION("""COMPUTED_VALUE"""),43320)</f>
        <v>43320</v>
      </c>
      <c r="N73" s="3" t="str">
        <f ca="1">IFERROR(__xludf.DUMMYFUNCTION("""COMPUTED_VALUE"""),"Finalizado")</f>
        <v>Finalizado</v>
      </c>
      <c r="O73" s="5">
        <f ca="1">IFERROR(__xludf.DUMMYFUNCTION("""COMPUTED_VALUE"""),44051)</f>
        <v>44051</v>
      </c>
      <c r="P73" s="3" t="str">
        <f ca="1">IFERROR(__xludf.DUMMYFUNCTION("""COMPUTED_VALUE"""),"O processo durou 2672 dias entre a assinatura do despacho de autorização de abertura do PAD pelo Reitor e a assinatura do despacho de concordância/divergência pelo mesmo.")</f>
        <v>O processo durou 2672 dias entre a assinatura do despacho de autorização de abertura do PAD pelo Reitor e a assinatura do despacho de concordância/divergência pelo mesmo.</v>
      </c>
      <c r="Q73" s="5">
        <f ca="1">IFERROR(__xludf.DUMMYFUNCTION("""COMPUTED_VALUE"""),45146)</f>
        <v>45146</v>
      </c>
      <c r="R73" s="3" t="str">
        <f ca="1">IFERROR(__xludf.DUMMYFUNCTION("""COMPUTED_VALUE"""),"Alessandra Abelheira")</f>
        <v>Alessandra Abelheira</v>
      </c>
      <c r="S73" s="3" t="str">
        <f ca="1">IFERROR(__xludf.DUMMYFUNCTION("""COMPUTED_VALUE"""),"Franciane")</f>
        <v>Franciane</v>
      </c>
      <c r="T73" s="3" t="str">
        <f ca="1">IFERROR(__xludf.DUMMYFUNCTION("""COMPUTED_VALUE"""),"Karolynne Rocha")</f>
        <v>Karolynne Rocha</v>
      </c>
      <c r="U73" s="3" t="str">
        <f ca="1">IFERROR(__xludf.DUMMYFUNCTION("""COMPUTED_VALUE"""),"Patrícia Glioche")</f>
        <v>Patrícia Glioche</v>
      </c>
      <c r="V73" s="3" t="str">
        <f ca="1">IFERROR(__xludf.DUMMYFUNCTION("""COMPUTED_VALUE"""),"Arthur Cezar Alves de Melo")</f>
        <v>Arthur Cezar Alves de Melo</v>
      </c>
      <c r="W73" s="3" t="str">
        <f ca="1">IFERROR(__xludf.DUMMYFUNCTION("""COMPUTED_VALUE"""),"E-26/007/3645/2016")</f>
        <v>E-26/007/3645/2016</v>
      </c>
      <c r="X73" s="3" t="str">
        <f ca="1">IFERROR(__xludf.DUMMYFUNCTION("""COMPUTED_VALUE"""),"S-Resposta do Reitor/Anotado.")</f>
        <v>S-Resposta do Reitor/Anotado.</v>
      </c>
    </row>
    <row r="74" spans="1:24" x14ac:dyDescent="0.2">
      <c r="A74" s="3" t="str">
        <f ca="1">IFERROR(__xludf.DUMMYFUNCTION("""COMPUTED_VALUE"""),"456/2024")</f>
        <v>456/2024</v>
      </c>
      <c r="B74" s="3" t="str">
        <f ca="1">IFERROR(__xludf.DUMMYFUNCTION("""COMPUTED_VALUE"""),"SEI-260006/041683/2024")</f>
        <v>SEI-260006/041683/2024</v>
      </c>
      <c r="C74" s="3" t="str">
        <f ca="1">IFERROR(__xludf.DUMMYFUNCTION("""COMPUTED_VALUE"""),"CÁTIA ALVES, matr. nº 31.029-2.")</f>
        <v>CÁTIA ALVES, matr. nº 31.029-2.</v>
      </c>
      <c r="D74" s="3" t="str">
        <f ca="1">IFERROR(__xludf.DUMMYFUNCTION("""COMPUTED_VALUE"""),"Fraudes")</f>
        <v>Fraudes</v>
      </c>
      <c r="E74" s="3"/>
      <c r="F74" s="3" t="str">
        <f ca="1">IFERROR(__xludf.DUMMYFUNCTION("""COMPUTED_VALUE"""),"Outros.")</f>
        <v>Outros.</v>
      </c>
      <c r="G74" s="3" t="str">
        <f ca="1">IFERROR(__xludf.DUMMYFUNCTION("""COMPUTED_VALUE"""),"Recebimento indevido de auxílio por depedente com necessidades especiais")</f>
        <v>Recebimento indevido de auxílio por depedente com necessidades especiais</v>
      </c>
      <c r="H74" s="3" t="str">
        <f ca="1">IFERROR(__xludf.DUMMYFUNCTION("""COMPUTED_VALUE"""),"recebimento indevido atitulo deauxílio por ter dependentecomnecessidadeespecial,acontar de 09/07/2019, dataemqueseu pai veio a óbito")</f>
        <v>recebimento indevido atitulo deauxílio por ter dependentecomnecessidadeespecial,acontar de 09/07/2019, dataemqueseu pai veio a óbito</v>
      </c>
      <c r="I74" s="3"/>
      <c r="J74" s="5">
        <f ca="1">IFERROR(__xludf.DUMMYFUNCTION("""COMPUTED_VALUE"""),45546)</f>
        <v>45546</v>
      </c>
      <c r="K74" s="5">
        <f ca="1">IFERROR(__xludf.DUMMYFUNCTION("""COMPUTED_VALUE"""),45547)</f>
        <v>45547</v>
      </c>
      <c r="L74" s="5">
        <f ca="1">IFERROR(__xludf.DUMMYFUNCTION("""COMPUTED_VALUE"""),45727)</f>
        <v>45727</v>
      </c>
      <c r="M74" s="5">
        <f ca="1">IFERROR(__xludf.DUMMYFUNCTION("""COMPUTED_VALUE"""),45728)</f>
        <v>45728</v>
      </c>
      <c r="N74" s="3" t="str">
        <f ca="1">IFERROR(__xludf.DUMMYFUNCTION("""COMPUTED_VALUE"""),"Finalizado")</f>
        <v>Finalizado</v>
      </c>
      <c r="O74" s="5">
        <f ca="1">IFERROR(__xludf.DUMMYFUNCTION("""COMPUTED_VALUE"""),46458)</f>
        <v>46458</v>
      </c>
      <c r="P74" s="3" t="str">
        <f ca="1">IFERROR(__xludf.DUMMYFUNCTION("""COMPUTED_VALUE"""),"O processo durou 268 dias entre a assinatura do despacho de autorização de abertura do PAD pelo Reitor e a assinatura do despacho de concordância/divergência pelo mesmo.")</f>
        <v>O processo durou 268 dias entre a assinatura do despacho de autorização de abertura do PAD pelo Reitor e a assinatura do despacho de concordância/divergência pelo mesmo.</v>
      </c>
      <c r="Q74" s="5">
        <f ca="1">IFERROR(__xludf.DUMMYFUNCTION("""COMPUTED_VALUE"""),47554)</f>
        <v>47554</v>
      </c>
      <c r="R74" s="3" t="str">
        <f ca="1">IFERROR(__xludf.DUMMYFUNCTION("""COMPUTED_VALUE"""),"Gabriel Moraes")</f>
        <v>Gabriel Moraes</v>
      </c>
      <c r="S74" s="3" t="str">
        <f ca="1">IFERROR(__xludf.DUMMYFUNCTION("""COMPUTED_VALUE"""),"Micheline")</f>
        <v>Micheline</v>
      </c>
      <c r="T74" s="3" t="str">
        <f ca="1">IFERROR(__xludf.DUMMYFUNCTION("""COMPUTED_VALUE"""),"Marcelo Ferreira")</f>
        <v>Marcelo Ferreira</v>
      </c>
      <c r="U74" s="3" t="str">
        <f ca="1">IFERROR(__xludf.DUMMYFUNCTION("""COMPUTED_VALUE"""),"Hannah Oliveira")</f>
        <v>Hannah Oliveira</v>
      </c>
      <c r="V74" s="3"/>
      <c r="W74" s="3" t="str">
        <f ca="1">IFERROR(__xludf.DUMMYFUNCTION("""COMPUTED_VALUE"""),"UERJ 5328/2006")</f>
        <v>UERJ 5328/2006</v>
      </c>
      <c r="X74" s="3" t="str">
        <f ca="1">IFERROR(__xludf.DUMMYFUNCTION("""COMPUTED_VALUE"""),"S-Resposta do Reitor/Anotado.")</f>
        <v>S-Resposta do Reitor/Anotado.</v>
      </c>
    </row>
    <row r="75" spans="1:24" x14ac:dyDescent="0.2">
      <c r="A75" s="3" t="str">
        <f ca="1">IFERROR(__xludf.DUMMYFUNCTION("""COMPUTED_VALUE"""),"311/2019")</f>
        <v>311/2019</v>
      </c>
      <c r="B75" s="3" t="str">
        <f ca="1">IFERROR(__xludf.DUMMYFUNCTION("""COMPUTED_VALUE"""),"E-26/007/104490/2018")</f>
        <v>E-26/007/104490/2018</v>
      </c>
      <c r="C75" s="3" t="str">
        <f ca="1">IFERROR(__xludf.DUMMYFUNCTION("""COMPUTED_VALUE"""),"Maria Amália Borges Cursino de Freitas Arruda, 37.110-4")</f>
        <v>Maria Amália Borges Cursino de Freitas Arruda, 37.110-4</v>
      </c>
      <c r="D75" s="3" t="str">
        <f ca="1">IFERROR(__xludf.DUMMYFUNCTION("""COMPUTED_VALUE"""),"Desvio de conduta")</f>
        <v>Desvio de conduta</v>
      </c>
      <c r="E75" s="3" t="str">
        <f ca="1">IFERROR(__xludf.DUMMYFUNCTION("""COMPUTED_VALUE"""),"Desvio de conduta")</f>
        <v>Desvio de conduta</v>
      </c>
      <c r="F75" s="3" t="str">
        <f ca="1">IFERROR(__xludf.DUMMYFUNCTION("""COMPUTED_VALUE"""),"Abandono de cargo/ Inassiduidade habitual.")</f>
        <v>Abandono de cargo/ Inassiduidade habitual.</v>
      </c>
      <c r="G75" s="3" t="str">
        <f ca="1">IFERROR(__xludf.DUMMYFUNCTION("""COMPUTED_VALUE"""),"Abandono de cargo/ Inassiduidade habitual")</f>
        <v>Abandono de cargo/ Inassiduidade habitual</v>
      </c>
      <c r="H75" s="3" t="str">
        <f ca="1">IFERROR(__xludf.DUMMYFUNCTION("""COMPUTED_VALUE"""),"Apuração de faltas sucessivas superior a 10 dias")</f>
        <v>Apuração de faltas sucessivas superior a 10 dias</v>
      </c>
      <c r="I75" s="3"/>
      <c r="J75" s="5">
        <f ca="1">IFERROR(__xludf.DUMMYFUNCTION("""COMPUTED_VALUE"""),43592)</f>
        <v>43592</v>
      </c>
      <c r="K75" s="5">
        <f ca="1">IFERROR(__xludf.DUMMYFUNCTION("""COMPUTED_VALUE"""),43619)</f>
        <v>43619</v>
      </c>
      <c r="L75" s="5">
        <f ca="1">IFERROR(__xludf.DUMMYFUNCTION("""COMPUTED_VALUE"""),43799)</f>
        <v>43799</v>
      </c>
      <c r="M75" s="5">
        <f ca="1">IFERROR(__xludf.DUMMYFUNCTION("""COMPUTED_VALUE"""),43800)</f>
        <v>43800</v>
      </c>
      <c r="N75" s="3" t="str">
        <f ca="1">IFERROR(__xludf.DUMMYFUNCTION("""COMPUTED_VALUE"""),"Finalizado")</f>
        <v>Finalizado</v>
      </c>
      <c r="O75" s="5">
        <f ca="1">IFERROR(__xludf.DUMMYFUNCTION("""COMPUTED_VALUE"""),44531)</f>
        <v>44531</v>
      </c>
      <c r="P75" s="3" t="str">
        <f ca="1">IFERROR(__xludf.DUMMYFUNCTION("""COMPUTED_VALUE"""),"O processo durou 2228 dias entre a assinatura do despacho de autorização de abertura do PAD pelo Reitor e a assinatura do despacho de concordância/divergência pelo mesmo.")</f>
        <v>O processo durou 2228 dias entre a assinatura do despacho de autorização de abertura do PAD pelo Reitor e a assinatura do despacho de concordância/divergência pelo mesmo.</v>
      </c>
      <c r="Q75" s="5">
        <f ca="1">IFERROR(__xludf.DUMMYFUNCTION("""COMPUTED_VALUE"""),45627)</f>
        <v>45627</v>
      </c>
      <c r="R75" s="3" t="str">
        <f ca="1">IFERROR(__xludf.DUMMYFUNCTION("""COMPUTED_VALUE"""),"Alessandra Abelheira")</f>
        <v>Alessandra Abelheira</v>
      </c>
      <c r="S75" s="3" t="str">
        <f ca="1">IFERROR(__xludf.DUMMYFUNCTION("""COMPUTED_VALUE"""),"Micheline")</f>
        <v>Micheline</v>
      </c>
      <c r="T75" s="3" t="str">
        <f ca="1">IFERROR(__xludf.DUMMYFUNCTION("""COMPUTED_VALUE"""),"Ariane Serpa")</f>
        <v>Ariane Serpa</v>
      </c>
      <c r="U75" s="3" t="str">
        <f ca="1">IFERROR(__xludf.DUMMYFUNCTION("""COMPUTED_VALUE"""),"Teresa Jardin")</f>
        <v>Teresa Jardin</v>
      </c>
      <c r="V75" s="3" t="str">
        <f ca="1">IFERROR(__xludf.DUMMYFUNCTION("""COMPUTED_VALUE"""),"Não")</f>
        <v>Não</v>
      </c>
      <c r="W75" s="3" t="str">
        <f ca="1">IFERROR(__xludf.DUMMYFUNCTION("""COMPUTED_VALUE"""),"E-26/007/104490/2018")</f>
        <v>E-26/007/104490/2018</v>
      </c>
      <c r="X75" s="3" t="str">
        <f ca="1">IFERROR(__xludf.DUMMYFUNCTION("""COMPUTED_VALUE"""),"S-Resposta do Reitor/Anotado.")</f>
        <v>S-Resposta do Reitor/Anotado.</v>
      </c>
    </row>
    <row r="76" spans="1:24" x14ac:dyDescent="0.2">
      <c r="A76" s="3" t="str">
        <f ca="1">IFERROR(__xludf.DUMMYFUNCTION("""COMPUTED_VALUE"""),"459/2024")</f>
        <v>459/2024</v>
      </c>
      <c r="B76" s="3" t="str">
        <f ca="1">IFERROR(__xludf.DUMMYFUNCTION("""COMPUTED_VALUE"""),"SEI-260006/042653/2024")</f>
        <v>SEI-260006/042653/2024</v>
      </c>
      <c r="C76" s="3" t="str">
        <f ca="1">IFERROR(__xludf.DUMMYFUNCTION("""COMPUTED_VALUE"""),"Monique de Oliveira Cupello, matrícula nº 37.354-8.")</f>
        <v>Monique de Oliveira Cupello, matrícula nº 37.354-8.</v>
      </c>
      <c r="D76" s="3" t="str">
        <f ca="1">IFERROR(__xludf.DUMMYFUNCTION("""COMPUTED_VALUE"""),"Abandono do Cargo")</f>
        <v>Abandono do Cargo</v>
      </c>
      <c r="E76" s="3"/>
      <c r="F76" s="3" t="str">
        <f ca="1">IFERROR(__xludf.DUMMYFUNCTION("""COMPUTED_VALUE"""),"Abandono de cargo/ Inassiduidade habitual.")</f>
        <v>Abandono de cargo/ Inassiduidade habitual.</v>
      </c>
      <c r="G76" s="3" t="str">
        <f ca="1">IFERROR(__xludf.DUMMYFUNCTION("""COMPUTED_VALUE"""),"Abandono de cargo/ Inassiduidade habitual")</f>
        <v>Abandono de cargo/ Inassiduidade habitual</v>
      </c>
      <c r="H76" s="3" t="str">
        <f ca="1">IFERROR(__xludf.DUMMYFUNCTION("""COMPUTED_VALUE"""),"apuração de faltas injustificadas no período de 01/04/2024 a 30/04/2024. com fulcro no inciso V do artigo 52 do Decreto Lei 220/75.")</f>
        <v>apuração de faltas injustificadas no período de 01/04/2024 a 30/04/2024. com fulcro no inciso V do artigo 52 do Decreto Lei 220/75.</v>
      </c>
      <c r="I76" s="3"/>
      <c r="J76" s="5">
        <f ca="1">IFERROR(__xludf.DUMMYFUNCTION("""COMPUTED_VALUE"""),45558)</f>
        <v>45558</v>
      </c>
      <c r="K76" s="5">
        <f ca="1">IFERROR(__xludf.DUMMYFUNCTION("""COMPUTED_VALUE"""),45560)</f>
        <v>45560</v>
      </c>
      <c r="L76" s="5">
        <f ca="1">IFERROR(__xludf.DUMMYFUNCTION("""COMPUTED_VALUE"""),45740)</f>
        <v>45740</v>
      </c>
      <c r="M76" s="5">
        <f ca="1">IFERROR(__xludf.DUMMYFUNCTION("""COMPUTED_VALUE"""),45741)</f>
        <v>45741</v>
      </c>
      <c r="N76" s="3" t="str">
        <f ca="1">IFERROR(__xludf.DUMMYFUNCTION("""COMPUTED_VALUE"""),"Finalizado")</f>
        <v>Finalizado</v>
      </c>
      <c r="O76" s="5">
        <f ca="1">IFERROR(__xludf.DUMMYFUNCTION("""COMPUTED_VALUE"""),46471)</f>
        <v>46471</v>
      </c>
      <c r="P76" s="3" t="str">
        <f ca="1">IFERROR(__xludf.DUMMYFUNCTION("""COMPUTED_VALUE"""),"O processo durou 275 dias entre a assinatura do despacho de autorização de abertura do PAD pelo Reitor e a assinatura do despacho de concordância/divergência pelo mesmo.")</f>
        <v>O processo durou 275 dias entre a assinatura do despacho de autorização de abertura do PAD pelo Reitor e a assinatura do despacho de concordância/divergência pelo mesmo.</v>
      </c>
      <c r="Q76" s="5">
        <f ca="1">IFERROR(__xludf.DUMMYFUNCTION("""COMPUTED_VALUE"""),47567)</f>
        <v>47567</v>
      </c>
      <c r="R76" s="3" t="str">
        <f ca="1">IFERROR(__xludf.DUMMYFUNCTION("""COMPUTED_VALUE"""),"Alessandra Abelheira")</f>
        <v>Alessandra Abelheira</v>
      </c>
      <c r="S76" s="3" t="str">
        <f ca="1">IFERROR(__xludf.DUMMYFUNCTION("""COMPUTED_VALUE"""),"Micheline")</f>
        <v>Micheline</v>
      </c>
      <c r="T76" s="3" t="str">
        <f ca="1">IFERROR(__xludf.DUMMYFUNCTION("""COMPUTED_VALUE"""),"Hannah Oliveira")</f>
        <v>Hannah Oliveira</v>
      </c>
      <c r="U76" s="3" t="str">
        <f ca="1">IFERROR(__xludf.DUMMYFUNCTION("""COMPUTED_VALUE"""),"Teresa Jardin")</f>
        <v>Teresa Jardin</v>
      </c>
      <c r="V76" s="3"/>
      <c r="W76" s="3" t="str">
        <f ca="1">IFERROR(__xludf.DUMMYFUNCTION("""COMPUTED_VALUE"""),"SEI-260006/014140/2024")</f>
        <v>SEI-260006/014140/2024</v>
      </c>
      <c r="X76" s="3" t="str">
        <f ca="1">IFERROR(__xludf.DUMMYFUNCTION("""COMPUTED_VALUE"""),"S-Resposta do Reitor/Anotado.")</f>
        <v>S-Resposta do Reitor/Anotado.</v>
      </c>
    </row>
    <row r="77" spans="1:24" x14ac:dyDescent="0.2">
      <c r="A77" s="3" t="str">
        <f ca="1">IFERROR(__xludf.DUMMYFUNCTION("""COMPUTED_VALUE"""),"329/2021")</f>
        <v>329/2021</v>
      </c>
      <c r="B77" s="3" t="str">
        <f ca="1">IFERROR(__xludf.DUMMYFUNCTION("""COMPUTED_VALUE"""),"SEI-260007/000929/2021")</f>
        <v>SEI-260007/000929/2021</v>
      </c>
      <c r="C77" s="3" t="str">
        <f ca="1">IFERROR(__xludf.DUMMYFUNCTION("""COMPUTED_VALUE"""),"Alan Garnier Leiras da Silva ,39692-9
Juliane Barcellar Ribas Rodrigues, 36697-1
Natanael Moura de Souza, 26479-6")</f>
        <v>Alan Garnier Leiras da Silva ,39692-9
Juliane Barcellar Ribas Rodrigues, 36697-1
Natanael Moura de Souza, 26479-6</v>
      </c>
      <c r="D77" s="3" t="str">
        <f ca="1">IFERROR(__xludf.DUMMYFUNCTION("""COMPUTED_VALUE"""),"Desvio de conduta")</f>
        <v>Desvio de conduta</v>
      </c>
      <c r="E77" s="3" t="str">
        <f ca="1">IFERROR(__xludf.DUMMYFUNCTION("""COMPUTED_VALUE"""),"Desvio de conduta")</f>
        <v>Desvio de conduta</v>
      </c>
      <c r="F77" s="3" t="str">
        <f ca="1">IFERROR(__xludf.DUMMYFUNCTION("""COMPUTED_VALUE"""),"Outros.")</f>
        <v>Outros.</v>
      </c>
      <c r="G77" s="3" t="str">
        <f ca="1">IFERROR(__xludf.DUMMYFUNCTION("""COMPUTED_VALUE"""),"Outros")</f>
        <v>Outros</v>
      </c>
      <c r="H77" s="3" t="str">
        <f ca="1">IFERROR(__xludf.DUMMYFUNCTION("""COMPUTED_VALUE"""),"Desaparecimento de medicamentos da central de abastecimento farmaceutico/HUPE")</f>
        <v>Desaparecimento de medicamentos da central de abastecimento farmaceutico/HUPE</v>
      </c>
      <c r="I77" s="3"/>
      <c r="J77" s="5">
        <f ca="1">IFERROR(__xludf.DUMMYFUNCTION("""COMPUTED_VALUE"""),43945)</f>
        <v>43945</v>
      </c>
      <c r="K77" s="5">
        <f ca="1">IFERROR(__xludf.DUMMYFUNCTION("""COMPUTED_VALUE"""),44228)</f>
        <v>44228</v>
      </c>
      <c r="L77" s="5">
        <f ca="1">IFERROR(__xludf.DUMMYFUNCTION("""COMPUTED_VALUE"""),44408)</f>
        <v>44408</v>
      </c>
      <c r="M77" s="5">
        <f ca="1">IFERROR(__xludf.DUMMYFUNCTION("""COMPUTED_VALUE"""),44409)</f>
        <v>44409</v>
      </c>
      <c r="N77" s="3" t="str">
        <f ca="1">IFERROR(__xludf.DUMMYFUNCTION("""COMPUTED_VALUE"""),"Finalizado")</f>
        <v>Finalizado</v>
      </c>
      <c r="O77" s="5">
        <f ca="1">IFERROR(__xludf.DUMMYFUNCTION("""COMPUTED_VALUE"""),45139)</f>
        <v>45139</v>
      </c>
      <c r="P77" s="3" t="str">
        <f ca="1">IFERROR(__xludf.DUMMYFUNCTION("""COMPUTED_VALUE"""),"O processo durou 1889 dias entre a assinatura do despacho de autorização de abertura do PAD pelo Reitor e a assinatura do despacho de concordância/divergência pelo mesmo.")</f>
        <v>O processo durou 1889 dias entre a assinatura do despacho de autorização de abertura do PAD pelo Reitor e a assinatura do despacho de concordância/divergência pelo mesmo.</v>
      </c>
      <c r="Q77" s="5">
        <f ca="1">IFERROR(__xludf.DUMMYFUNCTION("""COMPUTED_VALUE"""),46235)</f>
        <v>46235</v>
      </c>
      <c r="R77" s="3" t="str">
        <f ca="1">IFERROR(__xludf.DUMMYFUNCTION("""COMPUTED_VALUE"""),"Alessandra Abelheira")</f>
        <v>Alessandra Abelheira</v>
      </c>
      <c r="S77" s="3" t="str">
        <f ca="1">IFERROR(__xludf.DUMMYFUNCTION("""COMPUTED_VALUE"""),"Micheline")</f>
        <v>Micheline</v>
      </c>
      <c r="T77" s="3" t="str">
        <f ca="1">IFERROR(__xludf.DUMMYFUNCTION("""COMPUTED_VALUE"""),"Teresa Jardin")</f>
        <v>Teresa Jardin</v>
      </c>
      <c r="U77" s="3" t="str">
        <f ca="1">IFERROR(__xludf.DUMMYFUNCTION("""COMPUTED_VALUE"""),"Karolynne Rocha")</f>
        <v>Karolynne Rocha</v>
      </c>
      <c r="V77" s="3"/>
      <c r="W77" s="3" t="str">
        <f ca="1">IFERROR(__xludf.DUMMYFUNCTION("""COMPUTED_VALUE"""),"E-26/008/1070/2018")</f>
        <v>E-26/008/1070/2018</v>
      </c>
      <c r="X77" s="3" t="str">
        <f ca="1">IFERROR(__xludf.DUMMYFUNCTION("""COMPUTED_VALUE"""),"S-Resposta do Reitor/Anotado.")</f>
        <v>S-Resposta do Reitor/Anotado.</v>
      </c>
    </row>
    <row r="78" spans="1:24" x14ac:dyDescent="0.2">
      <c r="A78" s="3" t="str">
        <f ca="1">IFERROR(__xludf.DUMMYFUNCTION("""COMPUTED_VALUE"""),"379/2023")</f>
        <v>379/2023</v>
      </c>
      <c r="B78" s="3" t="str">
        <f ca="1">IFERROR(__xludf.DUMMYFUNCTION("""COMPUTED_VALUE"""),"SEI-260007/008568/2023")</f>
        <v>SEI-260007/008568/2023</v>
      </c>
      <c r="C78" s="3" t="str">
        <f ca="1">IFERROR(__xludf.DUMMYFUNCTION("""COMPUTED_VALUE"""),"Cristina da Silva Kloss Gomes, matrícula nº 37.496-7.")</f>
        <v>Cristina da Silva Kloss Gomes, matrícula nº 37.496-7.</v>
      </c>
      <c r="D78" s="3" t="str">
        <f ca="1">IFERROR(__xludf.DUMMYFUNCTION("""COMPUTED_VALUE"""),"Desvio de conduta")</f>
        <v>Desvio de conduta</v>
      </c>
      <c r="E78" s="3" t="str">
        <f ca="1">IFERROR(__xludf.DUMMYFUNCTION("""COMPUTED_VALUE"""),"Desvio de conduta")</f>
        <v>Desvio de conduta</v>
      </c>
      <c r="F78" s="3" t="str">
        <f ca="1">IFERROR(__xludf.DUMMYFUNCTION("""COMPUTED_VALUE"""),"Acumulação de cargos.")</f>
        <v>Acumulação de cargos.</v>
      </c>
      <c r="G78" s="3" t="str">
        <f ca="1">IFERROR(__xludf.DUMMYFUNCTION("""COMPUTED_VALUE"""),"Acumulação de cargos")</f>
        <v>Acumulação de cargos</v>
      </c>
      <c r="H78" s="3" t="str">
        <f ca="1">IFERROR(__xludf.DUMMYFUNCTION("""COMPUTED_VALUE"""),"Acumulação ilícita de cargos no período de 31/03/2017 a 22/04/2020. (DR 46404240)")</f>
        <v>Acumulação ilícita de cargos no período de 31/03/2017 a 22/04/2020. (DR 46404240)</v>
      </c>
      <c r="I78" s="3"/>
      <c r="J78" s="5">
        <f ca="1">IFERROR(__xludf.DUMMYFUNCTION("""COMPUTED_VALUE"""),44957)</f>
        <v>44957</v>
      </c>
      <c r="K78" s="5">
        <f ca="1">IFERROR(__xludf.DUMMYFUNCTION("""COMPUTED_VALUE"""),44964)</f>
        <v>44964</v>
      </c>
      <c r="L78" s="5">
        <f ca="1">IFERROR(__xludf.DUMMYFUNCTION("""COMPUTED_VALUE"""),45144)</f>
        <v>45144</v>
      </c>
      <c r="M78" s="5">
        <f ca="1">IFERROR(__xludf.DUMMYFUNCTION("""COMPUTED_VALUE"""),45145)</f>
        <v>45145</v>
      </c>
      <c r="N78" s="3" t="str">
        <f ca="1">IFERROR(__xludf.DUMMYFUNCTION("""COMPUTED_VALUE"""),"Finalizado")</f>
        <v>Finalizado</v>
      </c>
      <c r="O78" s="5">
        <f ca="1">IFERROR(__xludf.DUMMYFUNCTION("""COMPUTED_VALUE"""),45876)</f>
        <v>45876</v>
      </c>
      <c r="P78" s="3" t="str">
        <f ca="1">IFERROR(__xludf.DUMMYFUNCTION("""COMPUTED_VALUE"""),"O processo durou 973 dias entre a assinatura do despacho de autorização de abertura do PAD pelo Reitor e a assinatura do despacho de concordância/divergência pelo mesmo.")</f>
        <v>O processo durou 973 dias entre a assinatura do despacho de autorização de abertura do PAD pelo Reitor e a assinatura do despacho de concordância/divergência pelo mesmo.</v>
      </c>
      <c r="Q78" s="5">
        <f ca="1">IFERROR(__xludf.DUMMYFUNCTION("""COMPUTED_VALUE"""),46972)</f>
        <v>46972</v>
      </c>
      <c r="R78" s="3" t="str">
        <f ca="1">IFERROR(__xludf.DUMMYFUNCTION("""COMPUTED_VALUE"""),"Alessandra Abelheira")</f>
        <v>Alessandra Abelheira</v>
      </c>
      <c r="S78" s="3" t="str">
        <f ca="1">IFERROR(__xludf.DUMMYFUNCTION("""COMPUTED_VALUE"""),"Felipe")</f>
        <v>Felipe</v>
      </c>
      <c r="T78" s="3" t="str">
        <f ca="1">IFERROR(__xludf.DUMMYFUNCTION("""COMPUTED_VALUE"""),"Teresa Jardin")</f>
        <v>Teresa Jardin</v>
      </c>
      <c r="U78" s="3" t="str">
        <f ca="1">IFERROR(__xludf.DUMMYFUNCTION("""COMPUTED_VALUE"""),"Ariane Serpa")</f>
        <v>Ariane Serpa</v>
      </c>
      <c r="V78" s="3" t="str">
        <f ca="1">IFERROR(__xludf.DUMMYFUNCTION("""COMPUTED_VALUE"""),"Não")</f>
        <v>Não</v>
      </c>
      <c r="W78" s="3" t="str">
        <f ca="1">IFERROR(__xludf.DUMMYFUNCTION("""COMPUTED_VALUE"""),"E-26/007/3679/2014")</f>
        <v>E-26/007/3679/2014</v>
      </c>
      <c r="X78" s="3" t="str">
        <f ca="1">IFERROR(__xludf.DUMMYFUNCTION("""COMPUTED_VALUE"""),"S-Resposta do Reitor/Anotado.")</f>
        <v>S-Resposta do Reitor/Anotado.</v>
      </c>
    </row>
    <row r="79" spans="1:24" x14ac:dyDescent="0.2">
      <c r="A79" s="3" t="str">
        <f ca="1">IFERROR(__xludf.DUMMYFUNCTION("""COMPUTED_VALUE"""),"394/2023")</f>
        <v>394/2023</v>
      </c>
      <c r="B79" s="3" t="str">
        <f ca="1">IFERROR(__xludf.DUMMYFUNCTION("""COMPUTED_VALUE"""),"SEI-260007/016593/2023")</f>
        <v>SEI-260007/016593/2023</v>
      </c>
      <c r="C79" s="3" t="str">
        <f ca="1">IFERROR(__xludf.DUMMYFUNCTION("""COMPUTED_VALUE"""),"Francisco Walter Costa, 4799-3")</f>
        <v>Francisco Walter Costa, 4799-3</v>
      </c>
      <c r="D79" s="3" t="str">
        <f ca="1">IFERROR(__xludf.DUMMYFUNCTION("""COMPUTED_VALUE"""),"Assédio moral/sexual/discriminação.")</f>
        <v>Assédio moral/sexual/discriminação.</v>
      </c>
      <c r="E79" s="3" t="str">
        <f ca="1">IFERROR(__xludf.DUMMYFUNCTION("""COMPUTED_VALUE"""),"Assédio moral/sexual/discriminação.")</f>
        <v>Assédio moral/sexual/discriminação.</v>
      </c>
      <c r="F79" s="3" t="str">
        <f ca="1">IFERROR(__xludf.DUMMYFUNCTION("""COMPUTED_VALUE"""),"Outros.")</f>
        <v>Outros.</v>
      </c>
      <c r="G79" s="3" t="str">
        <f ca="1">IFERROR(__xludf.DUMMYFUNCTION("""COMPUTED_VALUE"""),"Outros, Assédio moral/sexual/discriminação, Ofensa física")</f>
        <v>Outros, Assédio moral/sexual/discriminação, Ofensa física</v>
      </c>
      <c r="H79" s="3" t="str">
        <f ca="1">IFERROR(__xludf.DUMMYFUNCTION("""COMPUTED_VALUE"""),"Indícios de infração disciplinar, assédio moral, incontinência de conduta, violação do dever de urbanidade, discrição e boa conduta, e indícios de ofensa física-vias de fato.")</f>
        <v>Indícios de infração disciplinar, assédio moral, incontinência de conduta, violação do dever de urbanidade, discrição e boa conduta, e indícios de ofensa física-vias de fato.</v>
      </c>
      <c r="I79" s="3"/>
      <c r="J79" s="5">
        <f ca="1">IFERROR(__xludf.DUMMYFUNCTION("""COMPUTED_VALUE"""),44957)</f>
        <v>44957</v>
      </c>
      <c r="K79" s="5">
        <f ca="1">IFERROR(__xludf.DUMMYFUNCTION("""COMPUTED_VALUE"""),44963)</f>
        <v>44963</v>
      </c>
      <c r="L79" s="5">
        <f ca="1">IFERROR(__xludf.DUMMYFUNCTION("""COMPUTED_VALUE"""),45143)</f>
        <v>45143</v>
      </c>
      <c r="M79" s="5">
        <f ca="1">IFERROR(__xludf.DUMMYFUNCTION("""COMPUTED_VALUE"""),45144)</f>
        <v>45144</v>
      </c>
      <c r="N79" s="3" t="str">
        <f ca="1">IFERROR(__xludf.DUMMYFUNCTION("""COMPUTED_VALUE"""),"Finalizado")</f>
        <v>Finalizado</v>
      </c>
      <c r="O79" s="5">
        <f ca="1">IFERROR(__xludf.DUMMYFUNCTION("""COMPUTED_VALUE"""),45875)</f>
        <v>45875</v>
      </c>
      <c r="P79" s="3" t="str">
        <f ca="1">IFERROR(__xludf.DUMMYFUNCTION("""COMPUTED_VALUE"""),"O processo durou 918 dias entre a assinatura do despacho de autorização de abertura do PAD pelo Reitor e a assinatura do despacho de concordância/divergência pelo mesmo.")</f>
        <v>O processo durou 918 dias entre a assinatura do despacho de autorização de abertura do PAD pelo Reitor e a assinatura do despacho de concordância/divergência pelo mesmo.</v>
      </c>
      <c r="Q79" s="5">
        <f ca="1">IFERROR(__xludf.DUMMYFUNCTION("""COMPUTED_VALUE"""),46971)</f>
        <v>46971</v>
      </c>
      <c r="R79" s="3" t="str">
        <f ca="1">IFERROR(__xludf.DUMMYFUNCTION("""COMPUTED_VALUE"""),"Marcelo Bento")</f>
        <v>Marcelo Bento</v>
      </c>
      <c r="S79" s="3" t="str">
        <f ca="1">IFERROR(__xludf.DUMMYFUNCTION("""COMPUTED_VALUE"""),"Franciane")</f>
        <v>Franciane</v>
      </c>
      <c r="T79" s="3" t="str">
        <f ca="1">IFERROR(__xludf.DUMMYFUNCTION("""COMPUTED_VALUE"""),"Karolynne Rocha")</f>
        <v>Karolynne Rocha</v>
      </c>
      <c r="U79" s="3" t="str">
        <f ca="1">IFERROR(__xludf.DUMMYFUNCTION("""COMPUTED_VALUE"""),"Thaís Muci")</f>
        <v>Thaís Muci</v>
      </c>
      <c r="V79" s="3" t="str">
        <f ca="1">IFERROR(__xludf.DUMMYFUNCTION("""COMPUTED_VALUE"""),"Não")</f>
        <v>Não</v>
      </c>
      <c r="W79" s="3" t="str">
        <f ca="1">IFERROR(__xludf.DUMMYFUNCTION("""COMPUTED_VALUE"""),"SEI-260007/032090/2022")</f>
        <v>SEI-260007/032090/2022</v>
      </c>
      <c r="X79" s="3" t="str">
        <f ca="1">IFERROR(__xludf.DUMMYFUNCTION("""COMPUTED_VALUE"""),"S-Resposta do Reitor/Anotado.")</f>
        <v>S-Resposta do Reitor/Anotado.</v>
      </c>
    </row>
    <row r="80" spans="1:24" x14ac:dyDescent="0.2">
      <c r="A80" s="3" t="str">
        <f ca="1">IFERROR(__xludf.DUMMYFUNCTION("""COMPUTED_VALUE"""),"401/2023")</f>
        <v>401/2023</v>
      </c>
      <c r="B80" s="3" t="str">
        <f ca="1">IFERROR(__xludf.DUMMYFUNCTION("""COMPUTED_VALUE"""),"SEI-260007/025856/2023")</f>
        <v>SEI-260007/025856/2023</v>
      </c>
      <c r="C80" s="3" t="str">
        <f ca="1">IFERROR(__xludf.DUMMYFUNCTION("""COMPUTED_VALUE"""),"Maria Carlota de Alencar Pires, mat. 31.878-2")</f>
        <v>Maria Carlota de Alencar Pires, mat. 31.878-2</v>
      </c>
      <c r="D80" s="3" t="str">
        <f ca="1">IFERROR(__xludf.DUMMYFUNCTION("""COMPUTED_VALUE"""),"Desvio de conduta")</f>
        <v>Desvio de conduta</v>
      </c>
      <c r="E80" s="3" t="str">
        <f ca="1">IFERROR(__xludf.DUMMYFUNCTION("""COMPUTED_VALUE"""),"Desvio de conduta")</f>
        <v>Desvio de conduta</v>
      </c>
      <c r="F80" s="3" t="str">
        <f ca="1">IFERROR(__xludf.DUMMYFUNCTION("""COMPUTED_VALUE"""),"Abandono de cargo/ Inassiduidade habitual.")</f>
        <v>Abandono de cargo/ Inassiduidade habitual.</v>
      </c>
      <c r="G80" s="3" t="str">
        <f ca="1">IFERROR(__xludf.DUMMYFUNCTION("""COMPUTED_VALUE"""),"Abandono de cargo/ Inassiduidade habitual")</f>
        <v>Abandono de cargo/ Inassiduidade habitual</v>
      </c>
      <c r="H80" s="3" t="str">
        <f ca="1">IFERROR(__xludf.DUMMYFUNCTION("""COMPUTED_VALUE"""),"Faltas injustificadas no período de 01/10/2019 a 31/12/2019.")</f>
        <v>Faltas injustificadas no período de 01/10/2019 a 31/12/2019.</v>
      </c>
      <c r="I80" s="3"/>
      <c r="J80" s="5">
        <f ca="1">IFERROR(__xludf.DUMMYFUNCTION("""COMPUTED_VALUE"""),45035)</f>
        <v>45035</v>
      </c>
      <c r="K80" s="5">
        <f ca="1">IFERROR(__xludf.DUMMYFUNCTION("""COMPUTED_VALUE"""),45040)</f>
        <v>45040</v>
      </c>
      <c r="L80" s="5">
        <f ca="1">IFERROR(__xludf.DUMMYFUNCTION("""COMPUTED_VALUE"""),45220)</f>
        <v>45220</v>
      </c>
      <c r="M80" s="5">
        <f ca="1">IFERROR(__xludf.DUMMYFUNCTION("""COMPUTED_VALUE"""),45221)</f>
        <v>45221</v>
      </c>
      <c r="N80" s="3" t="str">
        <f ca="1">IFERROR(__xludf.DUMMYFUNCTION("""COMPUTED_VALUE"""),"Finalizado")</f>
        <v>Finalizado</v>
      </c>
      <c r="O80" s="5">
        <f ca="1">IFERROR(__xludf.DUMMYFUNCTION("""COMPUTED_VALUE"""),45952)</f>
        <v>45952</v>
      </c>
      <c r="P80" s="3" t="str">
        <f ca="1">IFERROR(__xludf.DUMMYFUNCTION("""COMPUTED_VALUE"""),"O processo durou 877 dias entre a assinatura do despacho de autorização de abertura do PAD pelo Reitor e a assinatura do despacho de concordância/divergência pelo mesmo.")</f>
        <v>O processo durou 877 dias entre a assinatura do despacho de autorização de abertura do PAD pelo Reitor e a assinatura do despacho de concordância/divergência pelo mesmo.</v>
      </c>
      <c r="Q80" s="5">
        <f ca="1">IFERROR(__xludf.DUMMYFUNCTION("""COMPUTED_VALUE"""),47048)</f>
        <v>47048</v>
      </c>
      <c r="R80" s="3" t="str">
        <f ca="1">IFERROR(__xludf.DUMMYFUNCTION("""COMPUTED_VALUE"""),"Vanessa Queiroz")</f>
        <v>Vanessa Queiroz</v>
      </c>
      <c r="S80" s="3" t="str">
        <f ca="1">IFERROR(__xludf.DUMMYFUNCTION("""COMPUTED_VALUE"""),"Débora")</f>
        <v>Débora</v>
      </c>
      <c r="T80" s="3" t="str">
        <f ca="1">IFERROR(__xludf.DUMMYFUNCTION("""COMPUTED_VALUE"""),"Jeanny Passigatte")</f>
        <v>Jeanny Passigatte</v>
      </c>
      <c r="U80" s="3" t="str">
        <f ca="1">IFERROR(__xludf.DUMMYFUNCTION("""COMPUTED_VALUE"""),"Karolynne Rocha")</f>
        <v>Karolynne Rocha</v>
      </c>
      <c r="V80" s="3" t="str">
        <f ca="1">IFERROR(__xludf.DUMMYFUNCTION("""COMPUTED_VALUE"""),"Hugo Leal de Araújo Santos")</f>
        <v>Hugo Leal de Araújo Santos</v>
      </c>
      <c r="W80" s="3" t="str">
        <f ca="1">IFERROR(__xludf.DUMMYFUNCTION("""COMPUTED_VALUE"""),"E-26/007/1372/2020")</f>
        <v>E-26/007/1372/2020</v>
      </c>
      <c r="X80" s="3" t="str">
        <f ca="1">IFERROR(__xludf.DUMMYFUNCTION("""COMPUTED_VALUE"""),"S-Resposta do Reitor/Anotado.")</f>
        <v>S-Resposta do Reitor/Anotado.</v>
      </c>
    </row>
    <row r="81" spans="1:24" x14ac:dyDescent="0.2">
      <c r="A81" s="3" t="str">
        <f ca="1">IFERROR(__xludf.DUMMYFUNCTION("""COMPUTED_VALUE"""),"398/2023")</f>
        <v>398/2023</v>
      </c>
      <c r="B81" s="3" t="str">
        <f ca="1">IFERROR(__xludf.DUMMYFUNCTION("""COMPUTED_VALUE"""),"SEI-260007/024417/2023")</f>
        <v>SEI-260007/024417/2023</v>
      </c>
      <c r="C81" s="3" t="str">
        <f ca="1">IFERROR(__xludf.DUMMYFUNCTION("""COMPUTED_VALUE"""),"Débora Maria Lopes, matrícula 32.010-1")</f>
        <v>Débora Maria Lopes, matrícula 32.010-1</v>
      </c>
      <c r="D81" s="3" t="str">
        <f ca="1">IFERROR(__xludf.DUMMYFUNCTION("""COMPUTED_VALUE"""),"Desvio de conduta")</f>
        <v>Desvio de conduta</v>
      </c>
      <c r="E81" s="3" t="str">
        <f ca="1">IFERROR(__xludf.DUMMYFUNCTION("""COMPUTED_VALUE"""),"Desvio de conduta")</f>
        <v>Desvio de conduta</v>
      </c>
      <c r="F81" s="3" t="str">
        <f ca="1">IFERROR(__xludf.DUMMYFUNCTION("""COMPUTED_VALUE"""),"Insubordinação.")</f>
        <v>Insubordinação.</v>
      </c>
      <c r="G81" s="3" t="str">
        <f ca="1">IFERROR(__xludf.DUMMYFUNCTION("""COMPUTED_VALUE"""),"Insubordinação")</f>
        <v>Insubordinação</v>
      </c>
      <c r="H81" s="3" t="str">
        <f ca="1">IFERROR(__xludf.DUMMYFUNCTION("""COMPUTED_VALUE"""),"Violação de deveres funcionais e insubordinação")</f>
        <v>Violação de deveres funcionais e insubordinação</v>
      </c>
      <c r="I81" s="3"/>
      <c r="J81" s="5">
        <f ca="1">IFERROR(__xludf.DUMMYFUNCTION("""COMPUTED_VALUE"""),45058)</f>
        <v>45058</v>
      </c>
      <c r="K81" s="5">
        <f ca="1">IFERROR(__xludf.DUMMYFUNCTION("""COMPUTED_VALUE"""),45063)</f>
        <v>45063</v>
      </c>
      <c r="L81" s="5">
        <f ca="1">IFERROR(__xludf.DUMMYFUNCTION("""COMPUTED_VALUE"""),45243)</f>
        <v>45243</v>
      </c>
      <c r="M81" s="5">
        <f ca="1">IFERROR(__xludf.DUMMYFUNCTION("""COMPUTED_VALUE"""),45244)</f>
        <v>45244</v>
      </c>
      <c r="N81" s="3" t="str">
        <f ca="1">IFERROR(__xludf.DUMMYFUNCTION("""COMPUTED_VALUE"""),"Finalizado")</f>
        <v>Finalizado</v>
      </c>
      <c r="O81" s="5">
        <f ca="1">IFERROR(__xludf.DUMMYFUNCTION("""COMPUTED_VALUE"""),45975)</f>
        <v>45975</v>
      </c>
      <c r="P81" s="3" t="str">
        <f ca="1">IFERROR(__xludf.DUMMYFUNCTION("""COMPUTED_VALUE"""),"O processo durou 878 dias entre a assinatura do despacho de autorização de abertura do PAD pelo Reitor e a assinatura do despacho de concordância/divergência pelo mesmo.")</f>
        <v>O processo durou 878 dias entre a assinatura do despacho de autorização de abertura do PAD pelo Reitor e a assinatura do despacho de concordância/divergência pelo mesmo.</v>
      </c>
      <c r="Q81" s="5">
        <f ca="1">IFERROR(__xludf.DUMMYFUNCTION("""COMPUTED_VALUE"""),47071)</f>
        <v>47071</v>
      </c>
      <c r="R81" s="3" t="str">
        <f ca="1">IFERROR(__xludf.DUMMYFUNCTION("""COMPUTED_VALUE"""),"Marcelo Bento")</f>
        <v>Marcelo Bento</v>
      </c>
      <c r="S81" s="3" t="str">
        <f ca="1">IFERROR(__xludf.DUMMYFUNCTION("""COMPUTED_VALUE"""),"Franciane")</f>
        <v>Franciane</v>
      </c>
      <c r="T81" s="3" t="str">
        <f ca="1">IFERROR(__xludf.DUMMYFUNCTION("""COMPUTED_VALUE"""),"Thaís Muci")</f>
        <v>Thaís Muci</v>
      </c>
      <c r="U81" s="3" t="str">
        <f ca="1">IFERROR(__xludf.DUMMYFUNCTION("""COMPUTED_VALUE"""),"Marcelo Ferreira")</f>
        <v>Marcelo Ferreira</v>
      </c>
      <c r="V81" s="3" t="str">
        <f ca="1">IFERROR(__xludf.DUMMYFUNCTION("""COMPUTED_VALUE"""),"Não")</f>
        <v>Não</v>
      </c>
      <c r="W81" s="3" t="str">
        <f ca="1">IFERROR(__xludf.DUMMYFUNCTION("""COMPUTED_VALUE"""),"SEI-260007/035627/2022")</f>
        <v>SEI-260007/035627/2022</v>
      </c>
      <c r="X81" s="3" t="str">
        <f ca="1">IFERROR(__xludf.DUMMYFUNCTION("""COMPUTED_VALUE"""),"S-Resposta do Reitor/Anotado.")</f>
        <v>S-Resposta do Reitor/Anotado.</v>
      </c>
    </row>
    <row r="82" spans="1:24" x14ac:dyDescent="0.2">
      <c r="A82" s="3" t="str">
        <f ca="1">IFERROR(__xludf.DUMMYFUNCTION("""COMPUTED_VALUE"""),"383/2023")</f>
        <v>383/2023</v>
      </c>
      <c r="B82" s="3" t="str">
        <f ca="1">IFERROR(__xludf.DUMMYFUNCTION("""COMPUTED_VALUE"""),"SEI-260007/011243/2023")</f>
        <v>SEI-260007/011243/2023</v>
      </c>
      <c r="C82" s="3" t="str">
        <f ca="1">IFERROR(__xludf.DUMMYFUNCTION("""COMPUTED_VALUE"""),"Flavia Maria Costa Carvalho Rodrigues 35050-4")</f>
        <v>Flavia Maria Costa Carvalho Rodrigues 35050-4</v>
      </c>
      <c r="D82" s="3" t="str">
        <f ca="1">IFERROR(__xludf.DUMMYFUNCTION("""COMPUTED_VALUE"""),"Desvio de conduta")</f>
        <v>Desvio de conduta</v>
      </c>
      <c r="E82" s="3" t="str">
        <f ca="1">IFERROR(__xludf.DUMMYFUNCTION("""COMPUTED_VALUE"""),"Desvio de conduta")</f>
        <v>Desvio de conduta</v>
      </c>
      <c r="F82" s="3" t="str">
        <f ca="1">IFERROR(__xludf.DUMMYFUNCTION("""COMPUTED_VALUE"""),"Abandono de cargo/ Inassiduidade habitual.")</f>
        <v>Abandono de cargo/ Inassiduidade habitual.</v>
      </c>
      <c r="G82" s="3" t="str">
        <f ca="1">IFERROR(__xludf.DUMMYFUNCTION("""COMPUTED_VALUE"""),"Abandono de cargo/ Inassiduidade habitual")</f>
        <v>Abandono de cargo/ Inassiduidade habitual</v>
      </c>
      <c r="H82" s="3" t="str">
        <f ca="1">IFERROR(__xludf.DUMMYFUNCTION("""COMPUTED_VALUE"""),"Apuração de faltas no período de 01/12/2021 a 12/12/2021.")</f>
        <v>Apuração de faltas no período de 01/12/2021 a 12/12/2021.</v>
      </c>
      <c r="I82" s="3" t="str">
        <f ca="1">IFERROR(__xludf.DUMMYFUNCTION("""COMPUTED_VALUE""")," ")</f>
        <v xml:space="preserve"> </v>
      </c>
      <c r="J82" s="5">
        <f ca="1">IFERROR(__xludf.DUMMYFUNCTION("""COMPUTED_VALUE"""),44970)</f>
        <v>44970</v>
      </c>
      <c r="K82" s="5">
        <f ca="1">IFERROR(__xludf.DUMMYFUNCTION("""COMPUTED_VALUE"""),44985)</f>
        <v>44985</v>
      </c>
      <c r="L82" s="5">
        <f ca="1">IFERROR(__xludf.DUMMYFUNCTION("""COMPUTED_VALUE"""),45165)</f>
        <v>45165</v>
      </c>
      <c r="M82" s="5">
        <f ca="1">IFERROR(__xludf.DUMMYFUNCTION("""COMPUTED_VALUE"""),45166)</f>
        <v>45166</v>
      </c>
      <c r="N82" s="3" t="str">
        <f ca="1">IFERROR(__xludf.DUMMYFUNCTION("""COMPUTED_VALUE"""),"Finalizado")</f>
        <v>Finalizado</v>
      </c>
      <c r="O82" s="5">
        <f ca="1">IFERROR(__xludf.DUMMYFUNCTION("""COMPUTED_VALUE"""),45897)</f>
        <v>45897</v>
      </c>
      <c r="P82" s="3" t="str">
        <f ca="1">IFERROR(__xludf.DUMMYFUNCTION("""COMPUTED_VALUE"""),"O processo durou 1034 dias entre a assinatura do despacho de autorização de abertura do PAD pelo Reitor e a assinatura do despacho de concordância/divergência pelo mesmo.")</f>
        <v>O processo durou 1034 dias entre a assinatura do despacho de autorização de abertura do PAD pelo Reitor e a assinatura do despacho de concordância/divergência pelo mesmo.</v>
      </c>
      <c r="Q82" s="5">
        <f ca="1">IFERROR(__xludf.DUMMYFUNCTION("""COMPUTED_VALUE"""),46993)</f>
        <v>46993</v>
      </c>
      <c r="R82" s="3" t="str">
        <f ca="1">IFERROR(__xludf.DUMMYFUNCTION("""COMPUTED_VALUE"""),"Leonardo Rocha")</f>
        <v>Leonardo Rocha</v>
      </c>
      <c r="S82" s="3" t="str">
        <f ca="1">IFERROR(__xludf.DUMMYFUNCTION("""COMPUTED_VALUE"""),"Micheline")</f>
        <v>Micheline</v>
      </c>
      <c r="T82" s="3" t="str">
        <f ca="1">IFERROR(__xludf.DUMMYFUNCTION("""COMPUTED_VALUE"""),"Vanessa Queiroz")</f>
        <v>Vanessa Queiroz</v>
      </c>
      <c r="U82" s="3" t="str">
        <f ca="1">IFERROR(__xludf.DUMMYFUNCTION("""COMPUTED_VALUE"""),"Jeanny Passigatte")</f>
        <v>Jeanny Passigatte</v>
      </c>
      <c r="V82" s="3" t="str">
        <f ca="1">IFERROR(__xludf.DUMMYFUNCTION("""COMPUTED_VALUE"""),"Não")</f>
        <v>Não</v>
      </c>
      <c r="W82" s="3" t="str">
        <f ca="1">IFERROR(__xludf.DUMMYFUNCTION("""COMPUTED_VALUE"""),"SEI-260007/004954/2022")</f>
        <v>SEI-260007/004954/2022</v>
      </c>
      <c r="X82" s="3" t="str">
        <f ca="1">IFERROR(__xludf.DUMMYFUNCTION("""COMPUTED_VALUE"""),"S-Resposta do Reitor/Anotado.")</f>
        <v>S-Resposta do Reitor/Anotado.</v>
      </c>
    </row>
    <row r="83" spans="1:24" x14ac:dyDescent="0.2">
      <c r="A83" s="3" t="str">
        <f ca="1">IFERROR(__xludf.DUMMYFUNCTION("""COMPUTED_VALUE"""),"314/2019")</f>
        <v>314/2019</v>
      </c>
      <c r="B83" s="3" t="str">
        <f ca="1">IFERROR(__xludf.DUMMYFUNCTION("""COMPUTED_VALUE"""),"E-26/007/102284/2018")</f>
        <v>E-26/007/102284/2018</v>
      </c>
      <c r="C83" s="3" t="str">
        <f ca="1">IFERROR(__xludf.DUMMYFUNCTION("""COMPUTED_VALUE"""),"Ricardo Ceneviva, matrícula 37.544-4")</f>
        <v>Ricardo Ceneviva, matrícula 37.544-4</v>
      </c>
      <c r="D83" s="3" t="str">
        <f ca="1">IFERROR(__xludf.DUMMYFUNCTION("""COMPUTED_VALUE"""),"Desvio de conduta")</f>
        <v>Desvio de conduta</v>
      </c>
      <c r="E83" s="3" t="str">
        <f ca="1">IFERROR(__xludf.DUMMYFUNCTION("""COMPUTED_VALUE"""),"Desvio de conduta")</f>
        <v>Desvio de conduta</v>
      </c>
      <c r="F83" s="3" t="str">
        <f ca="1">IFERROR(__xludf.DUMMYFUNCTION("""COMPUTED_VALUE"""),"Abandono de cargo/ Inassiduidade habitual.")</f>
        <v>Abandono de cargo/ Inassiduidade habitual.</v>
      </c>
      <c r="G83" s="3" t="str">
        <f ca="1">IFERROR(__xludf.DUMMYFUNCTION("""COMPUTED_VALUE"""),"Abandono de cargo/ Inassiduidade habitual")</f>
        <v>Abandono de cargo/ Inassiduidade habitual</v>
      </c>
      <c r="H83" s="3" t="str">
        <f ca="1">IFERROR(__xludf.DUMMYFUNCTION("""COMPUTED_VALUE"""),"Apuração de faltas sucessivas superior a 10 dias")</f>
        <v>Apuração de faltas sucessivas superior a 10 dias</v>
      </c>
      <c r="I83" s="3"/>
      <c r="J83" s="5">
        <f ca="1">IFERROR(__xludf.DUMMYFUNCTION("""COMPUTED_VALUE"""),43594)</f>
        <v>43594</v>
      </c>
      <c r="K83" s="5">
        <f ca="1">IFERROR(__xludf.DUMMYFUNCTION("""COMPUTED_VALUE"""),43614)</f>
        <v>43614</v>
      </c>
      <c r="L83" s="5">
        <f ca="1">IFERROR(__xludf.DUMMYFUNCTION("""COMPUTED_VALUE"""),43794)</f>
        <v>43794</v>
      </c>
      <c r="M83" s="5">
        <f ca="1">IFERROR(__xludf.DUMMYFUNCTION("""COMPUTED_VALUE"""),43795)</f>
        <v>43795</v>
      </c>
      <c r="N83" s="3" t="str">
        <f ca="1">IFERROR(__xludf.DUMMYFUNCTION("""COMPUTED_VALUE"""),"Finalizado")</f>
        <v>Finalizado</v>
      </c>
      <c r="O83" s="5">
        <f ca="1">IFERROR(__xludf.DUMMYFUNCTION("""COMPUTED_VALUE"""),44526)</f>
        <v>44526</v>
      </c>
      <c r="P83" s="3" t="str">
        <f ca="1">IFERROR(__xludf.DUMMYFUNCTION("""COMPUTED_VALUE"""),"O processo durou 2332 dias entre a assinatura do despacho de autorização de abertura do PAD pelo Reitor e a assinatura do despacho de concordância/divergência pelo mesmo.")</f>
        <v>O processo durou 2332 dias entre a assinatura do despacho de autorização de abertura do PAD pelo Reitor e a assinatura do despacho de concordância/divergência pelo mesmo.</v>
      </c>
      <c r="Q83" s="5">
        <f ca="1">IFERROR(__xludf.DUMMYFUNCTION("""COMPUTED_VALUE"""),45622)</f>
        <v>45622</v>
      </c>
      <c r="R83" s="3" t="str">
        <f ca="1">IFERROR(__xludf.DUMMYFUNCTION("""COMPUTED_VALUE"""),"Alessandra Abelheira")</f>
        <v>Alessandra Abelheira</v>
      </c>
      <c r="S83" s="3" t="str">
        <f ca="1">IFERROR(__xludf.DUMMYFUNCTION("""COMPUTED_VALUE"""),"Franciane")</f>
        <v>Franciane</v>
      </c>
      <c r="T83" s="3" t="str">
        <f ca="1">IFERROR(__xludf.DUMMYFUNCTION("""COMPUTED_VALUE"""),"Patrícia Glioche")</f>
        <v>Patrícia Glioche</v>
      </c>
      <c r="U83" s="3" t="str">
        <f ca="1">IFERROR(__xludf.DUMMYFUNCTION("""COMPUTED_VALUE"""),"Teresa Jardin")</f>
        <v>Teresa Jardin</v>
      </c>
      <c r="V83" s="3" t="str">
        <f ca="1">IFERROR(__xludf.DUMMYFUNCTION("""COMPUTED_VALUE"""),"Não")</f>
        <v>Não</v>
      </c>
      <c r="W83" s="3" t="str">
        <f ca="1">IFERROR(__xludf.DUMMYFUNCTION("""COMPUTED_VALUE"""),"E-26/007/102284/2018")</f>
        <v>E-26/007/102284/2018</v>
      </c>
      <c r="X83" s="3" t="str">
        <f ca="1">IFERROR(__xludf.DUMMYFUNCTION("""COMPUTED_VALUE"""),"S-Resposta do Reitor/Anotado.")</f>
        <v>S-Resposta do Reitor/Anotado.</v>
      </c>
    </row>
    <row r="84" spans="1:24" x14ac:dyDescent="0.2">
      <c r="A84" s="3" t="str">
        <f ca="1">IFERROR(__xludf.DUMMYFUNCTION("""COMPUTED_VALUE"""),"299/2019")</f>
        <v>299/2019</v>
      </c>
      <c r="B84" s="3" t="str">
        <f ca="1">IFERROR(__xludf.DUMMYFUNCTION("""COMPUTED_VALUE"""),"E-26/007/3053/2018")</f>
        <v>E-26/007/3053/2018</v>
      </c>
      <c r="C84" s="3" t="str">
        <f ca="1">IFERROR(__xludf.DUMMYFUNCTION("""COMPUTED_VALUE"""),"Glaucia Regina Motta da Silveira Castro, 34.968-8")</f>
        <v>Glaucia Regina Motta da Silveira Castro, 34.968-8</v>
      </c>
      <c r="D84" s="3" t="str">
        <f ca="1">IFERROR(__xludf.DUMMYFUNCTION("""COMPUTED_VALUE"""),"Desvio de conduta")</f>
        <v>Desvio de conduta</v>
      </c>
      <c r="E84" s="3" t="str">
        <f ca="1">IFERROR(__xludf.DUMMYFUNCTION("""COMPUTED_VALUE"""),"Desvio de conduta")</f>
        <v>Desvio de conduta</v>
      </c>
      <c r="F84" s="3" t="str">
        <f ca="1">IFERROR(__xludf.DUMMYFUNCTION("""COMPUTED_VALUE"""),"Abandono de cargo/ Inassiduidade habitual.")</f>
        <v>Abandono de cargo/ Inassiduidade habitual.</v>
      </c>
      <c r="G84" s="3" t="str">
        <f ca="1">IFERROR(__xludf.DUMMYFUNCTION("""COMPUTED_VALUE"""),"Abandono de cargo/ Inassiduidade habitual")</f>
        <v>Abandono de cargo/ Inassiduidade habitual</v>
      </c>
      <c r="H84" s="3" t="str">
        <f ca="1">IFERROR(__xludf.DUMMYFUNCTION("""COMPUTED_VALUE"""),"Apuração de faltas sucessivas superior a 10 dias")</f>
        <v>Apuração de faltas sucessivas superior a 10 dias</v>
      </c>
      <c r="I84" s="3"/>
      <c r="J84" s="5">
        <f ca="1">IFERROR(__xludf.DUMMYFUNCTION("""COMPUTED_VALUE"""),43495)</f>
        <v>43495</v>
      </c>
      <c r="K84" s="5">
        <f ca="1">IFERROR(__xludf.DUMMYFUNCTION("""COMPUTED_VALUE"""),43497)</f>
        <v>43497</v>
      </c>
      <c r="L84" s="5">
        <f ca="1">IFERROR(__xludf.DUMMYFUNCTION("""COMPUTED_VALUE"""),43677)</f>
        <v>43677</v>
      </c>
      <c r="M84" s="5">
        <f ca="1">IFERROR(__xludf.DUMMYFUNCTION("""COMPUTED_VALUE"""),43678)</f>
        <v>43678</v>
      </c>
      <c r="N84" s="3" t="str">
        <f ca="1">IFERROR(__xludf.DUMMYFUNCTION("""COMPUTED_VALUE"""),"Finalizado")</f>
        <v>Finalizado</v>
      </c>
      <c r="O84" s="5">
        <f ca="1">IFERROR(__xludf.DUMMYFUNCTION("""COMPUTED_VALUE"""),44409)</f>
        <v>44409</v>
      </c>
      <c r="P84" s="3" t="str">
        <f ca="1">IFERROR(__xludf.DUMMYFUNCTION("""COMPUTED_VALUE"""),"O processo durou 2441 dias entre a assinatura do despacho de autorização de abertura do PAD pelo Reitor e a assinatura do despacho de concordância/divergência pelo mesmo.")</f>
        <v>O processo durou 2441 dias entre a assinatura do despacho de autorização de abertura do PAD pelo Reitor e a assinatura do despacho de concordância/divergência pelo mesmo.</v>
      </c>
      <c r="Q84" s="5">
        <f ca="1">IFERROR(__xludf.DUMMYFUNCTION("""COMPUTED_VALUE"""),45505)</f>
        <v>45505</v>
      </c>
      <c r="R84" s="3" t="str">
        <f ca="1">IFERROR(__xludf.DUMMYFUNCTION("""COMPUTED_VALUE"""),"Alessandra Abelheira")</f>
        <v>Alessandra Abelheira</v>
      </c>
      <c r="S84" s="3" t="str">
        <f ca="1">IFERROR(__xludf.DUMMYFUNCTION("""COMPUTED_VALUE"""),"Felipe")</f>
        <v>Felipe</v>
      </c>
      <c r="T84" s="3" t="str">
        <f ca="1">IFERROR(__xludf.DUMMYFUNCTION("""COMPUTED_VALUE"""),"Ariane Serpa")</f>
        <v>Ariane Serpa</v>
      </c>
      <c r="U84" s="3" t="str">
        <f ca="1">IFERROR(__xludf.DUMMYFUNCTION("""COMPUTED_VALUE"""),"Teresa Jardin")</f>
        <v>Teresa Jardin</v>
      </c>
      <c r="V84" s="3" t="str">
        <f ca="1">IFERROR(__xludf.DUMMYFUNCTION("""COMPUTED_VALUE"""),"Hugo Leal de Araújo Santos")</f>
        <v>Hugo Leal de Araújo Santos</v>
      </c>
      <c r="W84" s="3" t="str">
        <f ca="1">IFERROR(__xludf.DUMMYFUNCTION("""COMPUTED_VALUE"""),"E-26/007/3053/2018")</f>
        <v>E-26/007/3053/2018</v>
      </c>
      <c r="X84" s="3" t="str">
        <f ca="1">IFERROR(__xludf.DUMMYFUNCTION("""COMPUTED_VALUE"""),"S-Resposta do Reitor/Anotado.")</f>
        <v>S-Resposta do Reitor/Anotado.</v>
      </c>
    </row>
    <row r="85" spans="1:24" x14ac:dyDescent="0.2">
      <c r="A85" s="3" t="str">
        <f ca="1">IFERROR(__xludf.DUMMYFUNCTION("""COMPUTED_VALUE"""),"443/2024")</f>
        <v>443/2024</v>
      </c>
      <c r="B85" s="3" t="str">
        <f ca="1">IFERROR(__xludf.DUMMYFUNCTION("""COMPUTED_VALUE"""),"SEI-260006/020651/2024")</f>
        <v>SEI-260006/020651/2024</v>
      </c>
      <c r="C85" s="3" t="str">
        <f ca="1">IFERROR(__xludf.DUMMYFUNCTION("""COMPUTED_VALUE"""),"Luis Antonio de Andrade, matrícula nº 39921-2.")</f>
        <v>Luis Antonio de Andrade, matrícula nº 39921-2.</v>
      </c>
      <c r="D85" s="3" t="str">
        <f ca="1">IFERROR(__xludf.DUMMYFUNCTION("""COMPUTED_VALUE"""),"Acumulação Ilegal")</f>
        <v>Acumulação Ilegal</v>
      </c>
      <c r="E85" s="3"/>
      <c r="F85" s="3" t="str">
        <f ca="1">IFERROR(__xludf.DUMMYFUNCTION("""COMPUTED_VALUE"""),"Acumulação de cargos.")</f>
        <v>Acumulação de cargos.</v>
      </c>
      <c r="G85" s="3" t="str">
        <f ca="1">IFERROR(__xludf.DUMMYFUNCTION("""COMPUTED_VALUE"""),"Acumulação de cargos")</f>
        <v>Acumulação de cargos</v>
      </c>
      <c r="H85" s="3" t="str">
        <f ca="1">IFERROR(__xludf.DUMMYFUNCTION("""COMPUTED_VALUE""")," Indícios de acumulação ilegal de cargos públicos e ausência de boa fé.")</f>
        <v xml:space="preserve"> Indícios de acumulação ilegal de cargos públicos e ausência de boa fé.</v>
      </c>
      <c r="I85" s="3"/>
      <c r="J85" s="5">
        <f ca="1">IFERROR(__xludf.DUMMYFUNCTION("""COMPUTED_VALUE"""),45412)</f>
        <v>45412</v>
      </c>
      <c r="K85" s="5">
        <f ca="1">IFERROR(__xludf.DUMMYFUNCTION("""COMPUTED_VALUE"""),45418)</f>
        <v>45418</v>
      </c>
      <c r="L85" s="5">
        <f ca="1">IFERROR(__xludf.DUMMYFUNCTION("""COMPUTED_VALUE"""),45598)</f>
        <v>45598</v>
      </c>
      <c r="M85" s="5">
        <f ca="1">IFERROR(__xludf.DUMMYFUNCTION("""COMPUTED_VALUE"""),45599)</f>
        <v>45599</v>
      </c>
      <c r="N85" s="3" t="str">
        <f ca="1">IFERROR(__xludf.DUMMYFUNCTION("""COMPUTED_VALUE"""),"Finalizado")</f>
        <v>Finalizado</v>
      </c>
      <c r="O85" s="5">
        <f ca="1">IFERROR(__xludf.DUMMYFUNCTION("""COMPUTED_VALUE"""),46329)</f>
        <v>46329</v>
      </c>
      <c r="P85" s="3" t="str">
        <f ca="1">IFERROR(__xludf.DUMMYFUNCTION("""COMPUTED_VALUE"""),"O processo durou 517 dias entre a assinatura do despacho de autorização de abertura do PAD pelo Reitor e a assinatura do despacho de concordância/divergência pelo mesmo.")</f>
        <v>O processo durou 517 dias entre a assinatura do despacho de autorização de abertura do PAD pelo Reitor e a assinatura do despacho de concordância/divergência pelo mesmo.</v>
      </c>
      <c r="Q85" s="5">
        <f ca="1">IFERROR(__xludf.DUMMYFUNCTION("""COMPUTED_VALUE"""),47425)</f>
        <v>47425</v>
      </c>
      <c r="R85" s="3" t="str">
        <f ca="1">IFERROR(__xludf.DUMMYFUNCTION("""COMPUTED_VALUE"""),"Vanessa Queiroz")</f>
        <v>Vanessa Queiroz</v>
      </c>
      <c r="S85" s="3" t="str">
        <f ca="1">IFERROR(__xludf.DUMMYFUNCTION("""COMPUTED_VALUE"""),"Micheline")</f>
        <v>Micheline</v>
      </c>
      <c r="T85" s="3" t="str">
        <f ca="1">IFERROR(__xludf.DUMMYFUNCTION("""COMPUTED_VALUE"""),"Patrícia Glioche")</f>
        <v>Patrícia Glioche</v>
      </c>
      <c r="U85" s="3" t="str">
        <f ca="1">IFERROR(__xludf.DUMMYFUNCTION("""COMPUTED_VALUE"""),"Bianca Faertes")</f>
        <v>Bianca Faertes</v>
      </c>
      <c r="V85" s="3" t="str">
        <f ca="1">IFERROR(__xludf.DUMMYFUNCTION("""COMPUTED_VALUE"""),"Não")</f>
        <v>Não</v>
      </c>
      <c r="W85" s="3" t="str">
        <f ca="1">IFERROR(__xludf.DUMMYFUNCTION("""COMPUTED_VALUE"""),"E-26/007/2134/2019")</f>
        <v>E-26/007/2134/2019</v>
      </c>
      <c r="X85" s="3" t="str">
        <f ca="1">IFERROR(__xludf.DUMMYFUNCTION("""COMPUTED_VALUE"""),"S-Resposta do Reitor/Anotado.")</f>
        <v>S-Resposta do Reitor/Anotado.</v>
      </c>
    </row>
    <row r="86" spans="1:24" x14ac:dyDescent="0.2">
      <c r="A86" s="3" t="str">
        <f ca="1">IFERROR(__xludf.DUMMYFUNCTION("""COMPUTED_VALUE"""),"328/2021")</f>
        <v>328/2021</v>
      </c>
      <c r="B86" s="3" t="str">
        <f ca="1">IFERROR(__xludf.DUMMYFUNCTION("""COMPUTED_VALUE"""),"SEI-260007/004982/2021")</f>
        <v>SEI-260007/004982/2021</v>
      </c>
      <c r="C86" s="3" t="str">
        <f ca="1">IFERROR(__xludf.DUMMYFUNCTION("""COMPUTED_VALUE"""),"Edmar Jose Alves Dos Santos, matr. 33.304-7")</f>
        <v>Edmar Jose Alves Dos Santos, matr. 33.304-7</v>
      </c>
      <c r="D86" s="3" t="str">
        <f ca="1">IFERROR(__xludf.DUMMYFUNCTION("""COMPUTED_VALUE"""),"Atos de corrupção")</f>
        <v>Atos de corrupção</v>
      </c>
      <c r="E86" s="3" t="str">
        <f ca="1">IFERROR(__xludf.DUMMYFUNCTION("""COMPUTED_VALUE"""),"Atos de corrupção")</f>
        <v>Atos de corrupção</v>
      </c>
      <c r="F86" s="3" t="str">
        <f ca="1">IFERROR(__xludf.DUMMYFUNCTION("""COMPUTED_VALUE"""),"Outros.")</f>
        <v>Outros.</v>
      </c>
      <c r="G86" s="3" t="str">
        <f ca="1">IFERROR(__xludf.DUMMYFUNCTION("""COMPUTED_VALUE"""),"Outros")</f>
        <v>Outros</v>
      </c>
      <c r="H86" s="3" t="str">
        <f ca="1">IFERROR(__xludf.DUMMYFUNCTION("""COMPUTED_VALUE"""),"""celebração e execução de contratos de prestação de serviços para o hospital, sobretudo no que diz respeito ao recebimento de vantagens indevidas para a agilização de pagamentos.""")</f>
        <v>"celebração e execução de contratos de prestação de serviços para o hospital, sobretudo no que diz respeito ao recebimento de vantagens indevidas para a agilização de pagamentos."</v>
      </c>
      <c r="I86" s="3"/>
      <c r="J86" s="5">
        <f ca="1">IFERROR(__xludf.DUMMYFUNCTION("""COMPUTED_VALUE"""),44244)</f>
        <v>44244</v>
      </c>
      <c r="K86" s="5">
        <f ca="1">IFERROR(__xludf.DUMMYFUNCTION("""COMPUTED_VALUE"""),44260)</f>
        <v>44260</v>
      </c>
      <c r="L86" s="5">
        <f ca="1">IFERROR(__xludf.DUMMYFUNCTION("""COMPUTED_VALUE"""),44440)</f>
        <v>44440</v>
      </c>
      <c r="M86" s="5">
        <f ca="1">IFERROR(__xludf.DUMMYFUNCTION("""COMPUTED_VALUE"""),44441)</f>
        <v>44441</v>
      </c>
      <c r="N86" s="3" t="str">
        <f ca="1">IFERROR(__xludf.DUMMYFUNCTION("""COMPUTED_VALUE"""),"Finalizado")</f>
        <v>Finalizado</v>
      </c>
      <c r="O86" s="5">
        <f ca="1">IFERROR(__xludf.DUMMYFUNCTION("""COMPUTED_VALUE"""),45171)</f>
        <v>45171</v>
      </c>
      <c r="P86" s="3" t="str">
        <f ca="1">IFERROR(__xludf.DUMMYFUNCTION("""COMPUTED_VALUE"""),"O processo durou 1755 dias entre a assinatura do despacho de autorização de abertura do PAD pelo Reitor e a assinatura do despacho de concordância/divergência pelo mesmo.")</f>
        <v>O processo durou 1755 dias entre a assinatura do despacho de autorização de abertura do PAD pelo Reitor e a assinatura do despacho de concordância/divergência pelo mesmo.</v>
      </c>
      <c r="Q86" s="5">
        <f ca="1">IFERROR(__xludf.DUMMYFUNCTION("""COMPUTED_VALUE"""),46267)</f>
        <v>46267</v>
      </c>
      <c r="R86" s="3" t="str">
        <f ca="1">IFERROR(__xludf.DUMMYFUNCTION("""COMPUTED_VALUE"""),"Leonardo Rocha")</f>
        <v>Leonardo Rocha</v>
      </c>
      <c r="S86" s="3" t="str">
        <f ca="1">IFERROR(__xludf.DUMMYFUNCTION("""COMPUTED_VALUE"""),"Micheline")</f>
        <v>Micheline</v>
      </c>
      <c r="T86" s="3" t="str">
        <f ca="1">IFERROR(__xludf.DUMMYFUNCTION("""COMPUTED_VALUE"""),"Patrícia Glioche")</f>
        <v>Patrícia Glioche</v>
      </c>
      <c r="U86" s="3" t="str">
        <f ca="1">IFERROR(__xludf.DUMMYFUNCTION("""COMPUTED_VALUE"""),"Karolynne Rocha")</f>
        <v>Karolynne Rocha</v>
      </c>
      <c r="V86" s="3" t="str">
        <f ca="1">IFERROR(__xludf.DUMMYFUNCTION("""COMPUTED_VALUE"""),"Não")</f>
        <v>Não</v>
      </c>
      <c r="W86" s="3" t="str">
        <f ca="1">IFERROR(__xludf.DUMMYFUNCTION("""COMPUTED_VALUE"""),"SEI-260007/006800/2020")</f>
        <v>SEI-260007/006800/2020</v>
      </c>
      <c r="X86" s="3" t="str">
        <f ca="1">IFERROR(__xludf.DUMMYFUNCTION("""COMPUTED_VALUE"""),"S-Resposta do Reitor/Anotado.")</f>
        <v>S-Resposta do Reitor/Anotado.</v>
      </c>
    </row>
    <row r="87" spans="1:24" x14ac:dyDescent="0.2">
      <c r="A87" s="3" t="str">
        <f ca="1">IFERROR(__xludf.DUMMYFUNCTION("""COMPUTED_VALUE"""),"413/2023")</f>
        <v>413/2023</v>
      </c>
      <c r="B87" s="3" t="str">
        <f ca="1">IFERROR(__xludf.DUMMYFUNCTION("""COMPUTED_VALUE"""),"SEI-260007/037051/2023")</f>
        <v>SEI-260007/037051/2023</v>
      </c>
      <c r="C87" s="3" t="str">
        <f ca="1">IFERROR(__xludf.DUMMYFUNCTION("""COMPUTED_VALUE"""),"ISABELA FIGUEIREDO, matrícula nº. 38.220-0, ID funcional: 5632528, vínculo: 3")</f>
        <v>ISABELA FIGUEIREDO, matrícula nº. 38.220-0, ID funcional: 5632528, vínculo: 3</v>
      </c>
      <c r="D87" s="3" t="str">
        <f ca="1">IFERROR(__xludf.DUMMYFUNCTION("""COMPUTED_VALUE"""),"Desvio de conduta")</f>
        <v>Desvio de conduta</v>
      </c>
      <c r="E87" s="3" t="str">
        <f ca="1">IFERROR(__xludf.DUMMYFUNCTION("""COMPUTED_VALUE"""),"Desvio de conduta")</f>
        <v>Desvio de conduta</v>
      </c>
      <c r="F87" s="3" t="str">
        <f ca="1">IFERROR(__xludf.DUMMYFUNCTION("""COMPUTED_VALUE"""),"Abandono de cargo/ Inassiduidade habitual.")</f>
        <v>Abandono de cargo/ Inassiduidade habitual.</v>
      </c>
      <c r="G87" s="3" t="str">
        <f ca="1">IFERROR(__xludf.DUMMYFUNCTION("""COMPUTED_VALUE"""),"Abandono de cargo/ Inassiduidade habitual")</f>
        <v>Abandono de cargo/ Inassiduidade habitual</v>
      </c>
      <c r="H87" s="3" t="str">
        <f ca="1">IFERROR(__xludf.DUMMYFUNCTION("""COMPUTED_VALUE"""),"Servidora apresentou mais de 21 (vinte e um) dias de faltas injustificadas interpoladamente, durante o período de 12 (doze) meses, nos dias 02/07/2021, 20/07/2021, 22/07/2021, 17/08/2021, de 25/10 a 28/10/2021, 04/11/2021, 22/11/2021, 26/11/2021, 01/12/20"&amp;"21, de 22/05 a 30/05/2022, posteriormente estendida ao não comparecimento após 02/07/2022. (DR 55516118)")</f>
        <v>Servidora apresentou mais de 21 (vinte e um) dias de faltas injustificadas interpoladamente, durante o período de 12 (doze) meses, nos dias 02/07/2021, 20/07/2021, 22/07/2021, 17/08/2021, de 25/10 a 28/10/2021, 04/11/2021, 22/11/2021, 26/11/2021, 01/12/2021, de 22/05 a 30/05/2022, posteriormente estendida ao não comparecimento após 02/07/2022. (DR 55516118)</v>
      </c>
      <c r="I87" s="3"/>
      <c r="J87" s="5">
        <f ca="1">IFERROR(__xludf.DUMMYFUNCTION("""COMPUTED_VALUE"""),45118)</f>
        <v>45118</v>
      </c>
      <c r="K87" s="5">
        <f ca="1">IFERROR(__xludf.DUMMYFUNCTION("""COMPUTED_VALUE"""),45120)</f>
        <v>45120</v>
      </c>
      <c r="L87" s="5">
        <f ca="1">IFERROR(__xludf.DUMMYFUNCTION("""COMPUTED_VALUE"""),45300)</f>
        <v>45300</v>
      </c>
      <c r="M87" s="5">
        <f ca="1">IFERROR(__xludf.DUMMYFUNCTION("""COMPUTED_VALUE"""),45301)</f>
        <v>45301</v>
      </c>
      <c r="N87" s="3" t="str">
        <f ca="1">IFERROR(__xludf.DUMMYFUNCTION("""COMPUTED_VALUE"""),"Finalizado")</f>
        <v>Finalizado</v>
      </c>
      <c r="O87" s="5">
        <f ca="1">IFERROR(__xludf.DUMMYFUNCTION("""COMPUTED_VALUE"""),46032)</f>
        <v>46032</v>
      </c>
      <c r="P87" s="3" t="str">
        <f ca="1">IFERROR(__xludf.DUMMYFUNCTION("""COMPUTED_VALUE"""),"O processo durou 833 dias entre a assinatura do despacho de autorização de abertura do PAD pelo Reitor e a assinatura do despacho de concordância/divergência pelo mesmo.")</f>
        <v>O processo durou 833 dias entre a assinatura do despacho de autorização de abertura do PAD pelo Reitor e a assinatura do despacho de concordância/divergência pelo mesmo.</v>
      </c>
      <c r="Q87" s="5">
        <f ca="1">IFERROR(__xludf.DUMMYFUNCTION("""COMPUTED_VALUE"""),47128)</f>
        <v>47128</v>
      </c>
      <c r="R87" s="3" t="str">
        <f ca="1">IFERROR(__xludf.DUMMYFUNCTION("""COMPUTED_VALUE"""),"Alessandra Abelheira")</f>
        <v>Alessandra Abelheira</v>
      </c>
      <c r="S87" s="3" t="str">
        <f ca="1">IFERROR(__xludf.DUMMYFUNCTION("""COMPUTED_VALUE"""),"Felipe")</f>
        <v>Felipe</v>
      </c>
      <c r="T87" s="3" t="str">
        <f ca="1">IFERROR(__xludf.DUMMYFUNCTION("""COMPUTED_VALUE"""),"Karolynne Rocha")</f>
        <v>Karolynne Rocha</v>
      </c>
      <c r="U87" s="3" t="str">
        <f ca="1">IFERROR(__xludf.DUMMYFUNCTION("""COMPUTED_VALUE"""),"Marcelo Ferreira")</f>
        <v>Marcelo Ferreira</v>
      </c>
      <c r="V87" s="3" t="str">
        <f ca="1">IFERROR(__xludf.DUMMYFUNCTION("""COMPUTED_VALUE"""),"Yago Prelelue Gomes Maciel Monteiro")</f>
        <v>Yago Prelelue Gomes Maciel Monteiro</v>
      </c>
      <c r="W87" s="3" t="str">
        <f ca="1">IFERROR(__xludf.DUMMYFUNCTION("""COMPUTED_VALUE"""),"SEI-260007/033255/2022")</f>
        <v>SEI-260007/033255/2022</v>
      </c>
      <c r="X87" s="3" t="str">
        <f ca="1">IFERROR(__xludf.DUMMYFUNCTION("""COMPUTED_VALUE"""),"S-Resposta do Reitor/Anotado.")</f>
        <v>S-Resposta do Reitor/Anotado.</v>
      </c>
    </row>
    <row r="88" spans="1:24" x14ac:dyDescent="0.2">
      <c r="A88" s="3" t="str">
        <f ca="1">IFERROR(__xludf.DUMMYFUNCTION("""COMPUTED_VALUE"""),"321/2020")</f>
        <v>321/2020</v>
      </c>
      <c r="B88" s="3" t="str">
        <f ca="1">IFERROR(__xludf.DUMMYFUNCTION("""COMPUTED_VALUE"""),"E-26/007/2841/2016")</f>
        <v>E-26/007/2841/2016</v>
      </c>
      <c r="C88" s="3" t="str">
        <f ca="1">IFERROR(__xludf.DUMMYFUNCTION("""COMPUTED_VALUE"""),"Marcus Portugal Feital, 05.501-2.")</f>
        <v>Marcus Portugal Feital, 05.501-2.</v>
      </c>
      <c r="D88" s="3" t="str">
        <f ca="1">IFERROR(__xludf.DUMMYFUNCTION("""COMPUTED_VALUE"""),"Desvio de conduta")</f>
        <v>Desvio de conduta</v>
      </c>
      <c r="E88" s="3" t="str">
        <f ca="1">IFERROR(__xludf.DUMMYFUNCTION("""COMPUTED_VALUE"""),"Desvio de conduta")</f>
        <v>Desvio de conduta</v>
      </c>
      <c r="F88" s="3" t="str">
        <f ca="1">IFERROR(__xludf.DUMMYFUNCTION("""COMPUTED_VALUE"""),"Abandono de cargo/ Inassiduidade habitual.")</f>
        <v>Abandono de cargo/ Inassiduidade habitual.</v>
      </c>
      <c r="G88" s="3" t="str">
        <f ca="1">IFERROR(__xludf.DUMMYFUNCTION("""COMPUTED_VALUE"""),"Abandono de cargo/ Inassiduidade habitual")</f>
        <v>Abandono de cargo/ Inassiduidade habitual</v>
      </c>
      <c r="H88" s="3" t="str">
        <f ca="1">IFERROR(__xludf.DUMMYFUNCTION("""COMPUTED_VALUE"""),"Apuração de faltas interpoladas superior a 20 dias e descumprimento das normas legais e regulamentares relativas à concessão de licença prêmio (AE-26/REITORIA/91), uma vez que solicitada de forma retroativa, tendo se ausentado do trabalho antes de deferim"&amp;"ento do pedido pela Direção.")</f>
        <v>Apuração de faltas interpoladas superior a 20 dias e descumprimento das normas legais e regulamentares relativas à concessão de licença prêmio (AE-26/REITORIA/91), uma vez que solicitada de forma retroativa, tendo se ausentado do trabalho antes de deferimento do pedido pela Direção.</v>
      </c>
      <c r="I88" s="3"/>
      <c r="J88" s="5">
        <f ca="1">IFERROR(__xludf.DUMMYFUNCTION("""COMPUTED_VALUE"""),44054)</f>
        <v>44054</v>
      </c>
      <c r="K88" s="5">
        <f ca="1">IFERROR(__xludf.DUMMYFUNCTION("""COMPUTED_VALUE"""),44070)</f>
        <v>44070</v>
      </c>
      <c r="L88" s="5">
        <f ca="1">IFERROR(__xludf.DUMMYFUNCTION("""COMPUTED_VALUE"""),44250)</f>
        <v>44250</v>
      </c>
      <c r="M88" s="5">
        <f ca="1">IFERROR(__xludf.DUMMYFUNCTION("""COMPUTED_VALUE"""),44251)</f>
        <v>44251</v>
      </c>
      <c r="N88" s="3" t="str">
        <f ca="1">IFERROR(__xludf.DUMMYFUNCTION("""COMPUTED_VALUE"""),"Finalizado")</f>
        <v>Finalizado</v>
      </c>
      <c r="O88" s="5">
        <f ca="1">IFERROR(__xludf.DUMMYFUNCTION("""COMPUTED_VALUE"""),44981)</f>
        <v>44981</v>
      </c>
      <c r="P88" s="3" t="str">
        <f ca="1">IFERROR(__xludf.DUMMYFUNCTION("""COMPUTED_VALUE"""),"O processo durou 1912 dias entre a assinatura do despacho de autorização de abertura do PAD pelo Reitor e a assinatura do despacho de concordância/divergência pelo mesmo.")</f>
        <v>O processo durou 1912 dias entre a assinatura do despacho de autorização de abertura do PAD pelo Reitor e a assinatura do despacho de concordância/divergência pelo mesmo.</v>
      </c>
      <c r="Q88" s="5">
        <f ca="1">IFERROR(__xludf.DUMMYFUNCTION("""COMPUTED_VALUE"""),46077)</f>
        <v>46077</v>
      </c>
      <c r="R88" s="3" t="str">
        <f ca="1">IFERROR(__xludf.DUMMYFUNCTION("""COMPUTED_VALUE"""),"Alessandra Abelheira")</f>
        <v>Alessandra Abelheira</v>
      </c>
      <c r="S88" s="3" t="str">
        <f ca="1">IFERROR(__xludf.DUMMYFUNCTION("""COMPUTED_VALUE"""),"Débora")</f>
        <v>Débora</v>
      </c>
      <c r="T88" s="3" t="str">
        <f ca="1">IFERROR(__xludf.DUMMYFUNCTION("""COMPUTED_VALUE"""),"Ariane Serpa")</f>
        <v>Ariane Serpa</v>
      </c>
      <c r="U88" s="3" t="str">
        <f ca="1">IFERROR(__xludf.DUMMYFUNCTION("""COMPUTED_VALUE"""),"Karolynne Rocha")</f>
        <v>Karolynne Rocha</v>
      </c>
      <c r="V88" s="3" t="str">
        <f ca="1">IFERROR(__xludf.DUMMYFUNCTION("""COMPUTED_VALUE"""),"Não")</f>
        <v>Não</v>
      </c>
      <c r="W88" s="3" t="str">
        <f ca="1">IFERROR(__xludf.DUMMYFUNCTION("""COMPUTED_VALUE"""),"E-26/007/2841/2016")</f>
        <v>E-26/007/2841/2016</v>
      </c>
      <c r="X88" s="3" t="str">
        <f ca="1">IFERROR(__xludf.DUMMYFUNCTION("""COMPUTED_VALUE"""),"S-Resposta do Reitor/Anotado.")</f>
        <v>S-Resposta do Reitor/Anotado.</v>
      </c>
    </row>
    <row r="89" spans="1:24" x14ac:dyDescent="0.2">
      <c r="A89" s="3" t="str">
        <f ca="1">IFERROR(__xludf.DUMMYFUNCTION("""COMPUTED_VALUE"""),"345/2022")</f>
        <v>345/2022</v>
      </c>
      <c r="B89" s="3" t="str">
        <f ca="1">IFERROR(__xludf.DUMMYFUNCTION("""COMPUTED_VALUE"""),"SEI-260007/003032/2022")</f>
        <v>SEI-260007/003032/2022</v>
      </c>
      <c r="C89" s="3" t="str">
        <f ca="1">IFERROR(__xludf.DUMMYFUNCTION("""COMPUTED_VALUE"""),"Bruno Publiese Pereira, matrícula 40.122-4")</f>
        <v>Bruno Publiese Pereira, matrícula 40.122-4</v>
      </c>
      <c r="D89" s="3" t="str">
        <f ca="1">IFERROR(__xludf.DUMMYFUNCTION("""COMPUTED_VALUE"""),"Fraudes")</f>
        <v>Fraudes</v>
      </c>
      <c r="E89" s="3" t="str">
        <f ca="1">IFERROR(__xludf.DUMMYFUNCTION("""COMPUTED_VALUE"""),"Desvio de conduta, Fraudes")</f>
        <v>Desvio de conduta, Fraudes</v>
      </c>
      <c r="F89" s="3" t="str">
        <f ca="1">IFERROR(__xludf.DUMMYFUNCTION("""COMPUTED_VALUE"""),"Acumulação de cargos.")</f>
        <v>Acumulação de cargos.</v>
      </c>
      <c r="G89" s="3" t="str">
        <f ca="1">IFERROR(__xludf.DUMMYFUNCTION("""COMPUTED_VALUE"""),"Acumulação de cargos")</f>
        <v>Acumulação de cargos</v>
      </c>
      <c r="H89" s="3" t="str">
        <f ca="1">IFERROR(__xludf.DUMMYFUNCTION("""COMPUTED_VALUE"""),"Tríplice acumulação de cargos de 05/05/20 a 06/10/20. UERJ,Fundação Municipal de Saúde e UFRJ. Declarou apenas o cargo junto à UFRJ, omitindo o vínculo com a Fundação Saúde.Tomou posse durante a pandemia. Possível falsidade ideológica pq ao fazer a declar"&amp;"ação não informou o outro vínculo.")</f>
        <v>Tríplice acumulação de cargos de 05/05/20 a 06/10/20. UERJ,Fundação Municipal de Saúde e UFRJ. Declarou apenas o cargo junto à UFRJ, omitindo o vínculo com a Fundação Saúde.Tomou posse durante a pandemia. Possível falsidade ideológica pq ao fazer a declaração não informou o outro vínculo.</v>
      </c>
      <c r="I89" s="3"/>
      <c r="J89" s="5">
        <f ca="1">IFERROR(__xludf.DUMMYFUNCTION("""COMPUTED_VALUE"""),44564)</f>
        <v>44564</v>
      </c>
      <c r="K89" s="5">
        <f ca="1">IFERROR(__xludf.DUMMYFUNCTION("""COMPUTED_VALUE"""),44578)</f>
        <v>44578</v>
      </c>
      <c r="L89" s="5">
        <f ca="1">IFERROR(__xludf.DUMMYFUNCTION("""COMPUTED_VALUE"""),44758)</f>
        <v>44758</v>
      </c>
      <c r="M89" s="5">
        <f ca="1">IFERROR(__xludf.DUMMYFUNCTION("""COMPUTED_VALUE"""),44759)</f>
        <v>44759</v>
      </c>
      <c r="N89" s="3" t="str">
        <f ca="1">IFERROR(__xludf.DUMMYFUNCTION("""COMPUTED_VALUE"""),"Finalizado")</f>
        <v>Finalizado</v>
      </c>
      <c r="O89" s="5">
        <f ca="1">IFERROR(__xludf.DUMMYFUNCTION("""COMPUTED_VALUE"""),45490)</f>
        <v>45490</v>
      </c>
      <c r="P89" s="3" t="str">
        <f ca="1">IFERROR(__xludf.DUMMYFUNCTION("""COMPUTED_VALUE"""),"O processo durou 1562 dias entre a assinatura do despacho de autorização de abertura do PAD pelo Reitor e a assinatura do despacho de concordância/divergência pelo mesmo.")</f>
        <v>O processo durou 1562 dias entre a assinatura do despacho de autorização de abertura do PAD pelo Reitor e a assinatura do despacho de concordância/divergência pelo mesmo.</v>
      </c>
      <c r="Q89" s="5">
        <f ca="1">IFERROR(__xludf.DUMMYFUNCTION("""COMPUTED_VALUE"""),46585)</f>
        <v>46585</v>
      </c>
      <c r="R89" s="3" t="str">
        <f ca="1">IFERROR(__xludf.DUMMYFUNCTION("""COMPUTED_VALUE"""),"Alessandra Abelheira")</f>
        <v>Alessandra Abelheira</v>
      </c>
      <c r="S89" s="3" t="str">
        <f ca="1">IFERROR(__xludf.DUMMYFUNCTION("""COMPUTED_VALUE"""),"Patrícia")</f>
        <v>Patrícia</v>
      </c>
      <c r="T89" s="3" t="str">
        <f ca="1">IFERROR(__xludf.DUMMYFUNCTION("""COMPUTED_VALUE"""),"Karolynne Rocha")</f>
        <v>Karolynne Rocha</v>
      </c>
      <c r="U89" s="3" t="str">
        <f ca="1">IFERROR(__xludf.DUMMYFUNCTION("""COMPUTED_VALUE"""),"Ariane Serpa")</f>
        <v>Ariane Serpa</v>
      </c>
      <c r="V89" s="3" t="str">
        <f ca="1">IFERROR(__xludf.DUMMYFUNCTION("""COMPUTED_VALUE"""),"Não")</f>
        <v>Não</v>
      </c>
      <c r="W89" s="3" t="str">
        <f ca="1">IFERROR(__xludf.DUMMYFUNCTION("""COMPUTED_VALUE"""),"SEI-260007/001316/2020")</f>
        <v>SEI-260007/001316/2020</v>
      </c>
      <c r="X89" s="3" t="str">
        <f ca="1">IFERROR(__xludf.DUMMYFUNCTION("""COMPUTED_VALUE"""),"S-Resposta do Reitor/Anotado.")</f>
        <v>S-Resposta do Reitor/Anotado.</v>
      </c>
    </row>
    <row r="90" spans="1:24" x14ac:dyDescent="0.2">
      <c r="A90" s="3" t="str">
        <f ca="1">IFERROR(__xludf.DUMMYFUNCTION("""COMPUTED_VALUE"""),"408/2023")</f>
        <v>408/2023</v>
      </c>
      <c r="B90" s="3" t="str">
        <f ca="1">IFERROR(__xludf.DUMMYFUNCTION("""COMPUTED_VALUE"""),"SEI-260007/031460/2023")</f>
        <v>SEI-260007/031460/2023</v>
      </c>
      <c r="C90" s="3" t="str">
        <f ca="1">IFERROR(__xludf.DUMMYFUNCTION("""COMPUTED_VALUE"""),"Mateus Monteiro da Silva, matr.nº 36228-5.")</f>
        <v>Mateus Monteiro da Silva, matr.nº 36228-5.</v>
      </c>
      <c r="D90" s="3" t="str">
        <f ca="1">IFERROR(__xludf.DUMMYFUNCTION("""COMPUTED_VALUE"""),"Desvio de conduta")</f>
        <v>Desvio de conduta</v>
      </c>
      <c r="E90" s="3" t="str">
        <f ca="1">IFERROR(__xludf.DUMMYFUNCTION("""COMPUTED_VALUE"""),"Desvio de conduta")</f>
        <v>Desvio de conduta</v>
      </c>
      <c r="F90" s="3" t="str">
        <f ca="1">IFERROR(__xludf.DUMMYFUNCTION("""COMPUTED_VALUE"""),"Abandono de cargo/ Inassiduidade habitual.")</f>
        <v>Abandono de cargo/ Inassiduidade habitual.</v>
      </c>
      <c r="G90" s="3" t="str">
        <f ca="1">IFERROR(__xludf.DUMMYFUNCTION("""COMPUTED_VALUE"""),"Abandono de cargo/ Inassiduidade habitual")</f>
        <v>Abandono de cargo/ Inassiduidade habitual</v>
      </c>
      <c r="H90" s="3" t="str">
        <f ca="1">IFERROR(__xludf.DUMMYFUNCTION("""COMPUTED_VALUE"""),"Faltas injustificadas, com fulcro no inciso V do artigo 52 do Decreto Lei 220/75")</f>
        <v>Faltas injustificadas, com fulcro no inciso V do artigo 52 do Decreto Lei 220/75</v>
      </c>
      <c r="I90" s="3" t="str">
        <f ca="1">IFERROR(__xludf.DUMMYFUNCTION("""COMPUTED_VALUE"""),"Não")</f>
        <v>Não</v>
      </c>
      <c r="J90" s="5">
        <f ca="1">IFERROR(__xludf.DUMMYFUNCTION("""COMPUTED_VALUE"""),45089)</f>
        <v>45089</v>
      </c>
      <c r="K90" s="5">
        <f ca="1">IFERROR(__xludf.DUMMYFUNCTION("""COMPUTED_VALUE"""),45090)</f>
        <v>45090</v>
      </c>
      <c r="L90" s="5">
        <f ca="1">IFERROR(__xludf.DUMMYFUNCTION("""COMPUTED_VALUE"""),45270)</f>
        <v>45270</v>
      </c>
      <c r="M90" s="5">
        <f ca="1">IFERROR(__xludf.DUMMYFUNCTION("""COMPUTED_VALUE"""),45271)</f>
        <v>45271</v>
      </c>
      <c r="N90" s="3" t="str">
        <f ca="1">IFERROR(__xludf.DUMMYFUNCTION("""COMPUTED_VALUE"""),"Finalizado")</f>
        <v>Finalizado</v>
      </c>
      <c r="O90" s="5">
        <f ca="1">IFERROR(__xludf.DUMMYFUNCTION("""COMPUTED_VALUE"""),46002)</f>
        <v>46002</v>
      </c>
      <c r="P90" s="3" t="str">
        <f ca="1">IFERROR(__xludf.DUMMYFUNCTION("""COMPUTED_VALUE"""),"O processo durou 899 dias entre a assinatura do despacho de autorização de abertura do PAD pelo Reitor e a assinatura do despacho de concordância/divergência pelo mesmo.")</f>
        <v>O processo durou 899 dias entre a assinatura do despacho de autorização de abertura do PAD pelo Reitor e a assinatura do despacho de concordância/divergência pelo mesmo.</v>
      </c>
      <c r="Q90" s="5">
        <f ca="1">IFERROR(__xludf.DUMMYFUNCTION("""COMPUTED_VALUE"""),47098)</f>
        <v>47098</v>
      </c>
      <c r="R90" s="3" t="str">
        <f ca="1">IFERROR(__xludf.DUMMYFUNCTION("""COMPUTED_VALUE"""),"Alessandra Abelheira")</f>
        <v>Alessandra Abelheira</v>
      </c>
      <c r="S90" s="3" t="str">
        <f ca="1">IFERROR(__xludf.DUMMYFUNCTION("""COMPUTED_VALUE"""),"Patrícia")</f>
        <v>Patrícia</v>
      </c>
      <c r="T90" s="3" t="str">
        <f ca="1">IFERROR(__xludf.DUMMYFUNCTION("""COMPUTED_VALUE"""),"Jeanny Passigatte")</f>
        <v>Jeanny Passigatte</v>
      </c>
      <c r="U90" s="3" t="str">
        <f ca="1">IFERROR(__xludf.DUMMYFUNCTION("""COMPUTED_VALUE"""),"Karolynne Rocha")</f>
        <v>Karolynne Rocha</v>
      </c>
      <c r="V90" s="3" t="str">
        <f ca="1">IFERROR(__xludf.DUMMYFUNCTION("""COMPUTED_VALUE"""),"Alan Luis Nogueira Pinto")</f>
        <v>Alan Luis Nogueira Pinto</v>
      </c>
      <c r="W90" s="3" t="str">
        <f ca="1">IFERROR(__xludf.DUMMYFUNCTION("""COMPUTED_VALUE"""),"SEI-260007/050224/2022")</f>
        <v>SEI-260007/050224/2022</v>
      </c>
      <c r="X90" s="3" t="str">
        <f ca="1">IFERROR(__xludf.DUMMYFUNCTION("""COMPUTED_VALUE"""),"S-Resposta do Reitor/Anotado.")</f>
        <v>S-Resposta do Reitor/Anotado.</v>
      </c>
    </row>
    <row r="91" spans="1:24" x14ac:dyDescent="0.2">
      <c r="A91" s="3" t="str">
        <f ca="1">IFERROR(__xludf.DUMMYFUNCTION("""COMPUTED_VALUE"""),"358/2022")</f>
        <v>358/2022</v>
      </c>
      <c r="B91" s="3" t="str">
        <f ca="1">IFERROR(__xludf.DUMMYFUNCTION("""COMPUTED_VALUE"""),"SEI-260007/019171/2022")</f>
        <v>SEI-260007/019171/2022</v>
      </c>
      <c r="C91" s="3" t="str">
        <f ca="1">IFERROR(__xludf.DUMMYFUNCTION("""COMPUTED_VALUE"""),"Rodrigo Marreiro de Araújo, matr. 37563-4")</f>
        <v>Rodrigo Marreiro de Araújo, matr. 37563-4</v>
      </c>
      <c r="D91" s="3" t="str">
        <f ca="1">IFERROR(__xludf.DUMMYFUNCTION("""COMPUTED_VALUE"""),"Desvio de conduta")</f>
        <v>Desvio de conduta</v>
      </c>
      <c r="E91" s="3" t="str">
        <f ca="1">IFERROR(__xludf.DUMMYFUNCTION("""COMPUTED_VALUE"""),"Desvio de conduta")</f>
        <v>Desvio de conduta</v>
      </c>
      <c r="F91" s="3" t="str">
        <f ca="1">IFERROR(__xludf.DUMMYFUNCTION("""COMPUTED_VALUE"""),"Acumulação de cargos.")</f>
        <v>Acumulação de cargos.</v>
      </c>
      <c r="G91" s="3" t="str">
        <f ca="1">IFERROR(__xludf.DUMMYFUNCTION("""COMPUTED_VALUE"""),"Acumulação de cargos")</f>
        <v>Acumulação de cargos</v>
      </c>
      <c r="H91" s="3" t="str">
        <f ca="1">IFERROR(__xludf.DUMMYFUNCTION("""COMPUTED_VALUE"""),"Apuração suposta prática de irregularidade funcional no tocante à acumulação de vínculos públicos no período de 14/01/2018 a 21/03/2022, pelo servidor Rodrigo Marreiro de Araújo, ocupante do cargo de Técnico Universitário - Médio / Técnico em Enfermagem, "&amp;"matrícula nº 37.563-4.")</f>
        <v>Apuração suposta prática de irregularidade funcional no tocante à acumulação de vínculos públicos no período de 14/01/2018 a 21/03/2022, pelo servidor Rodrigo Marreiro de Araújo, ocupante do cargo de Técnico Universitário - Médio / Técnico em Enfermagem, matrícula nº 37.563-4.</v>
      </c>
      <c r="I91" s="3" t="str">
        <f ca="1">IFERROR(__xludf.DUMMYFUNCTION("""COMPUTED_VALUE"""),"Não")</f>
        <v>Não</v>
      </c>
      <c r="J91" s="5">
        <f ca="1">IFERROR(__xludf.DUMMYFUNCTION("""COMPUTED_VALUE"""),44662)</f>
        <v>44662</v>
      </c>
      <c r="K91" s="5">
        <f ca="1">IFERROR(__xludf.DUMMYFUNCTION("""COMPUTED_VALUE"""),44680)</f>
        <v>44680</v>
      </c>
      <c r="L91" s="5">
        <f ca="1">IFERROR(__xludf.DUMMYFUNCTION("""COMPUTED_VALUE"""),44860)</f>
        <v>44860</v>
      </c>
      <c r="M91" s="5">
        <f ca="1">IFERROR(__xludf.DUMMYFUNCTION("""COMPUTED_VALUE"""),44861)</f>
        <v>44861</v>
      </c>
      <c r="N91" s="3" t="str">
        <f ca="1">IFERROR(__xludf.DUMMYFUNCTION("""COMPUTED_VALUE"""),"Finalizado")</f>
        <v>Finalizado</v>
      </c>
      <c r="O91" s="5">
        <f ca="1">IFERROR(__xludf.DUMMYFUNCTION("""COMPUTED_VALUE"""),45592)</f>
        <v>45592</v>
      </c>
      <c r="P91" s="3" t="str">
        <f ca="1">IFERROR(__xludf.DUMMYFUNCTION("""COMPUTED_VALUE"""),"O processo durou 1306 dias entre a assinatura do despacho de autorização de abertura do PAD pelo Reitor e a assinatura do despacho de concordância/divergência pelo mesmo.")</f>
        <v>O processo durou 1306 dias entre a assinatura do despacho de autorização de abertura do PAD pelo Reitor e a assinatura do despacho de concordância/divergência pelo mesmo.</v>
      </c>
      <c r="Q91" s="5">
        <f ca="1">IFERROR(__xludf.DUMMYFUNCTION("""COMPUTED_VALUE"""),46687)</f>
        <v>46687</v>
      </c>
      <c r="R91" s="3" t="str">
        <f ca="1">IFERROR(__xludf.DUMMYFUNCTION("""COMPUTED_VALUE"""),"Alessandra Abelheira")</f>
        <v>Alessandra Abelheira</v>
      </c>
      <c r="S91" s="3" t="str">
        <f ca="1">IFERROR(__xludf.DUMMYFUNCTION("""COMPUTED_VALUE"""),"Isadora")</f>
        <v>Isadora</v>
      </c>
      <c r="T91" s="3" t="str">
        <f ca="1">IFERROR(__xludf.DUMMYFUNCTION("""COMPUTED_VALUE"""),"Marcelo Ferreira")</f>
        <v>Marcelo Ferreira</v>
      </c>
      <c r="U91" s="3" t="str">
        <f ca="1">IFERROR(__xludf.DUMMYFUNCTION("""COMPUTED_VALUE"""),"Thaís Muci")</f>
        <v>Thaís Muci</v>
      </c>
      <c r="V91" s="3" t="str">
        <f ca="1">IFERROR(__xludf.DUMMYFUNCTION("""COMPUTED_VALUE"""),"Não")</f>
        <v>Não</v>
      </c>
      <c r="W91" s="3" t="str">
        <f ca="1">IFERROR(__xludf.DUMMYFUNCTION("""COMPUTED_VALUE"""),"E-26/007/5120/2014")</f>
        <v>E-26/007/5120/2014</v>
      </c>
      <c r="X91" s="3" t="str">
        <f ca="1">IFERROR(__xludf.DUMMYFUNCTION("""COMPUTED_VALUE"""),"S-Resposta do Reitor/Anotado.")</f>
        <v>S-Resposta do Reitor/Anotado.</v>
      </c>
    </row>
    <row r="92" spans="1:24" x14ac:dyDescent="0.2">
      <c r="A92" s="3" t="str">
        <f ca="1">IFERROR(__xludf.DUMMYFUNCTION("""COMPUTED_VALUE"""),"352/2022")</f>
        <v>352/2022</v>
      </c>
      <c r="B92" s="3" t="str">
        <f ca="1">IFERROR(__xludf.DUMMYFUNCTION("""COMPUTED_VALUE"""),"SEI-260007/017689/2022")</f>
        <v>SEI-260007/017689/2022</v>
      </c>
      <c r="C92" s="3" t="str">
        <f ca="1">IFERROR(__xludf.DUMMYFUNCTION("""COMPUTED_VALUE"""),"Débora Lopes de Oliveira, matrícula 39.782-8.")</f>
        <v>Débora Lopes de Oliveira, matrícula 39.782-8.</v>
      </c>
      <c r="D92" s="3" t="str">
        <f ca="1">IFERROR(__xludf.DUMMYFUNCTION("""COMPUTED_VALUE"""),"Desvio de conduta")</f>
        <v>Desvio de conduta</v>
      </c>
      <c r="E92" s="3" t="str">
        <f ca="1">IFERROR(__xludf.DUMMYFUNCTION("""COMPUTED_VALUE"""),"Desvio de conduta")</f>
        <v>Desvio de conduta</v>
      </c>
      <c r="F92" s="3" t="str">
        <f ca="1">IFERROR(__xludf.DUMMYFUNCTION("""COMPUTED_VALUE"""),"Acumulação de cargos.")</f>
        <v>Acumulação de cargos.</v>
      </c>
      <c r="G92" s="3" t="str">
        <f ca="1">IFERROR(__xludf.DUMMYFUNCTION("""COMPUTED_VALUE"""),"Acumulação de cargos")</f>
        <v>Acumulação de cargos</v>
      </c>
      <c r="H92" s="3" t="str">
        <f ca="1">IFERROR(__xludf.DUMMYFUNCTION("""COMPUTED_VALUE"""),"Acumulação de terceiro vínculo no período de 11/07/2017 a 31/07/2018.")</f>
        <v>Acumulação de terceiro vínculo no período de 11/07/2017 a 31/07/2018.</v>
      </c>
      <c r="I92" s="3"/>
      <c r="J92" s="5">
        <f ca="1">IFERROR(__xludf.DUMMYFUNCTION("""COMPUTED_VALUE"""),44593)</f>
        <v>44593</v>
      </c>
      <c r="K92" s="5">
        <f ca="1">IFERROR(__xludf.DUMMYFUNCTION("""COMPUTED_VALUE"""),44606)</f>
        <v>44606</v>
      </c>
      <c r="L92" s="5">
        <f ca="1">IFERROR(__xludf.DUMMYFUNCTION("""COMPUTED_VALUE"""),44786)</f>
        <v>44786</v>
      </c>
      <c r="M92" s="5">
        <f ca="1">IFERROR(__xludf.DUMMYFUNCTION("""COMPUTED_VALUE"""),44787)</f>
        <v>44787</v>
      </c>
      <c r="N92" s="3" t="str">
        <f ca="1">IFERROR(__xludf.DUMMYFUNCTION("""COMPUTED_VALUE"""),"Finalizado")</f>
        <v>Finalizado</v>
      </c>
      <c r="O92" s="5">
        <f ca="1">IFERROR(__xludf.DUMMYFUNCTION("""COMPUTED_VALUE"""),45518)</f>
        <v>45518</v>
      </c>
      <c r="P92" s="3" t="str">
        <f ca="1">IFERROR(__xludf.DUMMYFUNCTION("""COMPUTED_VALUE"""),"O processo durou 1494 dias entre a assinatura do despacho de autorização de abertura do PAD pelo Reitor e a assinatura do despacho de concordância/divergência pelo mesmo.")</f>
        <v>O processo durou 1494 dias entre a assinatura do despacho de autorização de abertura do PAD pelo Reitor e a assinatura do despacho de concordância/divergência pelo mesmo.</v>
      </c>
      <c r="Q92" s="5">
        <f ca="1">IFERROR(__xludf.DUMMYFUNCTION("""COMPUTED_VALUE"""),46613)</f>
        <v>46613</v>
      </c>
      <c r="R92" s="3" t="str">
        <f ca="1">IFERROR(__xludf.DUMMYFUNCTION("""COMPUTED_VALUE"""),"Alessandra Abelheira")</f>
        <v>Alessandra Abelheira</v>
      </c>
      <c r="S92" s="3" t="str">
        <f ca="1">IFERROR(__xludf.DUMMYFUNCTION("""COMPUTED_VALUE"""),"Franciane")</f>
        <v>Franciane</v>
      </c>
      <c r="T92" s="3" t="str">
        <f ca="1">IFERROR(__xludf.DUMMYFUNCTION("""COMPUTED_VALUE"""),"Patrícia Glioche")</f>
        <v>Patrícia Glioche</v>
      </c>
      <c r="U92" s="3" t="str">
        <f ca="1">IFERROR(__xludf.DUMMYFUNCTION("""COMPUTED_VALUE"""),"Thaís Muci")</f>
        <v>Thaís Muci</v>
      </c>
      <c r="V92" s="3" t="str">
        <f ca="1">IFERROR(__xludf.DUMMYFUNCTION("""COMPUTED_VALUE"""),"Não")</f>
        <v>Não</v>
      </c>
      <c r="W92" s="3" t="str">
        <f ca="1">IFERROR(__xludf.DUMMYFUNCTION("""COMPUTED_VALUE"""),"E-26/007/3745/2018")</f>
        <v>E-26/007/3745/2018</v>
      </c>
      <c r="X92" s="3" t="str">
        <f ca="1">IFERROR(__xludf.DUMMYFUNCTION("""COMPUTED_VALUE"""),"S-Resposta do Reitor/Anotado.")</f>
        <v>S-Resposta do Reitor/Anotado.</v>
      </c>
    </row>
    <row r="93" spans="1:24" x14ac:dyDescent="0.2">
      <c r="A93" s="3" t="str">
        <f ca="1">IFERROR(__xludf.DUMMYFUNCTION("""COMPUTED_VALUE"""),"396/2023")</f>
        <v>396/2023</v>
      </c>
      <c r="B93" s="3" t="str">
        <f ca="1">IFERROR(__xludf.DUMMYFUNCTION("""COMPUTED_VALUE"""),"SEI-260007/017484/2023")</f>
        <v>SEI-260007/017484/2023</v>
      </c>
      <c r="C93" s="3" t="str">
        <f ca="1">IFERROR(__xludf.DUMMYFUNCTION("""COMPUTED_VALUE"""),"Edvania Soares da Silva, 34.046-3")</f>
        <v>Edvania Soares da Silva, 34.046-3</v>
      </c>
      <c r="D93" s="3" t="str">
        <f ca="1">IFERROR(__xludf.DUMMYFUNCTION("""COMPUTED_VALUE"""),"Conflito de interesses")</f>
        <v>Conflito de interesses</v>
      </c>
      <c r="E93" s="3" t="str">
        <f ca="1">IFERROR(__xludf.DUMMYFUNCTION("""COMPUTED_VALUE"""),"Conflito de interesses")</f>
        <v>Conflito de interesses</v>
      </c>
      <c r="F93" s="3" t="str">
        <f ca="1">IFERROR(__xludf.DUMMYFUNCTION("""COMPUTED_VALUE"""),"Outros.")</f>
        <v>Outros.</v>
      </c>
      <c r="G93" s="3" t="str">
        <f ca="1">IFERROR(__xludf.DUMMYFUNCTION("""COMPUTED_VALUE"""),"Outros")</f>
        <v>Outros</v>
      </c>
      <c r="H93" s="3" t="str">
        <f ca="1">IFERROR(__xludf.DUMMYFUNCTION("""COMPUTED_VALUE"""),"Participação como gerente/sócia na sociedade empresária PROMOLIFE CONSULTORIA EM SAÚDE DO TRABALHADOR LTDA.")</f>
        <v>Participação como gerente/sócia na sociedade empresária PROMOLIFE CONSULTORIA EM SAÚDE DO TRABALHADOR LTDA.</v>
      </c>
      <c r="I93" s="3"/>
      <c r="J93" s="5">
        <f ca="1">IFERROR(__xludf.DUMMYFUNCTION("""COMPUTED_VALUE"""),45018)</f>
        <v>45018</v>
      </c>
      <c r="K93" s="5">
        <f ca="1">IFERROR(__xludf.DUMMYFUNCTION("""COMPUTED_VALUE"""),45027)</f>
        <v>45027</v>
      </c>
      <c r="L93" s="5">
        <f ca="1">IFERROR(__xludf.DUMMYFUNCTION("""COMPUTED_VALUE"""),45207)</f>
        <v>45207</v>
      </c>
      <c r="M93" s="5">
        <f ca="1">IFERROR(__xludf.DUMMYFUNCTION("""COMPUTED_VALUE"""),45208)</f>
        <v>45208</v>
      </c>
      <c r="N93" s="3" t="str">
        <f ca="1">IFERROR(__xludf.DUMMYFUNCTION("""COMPUTED_VALUE"""),"Finalizado")</f>
        <v>Finalizado</v>
      </c>
      <c r="O93" s="5">
        <f ca="1">IFERROR(__xludf.DUMMYFUNCTION("""COMPUTED_VALUE"""),45939)</f>
        <v>45939</v>
      </c>
      <c r="P93" s="3" t="str">
        <f ca="1">IFERROR(__xludf.DUMMYFUNCTION("""COMPUTED_VALUE"""),"O processo durou 968 dias entre a assinatura do despacho de autorização de abertura do PAD pelo Reitor e a assinatura do despacho de concordância/divergência pelo mesmo.")</f>
        <v>O processo durou 968 dias entre a assinatura do despacho de autorização de abertura do PAD pelo Reitor e a assinatura do despacho de concordância/divergência pelo mesmo.</v>
      </c>
      <c r="Q93" s="5">
        <f ca="1">IFERROR(__xludf.DUMMYFUNCTION("""COMPUTED_VALUE"""),47035)</f>
        <v>47035</v>
      </c>
      <c r="R93" s="3" t="str">
        <f ca="1">IFERROR(__xludf.DUMMYFUNCTION("""COMPUTED_VALUE"""),"Marcelo Bento")</f>
        <v>Marcelo Bento</v>
      </c>
      <c r="S93" s="3" t="str">
        <f ca="1">IFERROR(__xludf.DUMMYFUNCTION("""COMPUTED_VALUE"""),"Micheline")</f>
        <v>Micheline</v>
      </c>
      <c r="T93" s="3" t="str">
        <f ca="1">IFERROR(__xludf.DUMMYFUNCTION("""COMPUTED_VALUE"""),"Débora Ribeiro")</f>
        <v>Débora Ribeiro</v>
      </c>
      <c r="U93" s="3" t="str">
        <f ca="1">IFERROR(__xludf.DUMMYFUNCTION("""COMPUTED_VALUE"""),"Jeanny Passigatte")</f>
        <v>Jeanny Passigatte</v>
      </c>
      <c r="V93" s="3"/>
      <c r="W93" s="3" t="str">
        <f ca="1">IFERROR(__xludf.DUMMYFUNCTION("""COMPUTED_VALUE"""),"SEI-260007/040252/2022")</f>
        <v>SEI-260007/040252/2022</v>
      </c>
      <c r="X93" s="3" t="str">
        <f ca="1">IFERROR(__xludf.DUMMYFUNCTION("""COMPUTED_VALUE"""),"S-Resposta do Reitor/Anotado.")</f>
        <v>S-Resposta do Reitor/Anotado.</v>
      </c>
    </row>
    <row r="94" spans="1:24" x14ac:dyDescent="0.2">
      <c r="A94" s="3" t="str">
        <f ca="1">IFERROR(__xludf.DUMMYFUNCTION("""COMPUTED_VALUE"""),"406/2023")</f>
        <v>406/2023</v>
      </c>
      <c r="B94" s="3" t="str">
        <f ca="1">IFERROR(__xludf.DUMMYFUNCTION("""COMPUTED_VALUE"""),"SEI-260007/030893/2023")</f>
        <v>SEI-260007/030893/2023</v>
      </c>
      <c r="C94" s="3" t="str">
        <f ca="1">IFERROR(__xludf.DUMMYFUNCTION("""COMPUTED_VALUE"""),"Marco Antônio Pinto Steimback, matrícula nº 31.293-4.")</f>
        <v>Marco Antônio Pinto Steimback, matrícula nº 31.293-4.</v>
      </c>
      <c r="D94" s="3" t="str">
        <f ca="1">IFERROR(__xludf.DUMMYFUNCTION("""COMPUTED_VALUE"""),"Desvio de conduta")</f>
        <v>Desvio de conduta</v>
      </c>
      <c r="E94" s="3" t="str">
        <f ca="1">IFERROR(__xludf.DUMMYFUNCTION("""COMPUTED_VALUE"""),"Desvio de conduta")</f>
        <v>Desvio de conduta</v>
      </c>
      <c r="F94" s="3" t="str">
        <f ca="1">IFERROR(__xludf.DUMMYFUNCTION("""COMPUTED_VALUE"""),"Outros.")</f>
        <v>Outros.</v>
      </c>
      <c r="G94" s="3" t="str">
        <f ca="1">IFERROR(__xludf.DUMMYFUNCTION("""COMPUTED_VALUE"""),"Outros")</f>
        <v>Outros</v>
      </c>
      <c r="H94" s="3" t="str">
        <f ca="1">IFERROR(__xludf.DUMMYFUNCTION("""COMPUTED_VALUE"""),"Possível participação em desvio de itens do Hospital Estadual Alberto Torres (HEAT)")</f>
        <v>Possível participação em desvio de itens do Hospital Estadual Alberto Torres (HEAT)</v>
      </c>
      <c r="I94" s="3"/>
      <c r="J94" s="9">
        <f ca="1">IFERROR(__xludf.DUMMYFUNCTION("""COMPUTED_VALUE"""),45055)</f>
        <v>45055</v>
      </c>
      <c r="K94" s="5">
        <f ca="1">IFERROR(__xludf.DUMMYFUNCTION("""COMPUTED_VALUE"""),45063)</f>
        <v>45063</v>
      </c>
      <c r="L94" s="5">
        <f ca="1">IFERROR(__xludf.DUMMYFUNCTION("""COMPUTED_VALUE"""),45243)</f>
        <v>45243</v>
      </c>
      <c r="M94" s="5">
        <f ca="1">IFERROR(__xludf.DUMMYFUNCTION("""COMPUTED_VALUE"""),45244)</f>
        <v>45244</v>
      </c>
      <c r="N94" s="3" t="str">
        <f ca="1">IFERROR(__xludf.DUMMYFUNCTION("""COMPUTED_VALUE"""),"Finalizado")</f>
        <v>Finalizado</v>
      </c>
      <c r="O94" s="5">
        <f ca="1">IFERROR(__xludf.DUMMYFUNCTION("""COMPUTED_VALUE"""),45975)</f>
        <v>45975</v>
      </c>
      <c r="P94" s="3" t="str">
        <f ca="1">IFERROR(__xludf.DUMMYFUNCTION("""COMPUTED_VALUE"""),"O processo durou 938 dias entre a assinatura do despacho de autorização de abertura do PAD pelo Reitor e a assinatura do despacho de concordância/divergência pelo mesmo.")</f>
        <v>O processo durou 938 dias entre a assinatura do despacho de autorização de abertura do PAD pelo Reitor e a assinatura do despacho de concordância/divergência pelo mesmo.</v>
      </c>
      <c r="Q94" s="5">
        <f ca="1">IFERROR(__xludf.DUMMYFUNCTION("""COMPUTED_VALUE"""),47071)</f>
        <v>47071</v>
      </c>
      <c r="R94" s="3" t="str">
        <f ca="1">IFERROR(__xludf.DUMMYFUNCTION("""COMPUTED_VALUE"""),"Marcelo Bento")</f>
        <v>Marcelo Bento</v>
      </c>
      <c r="S94" s="3" t="str">
        <f ca="1">IFERROR(__xludf.DUMMYFUNCTION("""COMPUTED_VALUE"""),"Patrícia")</f>
        <v>Patrícia</v>
      </c>
      <c r="T94" s="3" t="str">
        <f ca="1">IFERROR(__xludf.DUMMYFUNCTION("""COMPUTED_VALUE"""),"Débora Ribeiro")</f>
        <v>Débora Ribeiro</v>
      </c>
      <c r="U94" s="3" t="str">
        <f ca="1">IFERROR(__xludf.DUMMYFUNCTION("""COMPUTED_VALUE"""),"Jeanny Passigatte")</f>
        <v>Jeanny Passigatte</v>
      </c>
      <c r="V94" s="3" t="str">
        <f ca="1">IFERROR(__xludf.DUMMYFUNCTION("""COMPUTED_VALUE"""),"Não")</f>
        <v>Não</v>
      </c>
      <c r="W94" s="3" t="str">
        <f ca="1">IFERROR(__xludf.DUMMYFUNCTION("""COMPUTED_VALUE"""),"E-08/001/6305/2014")</f>
        <v>E-08/001/6305/2014</v>
      </c>
      <c r="X94" s="3" t="str">
        <f ca="1">IFERROR(__xludf.DUMMYFUNCTION("""COMPUTED_VALUE"""),"S-Resposta do Reitor/Anotado.")</f>
        <v>S-Resposta do Reitor/Anotado.</v>
      </c>
    </row>
    <row r="95" spans="1:24" x14ac:dyDescent="0.2">
      <c r="A95" s="3" t="str">
        <f ca="1">IFERROR(__xludf.DUMMYFUNCTION("""COMPUTED_VALUE"""),"415/2023")</f>
        <v>415/2023</v>
      </c>
      <c r="B95" s="3" t="str">
        <f ca="1">IFERROR(__xludf.DUMMYFUNCTION("""COMPUTED_VALUE"""),"SEI-260007/040724/2023")</f>
        <v>SEI-260007/040724/2023</v>
      </c>
      <c r="C95" s="3" t="str">
        <f ca="1">IFERROR(__xludf.DUMMYFUNCTION("""COMPUTED_VALUE"""),"Andréia de Arruda da Silva, mat. 37.619-4")</f>
        <v>Andréia de Arruda da Silva, mat. 37.619-4</v>
      </c>
      <c r="D95" s="3" t="str">
        <f ca="1">IFERROR(__xludf.DUMMYFUNCTION("""COMPUTED_VALUE"""),"Desvio de conduta")</f>
        <v>Desvio de conduta</v>
      </c>
      <c r="E95" s="3" t="str">
        <f ca="1">IFERROR(__xludf.DUMMYFUNCTION("""COMPUTED_VALUE"""),"Desvio de conduta")</f>
        <v>Desvio de conduta</v>
      </c>
      <c r="F95" s="3" t="str">
        <f ca="1">IFERROR(__xludf.DUMMYFUNCTION("""COMPUTED_VALUE"""),"Abandono de cargo/ Inassiduidade habitual.")</f>
        <v>Abandono de cargo/ Inassiduidade habitual.</v>
      </c>
      <c r="G95" s="3" t="str">
        <f ca="1">IFERROR(__xludf.DUMMYFUNCTION("""COMPUTED_VALUE"""),"Abandono de cargo/ Inassiduidade habitual")</f>
        <v>Abandono de cargo/ Inassiduidade habitual</v>
      </c>
      <c r="H95" s="3" t="str">
        <f ca="1">IFERROR(__xludf.DUMMYFUNCTION("""COMPUTED_VALUE"""),"Apuração de faltas injustificadas no período de 16/06/2022 a 28/02/2023.")</f>
        <v>Apuração de faltas injustificadas no período de 16/06/2022 a 28/02/2023.</v>
      </c>
      <c r="I95" s="3"/>
      <c r="J95" s="5">
        <f ca="1">IFERROR(__xludf.DUMMYFUNCTION("""COMPUTED_VALUE"""),45127)</f>
        <v>45127</v>
      </c>
      <c r="K95" s="5">
        <f ca="1">IFERROR(__xludf.DUMMYFUNCTION("""COMPUTED_VALUE"""),45131)</f>
        <v>45131</v>
      </c>
      <c r="L95" s="5">
        <f ca="1">IFERROR(__xludf.DUMMYFUNCTION("""COMPUTED_VALUE"""),45311)</f>
        <v>45311</v>
      </c>
      <c r="M95" s="5">
        <f ca="1">IFERROR(__xludf.DUMMYFUNCTION("""COMPUTED_VALUE"""),45312)</f>
        <v>45312</v>
      </c>
      <c r="N95" s="3" t="str">
        <f ca="1">IFERROR(__xludf.DUMMYFUNCTION("""COMPUTED_VALUE"""),"Finalizado")</f>
        <v>Finalizado</v>
      </c>
      <c r="O95" s="5">
        <f ca="1">IFERROR(__xludf.DUMMYFUNCTION("""COMPUTED_VALUE"""),46043)</f>
        <v>46043</v>
      </c>
      <c r="P95" s="3" t="str">
        <f ca="1">IFERROR(__xludf.DUMMYFUNCTION("""COMPUTED_VALUE"""),"O processo durou 946 dias entre a assinatura do despacho de autorização de abertura do PAD pelo Reitor e a assinatura do despacho de concordância/divergência pelo mesmo.")</f>
        <v>O processo durou 946 dias entre a assinatura do despacho de autorização de abertura do PAD pelo Reitor e a assinatura do despacho de concordância/divergência pelo mesmo.</v>
      </c>
      <c r="Q95" s="5">
        <f ca="1">IFERROR(__xludf.DUMMYFUNCTION("""COMPUTED_VALUE"""),47139)</f>
        <v>47139</v>
      </c>
      <c r="R95" s="3" t="str">
        <f ca="1">IFERROR(__xludf.DUMMYFUNCTION("""COMPUTED_VALUE"""),"Alessandra Abelheira")</f>
        <v>Alessandra Abelheira</v>
      </c>
      <c r="S95" s="3" t="str">
        <f ca="1">IFERROR(__xludf.DUMMYFUNCTION("""COMPUTED_VALUE"""),"Micheline")</f>
        <v>Micheline</v>
      </c>
      <c r="T95" s="3" t="str">
        <f ca="1">IFERROR(__xludf.DUMMYFUNCTION("""COMPUTED_VALUE"""),"Ariane Serpa")</f>
        <v>Ariane Serpa</v>
      </c>
      <c r="U95" s="3" t="str">
        <f ca="1">IFERROR(__xludf.DUMMYFUNCTION("""COMPUTED_VALUE"""),"Teresa Jardin")</f>
        <v>Teresa Jardin</v>
      </c>
      <c r="V95" s="3"/>
      <c r="W95" s="3" t="str">
        <f ca="1">IFERROR(__xludf.DUMMYFUNCTION("""COMPUTED_VALUE"""),"SEI-260007/033484/2022")</f>
        <v>SEI-260007/033484/2022</v>
      </c>
      <c r="X95" s="3" t="str">
        <f ca="1">IFERROR(__xludf.DUMMYFUNCTION("""COMPUTED_VALUE"""),"S-Resposta do Reitor/Anotado.")</f>
        <v>S-Resposta do Reitor/Anotado.</v>
      </c>
    </row>
    <row r="96" spans="1:24" x14ac:dyDescent="0.2">
      <c r="A96" s="3" t="str">
        <f ca="1">IFERROR(__xludf.DUMMYFUNCTION("""COMPUTED_VALUE"""),"480/2025")</f>
        <v>480/2025</v>
      </c>
      <c r="B96" s="3" t="str">
        <f ca="1">IFERROR(__xludf.DUMMYFUNCTION("""COMPUTED_VALUE"""),"SEI-260006/034086/2025")</f>
        <v>SEI-260006/034086/2025</v>
      </c>
      <c r="C96" s="3" t="str">
        <f ca="1">IFERROR(__xludf.DUMMYFUNCTION("""COMPUTED_VALUE"""),"Patricia Almeida da Conceição, matrícula: 356154 ")</f>
        <v xml:space="preserve">Patricia Almeida da Conceição, matrícula: 356154 </v>
      </c>
      <c r="D96" s="3" t="str">
        <f ca="1">IFERROR(__xludf.DUMMYFUNCTION("""COMPUTED_VALUE"""),"Desvio de conduta")</f>
        <v>Desvio de conduta</v>
      </c>
      <c r="E96" s="3"/>
      <c r="F96" s="3" t="str">
        <f ca="1">IFERROR(__xludf.DUMMYFUNCTION("""COMPUTED_VALUE"""),"Outros.")</f>
        <v>Outros.</v>
      </c>
      <c r="G96" s="3" t="str">
        <f ca="1">IFERROR(__xludf.DUMMYFUNCTION("""COMPUTED_VALUE"""),"indícios de infração aos deveres impostos  nos incisos III, IV, V, VII, VIII, do artigo 39; inciso I do artigo 50; inciso IV do artigo 52 do Decreto-Lei 220/75")</f>
        <v>indícios de infração aos deveres impostos  nos incisos III, IV, V, VII, VIII, do artigo 39; inciso I do artigo 50; inciso IV do artigo 52 do Decreto-Lei 220/75</v>
      </c>
      <c r="H96" s="3" t="str">
        <f ca="1">IFERROR(__xludf.DUMMYFUNCTION("""COMPUTED_VALUE"""),"(urbanidade; discrição, boa conduta, observância das normas legais e regulamentares, obediências às ordens superiores, exceto quando manifestamente ilegais; falta grave; ofensa física em serviço)")</f>
        <v>(urbanidade; discrição, boa conduta, observância das normas legais e regulamentares, obediências às ordens superiores, exceto quando manifestamente ilegais; falta grave; ofensa física em serviço)</v>
      </c>
      <c r="I96" s="3"/>
      <c r="J96" s="5">
        <f ca="1">IFERROR(__xludf.DUMMYFUNCTION("""COMPUTED_VALUE"""),45846)</f>
        <v>45846</v>
      </c>
      <c r="K96" s="5">
        <f ca="1">IFERROR(__xludf.DUMMYFUNCTION("""COMPUTED_VALUE"""),45880)</f>
        <v>45880</v>
      </c>
      <c r="L96" s="5">
        <f ca="1">IFERROR(__xludf.DUMMYFUNCTION("""COMPUTED_VALUE"""),46060)</f>
        <v>46060</v>
      </c>
      <c r="M96" s="5">
        <f ca="1">IFERROR(__xludf.DUMMYFUNCTION("""COMPUTED_VALUE"""),46061)</f>
        <v>46061</v>
      </c>
      <c r="N96" s="3" t="str">
        <f ca="1">IFERROR(__xludf.DUMMYFUNCTION("""COMPUTED_VALUE"""),"Finalizado")</f>
        <v>Finalizado</v>
      </c>
      <c r="O96" s="5">
        <f ca="1">IFERROR(__xludf.DUMMYFUNCTION("""COMPUTED_VALUE"""),46791)</f>
        <v>46791</v>
      </c>
      <c r="P96" s="3" t="str">
        <f ca="1">IFERROR(__xludf.DUMMYFUNCTION("""COMPUTED_VALUE"""),"O processo durou 219 dias entre a assinatura do despacho de autorização de abertura do PAD pelo Reitor e a assinatura do despacho de concordância/divergência pelo mesmo.")</f>
        <v>O processo durou 219 dias entre a assinatura do despacho de autorização de abertura do PAD pelo Reitor e a assinatura do despacho de concordância/divergência pelo mesmo.</v>
      </c>
      <c r="Q96" s="5">
        <f ca="1">IFERROR(__xludf.DUMMYFUNCTION("""COMPUTED_VALUE"""),47887)</f>
        <v>47887</v>
      </c>
      <c r="R96" s="3" t="str">
        <f ca="1">IFERROR(__xludf.DUMMYFUNCTION("""COMPUTED_VALUE"""),"Alessandra Abelheira")</f>
        <v>Alessandra Abelheira</v>
      </c>
      <c r="S96" s="3" t="str">
        <f ca="1">IFERROR(__xludf.DUMMYFUNCTION("""COMPUTED_VALUE"""),"Débora")</f>
        <v>Débora</v>
      </c>
      <c r="T96" s="3" t="str">
        <f ca="1">IFERROR(__xludf.DUMMYFUNCTION("""COMPUTED_VALUE"""),"Thiago Rocha")</f>
        <v>Thiago Rocha</v>
      </c>
      <c r="U96" s="3" t="str">
        <f ca="1">IFERROR(__xludf.DUMMYFUNCTION("""COMPUTED_VALUE"""),"Ariane Serpa")</f>
        <v>Ariane Serpa</v>
      </c>
      <c r="V96" s="3" t="str">
        <f ca="1">IFERROR(__xludf.DUMMYFUNCTION("""COMPUTED_VALUE"""),"Não")</f>
        <v>Não</v>
      </c>
      <c r="W96" s="3" t="str">
        <f ca="1">IFERROR(__xludf.DUMMYFUNCTION("""COMPUTED_VALUE"""),"SEI-260006/028548/2024")</f>
        <v>SEI-260006/028548/2024</v>
      </c>
      <c r="X96" s="3" t="str">
        <f ca="1">IFERROR(__xludf.DUMMYFUNCTION("""COMPUTED_VALUE"""),"S-Resposta do Reitor/Anotado.")</f>
        <v>S-Resposta do Reitor/Anotado.</v>
      </c>
    </row>
    <row r="97" spans="1:24" x14ac:dyDescent="0.2">
      <c r="A97" s="3" t="str">
        <f ca="1">IFERROR(__xludf.DUMMYFUNCTION("""COMPUTED_VALUE"""),"273/2017")</f>
        <v>273/2017</v>
      </c>
      <c r="B97" s="3" t="str">
        <f ca="1">IFERROR(__xludf.DUMMYFUNCTION("""COMPUTED_VALUE"""),"E-26/007/12004/2015")</f>
        <v>E-26/007/12004/2015</v>
      </c>
      <c r="C97" s="3" t="str">
        <f ca="1">IFERROR(__xludf.DUMMYFUNCTION("""COMPUTED_VALUE"""),"Joel Luiz de Oliveira, matr. 31883-2")</f>
        <v>Joel Luiz de Oliveira, matr. 31883-2</v>
      </c>
      <c r="D97" s="3" t="str">
        <f ca="1">IFERROR(__xludf.DUMMYFUNCTION("""COMPUTED_VALUE"""),"Desvio de conduta")</f>
        <v>Desvio de conduta</v>
      </c>
      <c r="E97" s="3" t="str">
        <f ca="1">IFERROR(__xludf.DUMMYFUNCTION("""COMPUTED_VALUE"""),"Falta funcional")</f>
        <v>Falta funcional</v>
      </c>
      <c r="F97" s="3" t="str">
        <f ca="1">IFERROR(__xludf.DUMMYFUNCTION("""COMPUTED_VALUE"""),"Abandono de cargo/ Inassiduidade habitual.")</f>
        <v>Abandono de cargo/ Inassiduidade habitual.</v>
      </c>
      <c r="G97" s="3" t="str">
        <f ca="1">IFERROR(__xludf.DUMMYFUNCTION("""COMPUTED_VALUE"""),"Abandono de cargo/ Inassiduidade habitual")</f>
        <v>Abandono de cargo/ Inassiduidade habitual</v>
      </c>
      <c r="H97" s="3" t="str">
        <f ca="1">IFERROR(__xludf.DUMMYFUNCTION("""COMPUTED_VALUE"""),"Apuração de faltas interpoladas superior a 20 dias")</f>
        <v>Apuração de faltas interpoladas superior a 20 dias</v>
      </c>
      <c r="I97" s="3" t="str">
        <f ca="1">IFERROR(__xludf.DUMMYFUNCTION("""COMPUTED_VALUE"""),"Não")</f>
        <v>Não</v>
      </c>
      <c r="J97" s="5">
        <f ca="1">IFERROR(__xludf.DUMMYFUNCTION("""COMPUTED_VALUE"""),43005)</f>
        <v>43005</v>
      </c>
      <c r="K97" s="5">
        <f ca="1">IFERROR(__xludf.DUMMYFUNCTION("""COMPUTED_VALUE"""),43013)</f>
        <v>43013</v>
      </c>
      <c r="L97" s="5">
        <f ca="1">IFERROR(__xludf.DUMMYFUNCTION("""COMPUTED_VALUE"""),43193)</f>
        <v>43193</v>
      </c>
      <c r="M97" s="5">
        <f ca="1">IFERROR(__xludf.DUMMYFUNCTION("""COMPUTED_VALUE"""),43194)</f>
        <v>43194</v>
      </c>
      <c r="N97" s="3" t="str">
        <f ca="1">IFERROR(__xludf.DUMMYFUNCTION("""COMPUTED_VALUE"""),"Finalizado")</f>
        <v>Finalizado</v>
      </c>
      <c r="O97" s="5">
        <f ca="1">IFERROR(__xludf.DUMMYFUNCTION("""COMPUTED_VALUE"""),43925)</f>
        <v>43925</v>
      </c>
      <c r="P97" s="3" t="str">
        <f ca="1">IFERROR(__xludf.DUMMYFUNCTION("""COMPUTED_VALUE"""),"O processo durou 3068 dias entre a assinatura do despacho de autorização de abertura do PAD pelo Reitor e a assinatura do despacho de concordância/divergência pelo mesmo.")</f>
        <v>O processo durou 3068 dias entre a assinatura do despacho de autorização de abertura do PAD pelo Reitor e a assinatura do despacho de concordância/divergência pelo mesmo.</v>
      </c>
      <c r="Q97" s="5">
        <f ca="1">IFERROR(__xludf.DUMMYFUNCTION("""COMPUTED_VALUE"""),45020)</f>
        <v>45020</v>
      </c>
      <c r="R97" s="3" t="str">
        <f ca="1">IFERROR(__xludf.DUMMYFUNCTION("""COMPUTED_VALUE"""),"Alessandra Abelheira")</f>
        <v>Alessandra Abelheira</v>
      </c>
      <c r="S97" s="3" t="str">
        <f ca="1">IFERROR(__xludf.DUMMYFUNCTION("""COMPUTED_VALUE"""),"Isadora")</f>
        <v>Isadora</v>
      </c>
      <c r="T97" s="3" t="str">
        <f ca="1">IFERROR(__xludf.DUMMYFUNCTION("""COMPUTED_VALUE"""),"Ariane Serpa")</f>
        <v>Ariane Serpa</v>
      </c>
      <c r="U97" s="3" t="str">
        <f ca="1">IFERROR(__xludf.DUMMYFUNCTION("""COMPUTED_VALUE"""),"Teresa Jardin")</f>
        <v>Teresa Jardin</v>
      </c>
      <c r="V97" s="3" t="str">
        <f ca="1">IFERROR(__xludf.DUMMYFUNCTION("""COMPUTED_VALUE"""),"Jair Eduardo Salim Magluf Veras")</f>
        <v>Jair Eduardo Salim Magluf Veras</v>
      </c>
      <c r="W97" s="3" t="str">
        <f ca="1">IFERROR(__xludf.DUMMYFUNCTION("""COMPUTED_VALUE"""),"E-26/007/12004/2015
E-26/007/101614/2018
(anexado por se tratar do mesmo assunto)")</f>
        <v>E-26/007/12004/2015
E-26/007/101614/2018
(anexado por se tratar do mesmo assunto)</v>
      </c>
      <c r="X97" s="3" t="str">
        <f ca="1">IFERROR(__xludf.DUMMYFUNCTION("""COMPUTED_VALUE"""),"S-Resposta do Reitor/Anotado.")</f>
        <v>S-Resposta do Reitor/Anotado.</v>
      </c>
    </row>
    <row r="98" spans="1:24" x14ac:dyDescent="0.2">
      <c r="A98" s="3" t="str">
        <f ca="1">IFERROR(__xludf.DUMMYFUNCTION("""COMPUTED_VALUE"""),"323/2021")</f>
        <v>323/2021</v>
      </c>
      <c r="B98" s="3" t="str">
        <f ca="1">IFERROR(__xludf.DUMMYFUNCTION("""COMPUTED_VALUE"""),"SEI-260007/001223/2021")</f>
        <v>SEI-260007/001223/2021</v>
      </c>
      <c r="C98" s="3" t="str">
        <f ca="1">IFERROR(__xludf.DUMMYFUNCTION("""COMPUTED_VALUE"""),"Sérgio Gonçalves de Sousa, 38.470-1")</f>
        <v>Sérgio Gonçalves de Sousa, 38.470-1</v>
      </c>
      <c r="D98" s="3" t="str">
        <f ca="1">IFERROR(__xludf.DUMMYFUNCTION("""COMPUTED_VALUE"""),"Desvio de conduta")</f>
        <v>Desvio de conduta</v>
      </c>
      <c r="E98" s="3" t="str">
        <f ca="1">IFERROR(__xludf.DUMMYFUNCTION("""COMPUTED_VALUE"""),"Desvio de conduta")</f>
        <v>Desvio de conduta</v>
      </c>
      <c r="F98" s="3" t="str">
        <f ca="1">IFERROR(__xludf.DUMMYFUNCTION("""COMPUTED_VALUE"""),"Acumulação de cargos.")</f>
        <v>Acumulação de cargos.</v>
      </c>
      <c r="G98" s="3" t="str">
        <f ca="1">IFERROR(__xludf.DUMMYFUNCTION("""COMPUTED_VALUE"""),"Acumulação de cargos")</f>
        <v>Acumulação de cargos</v>
      </c>
      <c r="H98" s="3" t="str">
        <f ca="1">IFERROR(__xludf.DUMMYFUNCTION("""COMPUTED_VALUE"""),"Acumulação tríplice de Cargos de servidor ocupante de cargo de Professor Assistente, com cargos de professor na Prefeitura de Itaboraí e na Universidade Federal do Rio de Janeiro.  ")</f>
        <v xml:space="preserve">Acumulação tríplice de Cargos de servidor ocupante de cargo de Professor Assistente, com cargos de professor na Prefeitura de Itaboraí e na Universidade Federal do Rio de Janeiro.  </v>
      </c>
      <c r="I98" s="3"/>
      <c r="J98" s="7">
        <f ca="1">IFERROR(__xludf.DUMMYFUNCTION("""COMPUTED_VALUE"""),44151)</f>
        <v>44151</v>
      </c>
      <c r="K98" s="7">
        <f ca="1">IFERROR(__xludf.DUMMYFUNCTION("""COMPUTED_VALUE"""),44158)</f>
        <v>44158</v>
      </c>
      <c r="L98" s="5">
        <f ca="1">IFERROR(__xludf.DUMMYFUNCTION("""COMPUTED_VALUE"""),44338)</f>
        <v>44338</v>
      </c>
      <c r="M98" s="5">
        <f ca="1">IFERROR(__xludf.DUMMYFUNCTION("""COMPUTED_VALUE"""),44339)</f>
        <v>44339</v>
      </c>
      <c r="N98" s="3" t="str">
        <f ca="1">IFERROR(__xludf.DUMMYFUNCTION("""COMPUTED_VALUE"""),"Finalizado")</f>
        <v>Finalizado</v>
      </c>
      <c r="O98" s="5">
        <f ca="1">IFERROR(__xludf.DUMMYFUNCTION("""COMPUTED_VALUE"""),45069)</f>
        <v>45069</v>
      </c>
      <c r="P98" s="3" t="str">
        <f ca="1">IFERROR(__xludf.DUMMYFUNCTION("""COMPUTED_VALUE"""),"O processo durou 1914 dias entre a assinatura do despacho de autorização de abertura do PAD pelo Reitor e a assinatura do despacho de concordância/divergência pelo mesmo.")</f>
        <v>O processo durou 1914 dias entre a assinatura do despacho de autorização de abertura do PAD pelo Reitor e a assinatura do despacho de concordância/divergência pelo mesmo.</v>
      </c>
      <c r="Q98" s="5">
        <f ca="1">IFERROR(__xludf.DUMMYFUNCTION("""COMPUTED_VALUE"""),46165)</f>
        <v>46165</v>
      </c>
      <c r="R98" s="3" t="str">
        <f ca="1">IFERROR(__xludf.DUMMYFUNCTION("""COMPUTED_VALUE"""),"Leonardo Rocha")</f>
        <v>Leonardo Rocha</v>
      </c>
      <c r="S98" s="3" t="str">
        <f ca="1">IFERROR(__xludf.DUMMYFUNCTION("""COMPUTED_VALUE"""),"Franciane")</f>
        <v>Franciane</v>
      </c>
      <c r="T98" s="3" t="str">
        <f ca="1">IFERROR(__xludf.DUMMYFUNCTION("""COMPUTED_VALUE"""),"Patrícia Glioche")</f>
        <v>Patrícia Glioche</v>
      </c>
      <c r="U98" s="3" t="str">
        <f ca="1">IFERROR(__xludf.DUMMYFUNCTION("""COMPUTED_VALUE"""),"Karolynne Rocha")</f>
        <v>Karolynne Rocha</v>
      </c>
      <c r="V98" s="3" t="str">
        <f ca="1">IFERROR(__xludf.DUMMYFUNCTION("""COMPUTED_VALUE"""),"Não")</f>
        <v>Não</v>
      </c>
      <c r="W98" s="3" t="str">
        <f ca="1">IFERROR(__xludf.DUMMYFUNCTION("""COMPUTED_VALUE"""),"E-26/007/9433/2015")</f>
        <v>E-26/007/9433/2015</v>
      </c>
      <c r="X98" s="3" t="str">
        <f ca="1">IFERROR(__xludf.DUMMYFUNCTION("""COMPUTED_VALUE"""),"S-Resposta do Reitor/Anotado.")</f>
        <v>S-Resposta do Reitor/Anotado.</v>
      </c>
    </row>
    <row r="99" spans="1:24" x14ac:dyDescent="0.2">
      <c r="A99" s="3" t="str">
        <f ca="1">IFERROR(__xludf.DUMMYFUNCTION("""COMPUTED_VALUE"""),"336/2021")</f>
        <v>336/2021</v>
      </c>
      <c r="B99" s="3" t="str">
        <f ca="1">IFERROR(__xludf.DUMMYFUNCTION("""COMPUTED_VALUE"""),"SEI-260007/022982/2021")</f>
        <v>SEI-260007/022982/2021</v>
      </c>
      <c r="C99" s="3" t="str">
        <f ca="1">IFERROR(__xludf.DUMMYFUNCTION("""COMPUTED_VALUE"""),"Erika Ferraz de Gouvea, matrícula nº. 34486-1, ID funcional 32357273")</f>
        <v>Erika Ferraz de Gouvea, matrícula nº. 34486-1, ID funcional 32357273</v>
      </c>
      <c r="D99" s="3" t="str">
        <f ca="1">IFERROR(__xludf.DUMMYFUNCTION("""COMPUTED_VALUE"""),"Desvio de conduta")</f>
        <v>Desvio de conduta</v>
      </c>
      <c r="E99" s="3" t="str">
        <f ca="1">IFERROR(__xludf.DUMMYFUNCTION("""COMPUTED_VALUE"""),"Desvio de conduta")</f>
        <v>Desvio de conduta</v>
      </c>
      <c r="F99" s="3" t="str">
        <f ca="1">IFERROR(__xludf.DUMMYFUNCTION("""COMPUTED_VALUE"""),"Abandono de cargo/ Inassiduidade habitual.")</f>
        <v>Abandono de cargo/ Inassiduidade habitual.</v>
      </c>
      <c r="G99" s="3" t="str">
        <f ca="1">IFERROR(__xludf.DUMMYFUNCTION("""COMPUTED_VALUE"""),"Abandono de cargo/ Inassiduidade habitual")</f>
        <v>Abandono de cargo/ Inassiduidade habitual</v>
      </c>
      <c r="H99" s="3" t="str">
        <f ca="1">IFERROR(__xludf.DUMMYFUNCTION("""COMPUTED_VALUE"""),"Apuração de faltas sucessivas superior a 10 dias. Faltas injustificadas a partir de 01/04/2020.")</f>
        <v>Apuração de faltas sucessivas superior a 10 dias. Faltas injustificadas a partir de 01/04/2020.</v>
      </c>
      <c r="I99" s="3"/>
      <c r="J99" s="5">
        <f ca="1">IFERROR(__xludf.DUMMYFUNCTION("""COMPUTED_VALUE"""),44454)</f>
        <v>44454</v>
      </c>
      <c r="K99" s="5">
        <f ca="1">IFERROR(__xludf.DUMMYFUNCTION("""COMPUTED_VALUE"""),44460)</f>
        <v>44460</v>
      </c>
      <c r="L99" s="5">
        <f ca="1">IFERROR(__xludf.DUMMYFUNCTION("""COMPUTED_VALUE"""),44640)</f>
        <v>44640</v>
      </c>
      <c r="M99" s="5">
        <f ca="1">IFERROR(__xludf.DUMMYFUNCTION("""COMPUTED_VALUE"""),44641)</f>
        <v>44641</v>
      </c>
      <c r="N99" s="3" t="str">
        <f ca="1">IFERROR(__xludf.DUMMYFUNCTION("""COMPUTED_VALUE"""),"Prazo expirado")</f>
        <v>Prazo expirado</v>
      </c>
      <c r="O99" s="5">
        <f ca="1">IFERROR(__xludf.DUMMYFUNCTION("""COMPUTED_VALUE"""),45372)</f>
        <v>45372</v>
      </c>
      <c r="P99" s="3">
        <f ca="1">IFERROR(__xludf.DUMMYFUNCTION("""COMPUTED_VALUE"""),184)</f>
        <v>184</v>
      </c>
      <c r="Q99" s="5">
        <f ca="1">IFERROR(__xludf.DUMMYFUNCTION("""COMPUTED_VALUE"""),46467)</f>
        <v>46467</v>
      </c>
      <c r="R99" s="3" t="str">
        <f ca="1">IFERROR(__xludf.DUMMYFUNCTION("""COMPUTED_VALUE"""),"Alessandra Abelheira")</f>
        <v>Alessandra Abelheira</v>
      </c>
      <c r="S99" s="3" t="str">
        <f ca="1">IFERROR(__xludf.DUMMYFUNCTION("""COMPUTED_VALUE"""),"Micheline")</f>
        <v>Micheline</v>
      </c>
      <c r="T99" s="3" t="str">
        <f ca="1">IFERROR(__xludf.DUMMYFUNCTION("""COMPUTED_VALUE"""),"Patrícia Glioche")</f>
        <v>Patrícia Glioche</v>
      </c>
      <c r="U99" s="3" t="str">
        <f ca="1">IFERROR(__xludf.DUMMYFUNCTION("""COMPUTED_VALUE"""),"Teresa Jardin")</f>
        <v>Teresa Jardin</v>
      </c>
      <c r="V99" s="3" t="str">
        <f ca="1">IFERROR(__xludf.DUMMYFUNCTION("""COMPUTED_VALUE"""),"Não")</f>
        <v>Não</v>
      </c>
      <c r="W99" s="3" t="str">
        <f ca="1">IFERROR(__xludf.DUMMYFUNCTION("""COMPUTED_VALUE"""),"SEI-260007/001201/2020")</f>
        <v>SEI-260007/001201/2020</v>
      </c>
      <c r="X99" s="3" t="str">
        <f ca="1">IFERROR(__xludf.DUMMYFUNCTION("""COMPUTED_VALUE"""),"5 -Envio à PG/ Encerrado.")</f>
        <v>5 -Envio à PG/ Encerrado.</v>
      </c>
    </row>
    <row r="100" spans="1:24" x14ac:dyDescent="0.2">
      <c r="A100" s="3" t="str">
        <f ca="1">IFERROR(__xludf.DUMMYFUNCTION("""COMPUTED_VALUE"""),"338/2021")</f>
        <v>338/2021</v>
      </c>
      <c r="B100" s="3" t="str">
        <f ca="1">IFERROR(__xludf.DUMMYFUNCTION("""COMPUTED_VALUE"""),"SEI-260007/029761/2021")</f>
        <v>SEI-260007/029761/2021</v>
      </c>
      <c r="C100" s="3" t="str">
        <f ca="1">IFERROR(__xludf.DUMMYFUNCTION("""COMPUTED_VALUE"""),"Elizabeth de Souza Gomes, matrícula nº 37.741-6")</f>
        <v>Elizabeth de Souza Gomes, matrícula nº 37.741-6</v>
      </c>
      <c r="D100" s="3" t="str">
        <f ca="1">IFERROR(__xludf.DUMMYFUNCTION("""COMPUTED_VALUE"""),"Desvio de conduta")</f>
        <v>Desvio de conduta</v>
      </c>
      <c r="E100" s="3" t="str">
        <f ca="1">IFERROR(__xludf.DUMMYFUNCTION("""COMPUTED_VALUE"""),"Desvio de conduta")</f>
        <v>Desvio de conduta</v>
      </c>
      <c r="F100" s="3" t="str">
        <f ca="1">IFERROR(__xludf.DUMMYFUNCTION("""COMPUTED_VALUE"""),"Abandono de cargo/ Inassiduidade habitual.")</f>
        <v>Abandono de cargo/ Inassiduidade habitual.</v>
      </c>
      <c r="G100" s="3" t="str">
        <f ca="1">IFERROR(__xludf.DUMMYFUNCTION("""COMPUTED_VALUE"""),"Abandono de cargo/ Inassiduidade habitual")</f>
        <v>Abandono de cargo/ Inassiduidade habitual</v>
      </c>
      <c r="H100" s="3" t="str">
        <f ca="1">IFERROR(__xludf.DUMMYFUNCTION("""COMPUTED_VALUE"""),"A servidora apresentou faltas  nos dias 15/08/2019, 19/08/2019, 21/08/2019 e 23/08/2019, e no período de 16/08/2020 a 31/08/2020. Está em gozo de licença médica por um período prolongado antes e depois das faltas. Não realizou a perícia determinada pela C"&amp;"INQA.")</f>
        <v>A servidora apresentou faltas  nos dias 15/08/2019, 19/08/2019, 21/08/2019 e 23/08/2019, e no período de 16/08/2020 a 31/08/2020. Está em gozo de licença médica por um período prolongado antes e depois das faltas. Não realizou a perícia determinada pela CINQA.</v>
      </c>
      <c r="I100" s="3"/>
      <c r="J100" s="5">
        <f ca="1">IFERROR(__xludf.DUMMYFUNCTION("""COMPUTED_VALUE"""),44501)</f>
        <v>44501</v>
      </c>
      <c r="K100" s="5">
        <f ca="1">IFERROR(__xludf.DUMMYFUNCTION("""COMPUTED_VALUE"""),44509)</f>
        <v>44509</v>
      </c>
      <c r="L100" s="5">
        <f ca="1">IFERROR(__xludf.DUMMYFUNCTION("""COMPUTED_VALUE"""),44689)</f>
        <v>44689</v>
      </c>
      <c r="M100" s="5">
        <f ca="1">IFERROR(__xludf.DUMMYFUNCTION("""COMPUTED_VALUE"""),44690)</f>
        <v>44690</v>
      </c>
      <c r="N100" s="3" t="str">
        <f ca="1">IFERROR(__xludf.DUMMYFUNCTION("""COMPUTED_VALUE"""),"Finalizado")</f>
        <v>Finalizado</v>
      </c>
      <c r="O100" s="5">
        <f ca="1">IFERROR(__xludf.DUMMYFUNCTION("""COMPUTED_VALUE"""),45421)</f>
        <v>45421</v>
      </c>
      <c r="P100" s="3" t="str">
        <f ca="1">IFERROR(__xludf.DUMMYFUNCTION("""COMPUTED_VALUE"""),"O processo durou 1529 dias entre a assinatura do despacho de autorização de abertura do PAD pelo Reitor e a assinatura do despacho de concordância/divergência pelo mesmo.")</f>
        <v>O processo durou 1529 dias entre a assinatura do despacho de autorização de abertura do PAD pelo Reitor e a assinatura do despacho de concordância/divergência pelo mesmo.</v>
      </c>
      <c r="Q100" s="5">
        <f ca="1">IFERROR(__xludf.DUMMYFUNCTION("""COMPUTED_VALUE"""),46516)</f>
        <v>46516</v>
      </c>
      <c r="R100" s="3" t="str">
        <f ca="1">IFERROR(__xludf.DUMMYFUNCTION("""COMPUTED_VALUE"""),"Alessandra Abelheira")</f>
        <v>Alessandra Abelheira</v>
      </c>
      <c r="S100" s="3" t="str">
        <f ca="1">IFERROR(__xludf.DUMMYFUNCTION("""COMPUTED_VALUE"""),"Franciane")</f>
        <v>Franciane</v>
      </c>
      <c r="T100" s="3" t="str">
        <f ca="1">IFERROR(__xludf.DUMMYFUNCTION("""COMPUTED_VALUE"""),"Ariane Serpa")</f>
        <v>Ariane Serpa</v>
      </c>
      <c r="U100" s="3" t="str">
        <f ca="1">IFERROR(__xludf.DUMMYFUNCTION("""COMPUTED_VALUE"""),"Teresa Jardin")</f>
        <v>Teresa Jardin</v>
      </c>
      <c r="V100" s="3" t="str">
        <f ca="1">IFERROR(__xludf.DUMMYFUNCTION("""COMPUTED_VALUE"""),"Não")</f>
        <v>Não</v>
      </c>
      <c r="W100" s="3" t="str">
        <f ca="1">IFERROR(__xludf.DUMMYFUNCTION("""COMPUTED_VALUE"""),"SEI-260007/006154/2020")</f>
        <v>SEI-260007/006154/2020</v>
      </c>
      <c r="X100" s="3" t="str">
        <f ca="1">IFERROR(__xludf.DUMMYFUNCTION("""COMPUTED_VALUE"""),"S-Resposta do Reitor/Anotado.")</f>
        <v>S-Resposta do Reitor/Anotado.</v>
      </c>
    </row>
    <row r="101" spans="1:24" x14ac:dyDescent="0.2">
      <c r="A101" s="3" t="str">
        <f ca="1">IFERROR(__xludf.DUMMYFUNCTION("""COMPUTED_VALUE"""),"395/2023")</f>
        <v>395/2023</v>
      </c>
      <c r="B101" s="3" t="str">
        <f ca="1">IFERROR(__xludf.DUMMYFUNCTION("""COMPUTED_VALUE"""),"SEI-260007/016861/2023")</f>
        <v>SEI-260007/016861/2023</v>
      </c>
      <c r="C101" s="3" t="str">
        <f ca="1">IFERROR(__xludf.DUMMYFUNCTION("""COMPUTED_VALUE"""),"Patricia Teles da Silva, matr. 36173-3")</f>
        <v>Patricia Teles da Silva, matr. 36173-3</v>
      </c>
      <c r="D101" s="3" t="str">
        <f ca="1">IFERROR(__xludf.DUMMYFUNCTION("""COMPUTED_VALUE"""),"Desvio de conduta")</f>
        <v>Desvio de conduta</v>
      </c>
      <c r="E101" s="3" t="str">
        <f ca="1">IFERROR(__xludf.DUMMYFUNCTION("""COMPUTED_VALUE"""),"Desvio de conduta")</f>
        <v>Desvio de conduta</v>
      </c>
      <c r="F101" s="3" t="str">
        <f ca="1">IFERROR(__xludf.DUMMYFUNCTION("""COMPUTED_VALUE"""),"Acumulação de cargos.")</f>
        <v>Acumulação de cargos.</v>
      </c>
      <c r="G101" s="3" t="str">
        <f ca="1">IFERROR(__xludf.DUMMYFUNCTION("""COMPUTED_VALUE"""),"Acumulação de cargos")</f>
        <v>Acumulação de cargos</v>
      </c>
      <c r="H101" s="3" t="str">
        <f ca="1">IFERROR(__xludf.DUMMYFUNCTION("""COMPUTED_VALUE"""),"Acumulação ilegal de três cargos públicos no período de 02/05/2012 a 22/04/2019.")</f>
        <v>Acumulação ilegal de três cargos públicos no período de 02/05/2012 a 22/04/2019.</v>
      </c>
      <c r="I101" s="3" t="str">
        <f ca="1">IFERROR(__xludf.DUMMYFUNCTION("""COMPUTED_VALUE"""),"Não")</f>
        <v>Não</v>
      </c>
      <c r="J101" s="5">
        <f ca="1">IFERROR(__xludf.DUMMYFUNCTION("""COMPUTED_VALUE"""),45013)</f>
        <v>45013</v>
      </c>
      <c r="K101" s="5">
        <f ca="1">IFERROR(__xludf.DUMMYFUNCTION("""COMPUTED_VALUE"""),45016)</f>
        <v>45016</v>
      </c>
      <c r="L101" s="5">
        <f ca="1">IFERROR(__xludf.DUMMYFUNCTION("""COMPUTED_VALUE"""),45196)</f>
        <v>45196</v>
      </c>
      <c r="M101" s="5">
        <f ca="1">IFERROR(__xludf.DUMMYFUNCTION("""COMPUTED_VALUE"""),45197)</f>
        <v>45197</v>
      </c>
      <c r="N101" s="3" t="str">
        <f ca="1">IFERROR(__xludf.DUMMYFUNCTION("""COMPUTED_VALUE"""),"Finalizado")</f>
        <v>Finalizado</v>
      </c>
      <c r="O101" s="5">
        <f ca="1">IFERROR(__xludf.DUMMYFUNCTION("""COMPUTED_VALUE"""),45928)</f>
        <v>45928</v>
      </c>
      <c r="P101" s="3" t="str">
        <f ca="1">IFERROR(__xludf.DUMMYFUNCTION("""COMPUTED_VALUE"""),"O processo durou 994 dias entre a assinatura do despacho de autorização de abertura do PAD pelo Reitor e a assinatura do despacho de concordância/divergência pelo mesmo.")</f>
        <v>O processo durou 994 dias entre a assinatura do despacho de autorização de abertura do PAD pelo Reitor e a assinatura do despacho de concordância/divergência pelo mesmo.</v>
      </c>
      <c r="Q101" s="5">
        <f ca="1">IFERROR(__xludf.DUMMYFUNCTION("""COMPUTED_VALUE"""),47024)</f>
        <v>47024</v>
      </c>
      <c r="R101" s="3" t="str">
        <f ca="1">IFERROR(__xludf.DUMMYFUNCTION("""COMPUTED_VALUE"""),"Marcelo Bento")</f>
        <v>Marcelo Bento</v>
      </c>
      <c r="S101" s="3" t="str">
        <f ca="1">IFERROR(__xludf.DUMMYFUNCTION("""COMPUTED_VALUE"""),"Isadora")</f>
        <v>Isadora</v>
      </c>
      <c r="T101" s="3" t="str">
        <f ca="1">IFERROR(__xludf.DUMMYFUNCTION("""COMPUTED_VALUE"""),"Débora Ribeiro")</f>
        <v>Débora Ribeiro</v>
      </c>
      <c r="U101" s="3" t="str">
        <f ca="1">IFERROR(__xludf.DUMMYFUNCTION("""COMPUTED_VALUE"""),"Marcelo Ferreira")</f>
        <v>Marcelo Ferreira</v>
      </c>
      <c r="V101" s="3" t="str">
        <f ca="1">IFERROR(__xludf.DUMMYFUNCTION("""COMPUTED_VALUE"""),"Não")</f>
        <v>Não</v>
      </c>
      <c r="W101" s="3" t="str">
        <f ca="1">IFERROR(__xludf.DUMMYFUNCTION("""COMPUTED_VALUE"""),"SEI UERJ 11012/2012")</f>
        <v>SEI UERJ 11012/2012</v>
      </c>
      <c r="X101" s="3" t="str">
        <f ca="1">IFERROR(__xludf.DUMMYFUNCTION("""COMPUTED_VALUE"""),"S-Resposta do Reitor/Anotado.")</f>
        <v>S-Resposta do Reitor/Anotado.</v>
      </c>
    </row>
    <row r="102" spans="1:24" x14ac:dyDescent="0.2">
      <c r="A102" s="3" t="str">
        <f ca="1">IFERROR(__xludf.DUMMYFUNCTION("""COMPUTED_VALUE"""),"439/2024")</f>
        <v>439/2024</v>
      </c>
      <c r="B102" s="3" t="str">
        <f ca="1">IFERROR(__xludf.DUMMYFUNCTION("""COMPUTED_VALUE"""),"SEI-260006/016916/2024")</f>
        <v>SEI-260006/016916/2024</v>
      </c>
      <c r="C102" s="3" t="str">
        <f ca="1">IFERROR(__xludf.DUMMYFUNCTION("""COMPUTED_VALUE"""),"Luciano Carius Ferreira, matr. 35431-6")</f>
        <v>Luciano Carius Ferreira, matr. 35431-6</v>
      </c>
      <c r="D102" s="3" t="str">
        <f ca="1">IFERROR(__xludf.DUMMYFUNCTION("""COMPUTED_VALUE"""),"Abandono do Cargo")</f>
        <v>Abandono do Cargo</v>
      </c>
      <c r="E102" s="3" t="str">
        <f ca="1">IFERROR(__xludf.DUMMYFUNCTION("""COMPUTED_VALUE"""),"Abandono de cargo")</f>
        <v>Abandono de cargo</v>
      </c>
      <c r="F102" s="3" t="str">
        <f ca="1">IFERROR(__xludf.DUMMYFUNCTION("""COMPUTED_VALUE"""),"Abandono de cargo/ Inassiduidade habitual.")</f>
        <v>Abandono de cargo/ Inassiduidade habitual.</v>
      </c>
      <c r="G102" s="3" t="str">
        <f ca="1">IFERROR(__xludf.DUMMYFUNCTION("""COMPUTED_VALUE"""),"Abandono de cargo/ Inassiduidade habitual")</f>
        <v>Abandono de cargo/ Inassiduidade habitual</v>
      </c>
      <c r="H102" s="3" t="str">
        <f ca="1">IFERROR(__xludf.DUMMYFUNCTION("""COMPUTED_VALUE"""),"Faltas injustificadas no período nos períodos de 03/09/2019 a 08/01/2020 e  13/02/2020 a 30/06/2023.")</f>
        <v>Faltas injustificadas no período nos períodos de 03/09/2019 a 08/01/2020 e  13/02/2020 a 30/06/2023.</v>
      </c>
      <c r="I102" s="3" t="str">
        <f ca="1">IFERROR(__xludf.DUMMYFUNCTION("""COMPUTED_VALUE"""),"Não")</f>
        <v>Não</v>
      </c>
      <c r="J102" s="5">
        <f ca="1">IFERROR(__xludf.DUMMYFUNCTION("""COMPUTED_VALUE"""),45391)</f>
        <v>45391</v>
      </c>
      <c r="K102" s="5">
        <f ca="1">IFERROR(__xludf.DUMMYFUNCTION("""COMPUTED_VALUE"""),45406)</f>
        <v>45406</v>
      </c>
      <c r="L102" s="5">
        <f ca="1">IFERROR(__xludf.DUMMYFUNCTION("""COMPUTED_VALUE"""),45586)</f>
        <v>45586</v>
      </c>
      <c r="M102" s="5">
        <f ca="1">IFERROR(__xludf.DUMMYFUNCTION("""COMPUTED_VALUE"""),45587)</f>
        <v>45587</v>
      </c>
      <c r="N102" s="3" t="str">
        <f ca="1">IFERROR(__xludf.DUMMYFUNCTION("""COMPUTED_VALUE"""),"Finalizado")</f>
        <v>Finalizado</v>
      </c>
      <c r="O102" s="5">
        <f ca="1">IFERROR(__xludf.DUMMYFUNCTION("""COMPUTED_VALUE"""),46317)</f>
        <v>46317</v>
      </c>
      <c r="P102" s="3" t="str">
        <f ca="1">IFERROR(__xludf.DUMMYFUNCTION("""COMPUTED_VALUE"""),"O processo durou 643 dias entre a assinatura do despacho de autorização de abertura do PAD pelo Reitor e a assinatura do despacho de concordância/divergência pelo mesmo.")</f>
        <v>O processo durou 643 dias entre a assinatura do despacho de autorização de abertura do PAD pelo Reitor e a assinatura do despacho de concordância/divergência pelo mesmo.</v>
      </c>
      <c r="Q102" s="5">
        <f ca="1">IFERROR(__xludf.DUMMYFUNCTION("""COMPUTED_VALUE"""),47413)</f>
        <v>47413</v>
      </c>
      <c r="R102" s="3" t="str">
        <f ca="1">IFERROR(__xludf.DUMMYFUNCTION("""COMPUTED_VALUE"""),"Marcelo Bento")</f>
        <v>Marcelo Bento</v>
      </c>
      <c r="S102" s="3" t="str">
        <f ca="1">IFERROR(__xludf.DUMMYFUNCTION("""COMPUTED_VALUE"""),"Isadora")</f>
        <v>Isadora</v>
      </c>
      <c r="T102" s="3" t="str">
        <f ca="1">IFERROR(__xludf.DUMMYFUNCTION("""COMPUTED_VALUE"""),"Ariane Serpa")</f>
        <v>Ariane Serpa</v>
      </c>
      <c r="U102" s="3" t="str">
        <f ca="1">IFERROR(__xludf.DUMMYFUNCTION("""COMPUTED_VALUE"""),"Felipe Perdigão")</f>
        <v>Felipe Perdigão</v>
      </c>
      <c r="V102" s="3" t="str">
        <f ca="1">IFERROR(__xludf.DUMMYFUNCTION("""COMPUTED_VALUE"""),"Não")</f>
        <v>Não</v>
      </c>
      <c r="W102" s="3" t="str">
        <f ca="1">IFERROR(__xludf.DUMMYFUNCTION("""COMPUTED_VALUE"""),"E-26/007/1370/2020")</f>
        <v>E-26/007/1370/2020</v>
      </c>
      <c r="X102" s="3" t="str">
        <f ca="1">IFERROR(__xludf.DUMMYFUNCTION("""COMPUTED_VALUE"""),"S-Resposta do Reitor/Anotado.")</f>
        <v>S-Resposta do Reitor/Anotado.</v>
      </c>
    </row>
    <row r="103" spans="1:24" x14ac:dyDescent="0.2">
      <c r="A103" s="3" t="str">
        <f ca="1">IFERROR(__xludf.DUMMYFUNCTION("""COMPUTED_VALUE"""),"451/2024")</f>
        <v>451/2024</v>
      </c>
      <c r="B103" s="3" t="str">
        <f ca="1">IFERROR(__xludf.DUMMYFUNCTION("""COMPUTED_VALUE"""),"SEI-260006/037953/2024")</f>
        <v>SEI-260006/037953/2024</v>
      </c>
      <c r="C103" s="3" t="str">
        <f ca="1">IFERROR(__xludf.DUMMYFUNCTION("""COMPUTED_VALUE"""),"Maria José Pereira Honorato, matr. nº 37.580-8.")</f>
        <v>Maria José Pereira Honorato, matr. nº 37.580-8.</v>
      </c>
      <c r="D103" s="3" t="str">
        <f ca="1">IFERROR(__xludf.DUMMYFUNCTION("""COMPUTED_VALUE"""),"Acumulação Ilegal")</f>
        <v>Acumulação Ilegal</v>
      </c>
      <c r="E103" s="3"/>
      <c r="F103" s="3" t="str">
        <f ca="1">IFERROR(__xludf.DUMMYFUNCTION("""COMPUTED_VALUE"""),"Acumulação de cargos.")</f>
        <v>Acumulação de cargos.</v>
      </c>
      <c r="G103" s="3" t="str">
        <f ca="1">IFERROR(__xludf.DUMMYFUNCTION("""COMPUTED_VALUE"""),"Acumulação de cargos")</f>
        <v>Acumulação de cargos</v>
      </c>
      <c r="H103" s="3" t="str">
        <f ca="1">IFERROR(__xludf.DUMMYFUNCTION("""COMPUTED_VALUE"""),"acumulação ilegal de cargos públicos, durante o período de 01/01/2023 a 14/06/2024 e ausência de boa fé.")</f>
        <v>acumulação ilegal de cargos públicos, durante o período de 01/01/2023 a 14/06/2024 e ausência de boa fé.</v>
      </c>
      <c r="I103" s="3"/>
      <c r="J103" s="5">
        <f ca="1">IFERROR(__xludf.DUMMYFUNCTION("""COMPUTED_VALUE"""),45526)</f>
        <v>45526</v>
      </c>
      <c r="K103" s="5">
        <f ca="1">IFERROR(__xludf.DUMMYFUNCTION("""COMPUTED_VALUE"""),45530)</f>
        <v>45530</v>
      </c>
      <c r="L103" s="5">
        <f ca="1">IFERROR(__xludf.DUMMYFUNCTION("""COMPUTED_VALUE"""),45710)</f>
        <v>45710</v>
      </c>
      <c r="M103" s="5">
        <f ca="1">IFERROR(__xludf.DUMMYFUNCTION("""COMPUTED_VALUE"""),45711)</f>
        <v>45711</v>
      </c>
      <c r="N103" s="3" t="str">
        <f ca="1">IFERROR(__xludf.DUMMYFUNCTION("""COMPUTED_VALUE"""),"Finalizado")</f>
        <v>Finalizado</v>
      </c>
      <c r="O103" s="5">
        <f ca="1">IFERROR(__xludf.DUMMYFUNCTION("""COMPUTED_VALUE"""),46441)</f>
        <v>46441</v>
      </c>
      <c r="P103" s="3" t="str">
        <f ca="1">IFERROR(__xludf.DUMMYFUNCTION("""COMPUTED_VALUE"""),"O processo durou 511 dias entre a assinatura do despacho de autorização de abertura do PAD pelo Reitor e a assinatura do despacho de concordância/divergência pelo mesmo.")</f>
        <v>O processo durou 511 dias entre a assinatura do despacho de autorização de abertura do PAD pelo Reitor e a assinatura do despacho de concordância/divergência pelo mesmo.</v>
      </c>
      <c r="Q103" s="5">
        <f ca="1">IFERROR(__xludf.DUMMYFUNCTION("""COMPUTED_VALUE"""),47537)</f>
        <v>47537</v>
      </c>
      <c r="R103" s="3" t="str">
        <f ca="1">IFERROR(__xludf.DUMMYFUNCTION("""COMPUTED_VALUE"""),"Bianca Faertes")</f>
        <v>Bianca Faertes</v>
      </c>
      <c r="S103" s="3" t="str">
        <f ca="1">IFERROR(__xludf.DUMMYFUNCTION("""COMPUTED_VALUE"""),"Débora")</f>
        <v>Débora</v>
      </c>
      <c r="T103" s="3" t="str">
        <f ca="1">IFERROR(__xludf.DUMMYFUNCTION("""COMPUTED_VALUE"""),"Alessandra Abelheira")</f>
        <v>Alessandra Abelheira</v>
      </c>
      <c r="U103" s="3" t="str">
        <f ca="1">IFERROR(__xludf.DUMMYFUNCTION("""COMPUTED_VALUE"""),"Felipe Perdigão")</f>
        <v>Felipe Perdigão</v>
      </c>
      <c r="V103" s="3" t="str">
        <f ca="1">IFERROR(__xludf.DUMMYFUNCTION("""COMPUTED_VALUE"""),"Não")</f>
        <v>Não</v>
      </c>
      <c r="W103" s="3" t="str">
        <f ca="1">IFERROR(__xludf.DUMMYFUNCTION("""COMPUTED_VALUE"""),"SEI-260007/002204/2020")</f>
        <v>SEI-260007/002204/2020</v>
      </c>
      <c r="X103" s="3" t="str">
        <f ca="1">IFERROR(__xludf.DUMMYFUNCTION("""COMPUTED_VALUE"""),"S-Resposta do Reitor/Anotado.")</f>
        <v>S-Resposta do Reitor/Anotado.</v>
      </c>
    </row>
    <row r="104" spans="1:24" x14ac:dyDescent="0.2">
      <c r="A104" s="3" t="str">
        <f ca="1">IFERROR(__xludf.DUMMYFUNCTION("""COMPUTED_VALUE"""),"416/2023")</f>
        <v>416/2023</v>
      </c>
      <c r="B104" s="3" t="str">
        <f ca="1">IFERROR(__xludf.DUMMYFUNCTION("""COMPUTED_VALUE"""),"SEI-260007/043449/2023")</f>
        <v>SEI-260007/043449/2023</v>
      </c>
      <c r="C104" s="3" t="str">
        <f ca="1">IFERROR(__xludf.DUMMYFUNCTION("""COMPUTED_VALUE"""),"Claudio Costa Queiroz, mat. 33.238-7")</f>
        <v>Claudio Costa Queiroz, mat. 33.238-7</v>
      </c>
      <c r="D104" s="3" t="str">
        <f ca="1">IFERROR(__xludf.DUMMYFUNCTION("""COMPUTED_VALUE"""),"Desvio de conduta")</f>
        <v>Desvio de conduta</v>
      </c>
      <c r="E104" s="3" t="str">
        <f ca="1">IFERROR(__xludf.DUMMYFUNCTION("""COMPUTED_VALUE"""),"Desvio de conduta")</f>
        <v>Desvio de conduta</v>
      </c>
      <c r="F104" s="3" t="str">
        <f ca="1">IFERROR(__xludf.DUMMYFUNCTION("""COMPUTED_VALUE"""),"Outros.")</f>
        <v>Outros.</v>
      </c>
      <c r="G104" s="3" t="str">
        <f ca="1">IFERROR(__xludf.DUMMYFUNCTION("""COMPUTED_VALUE"""),"Ofensa física, Outros")</f>
        <v>Ofensa física, Outros</v>
      </c>
      <c r="H104" s="3" t="str">
        <f ca="1">IFERROR(__xludf.DUMMYFUNCTION("""COMPUTED_VALUE"""),"Indícios de violação dos deveres de urbanidade e boa conduta e da proibição de praticar ofensa física em serviço contra funcionário público, nos termos do artigo 39, incisos III e V e artigo 52, inciso IV do Decreto-lei nº 220/75. (DR 56117088)")</f>
        <v>Indícios de violação dos deveres de urbanidade e boa conduta e da proibição de praticar ofensa física em serviço contra funcionário público, nos termos do artigo 39, incisos III e V e artigo 52, inciso IV do Decreto-lei nº 220/75. (DR 56117088)</v>
      </c>
      <c r="I104" s="3" t="str">
        <f ca="1">IFERROR(__xludf.DUMMYFUNCTION("""COMPUTED_VALUE"""),"Não")</f>
        <v>Não</v>
      </c>
      <c r="J104" s="5">
        <f ca="1">IFERROR(__xludf.DUMMYFUNCTION("""COMPUTED_VALUE"""),45133)</f>
        <v>45133</v>
      </c>
      <c r="K104" s="5">
        <f ca="1">IFERROR(__xludf.DUMMYFUNCTION("""COMPUTED_VALUE"""),45135)</f>
        <v>45135</v>
      </c>
      <c r="L104" s="5">
        <f ca="1">IFERROR(__xludf.DUMMYFUNCTION("""COMPUTED_VALUE"""),45315)</f>
        <v>45315</v>
      </c>
      <c r="M104" s="5">
        <f ca="1">IFERROR(__xludf.DUMMYFUNCTION("""COMPUTED_VALUE"""),45316)</f>
        <v>45316</v>
      </c>
      <c r="N104" s="3" t="str">
        <f ca="1">IFERROR(__xludf.DUMMYFUNCTION("""COMPUTED_VALUE"""),"Finalizado")</f>
        <v>Finalizado</v>
      </c>
      <c r="O104" s="5">
        <f ca="1">IFERROR(__xludf.DUMMYFUNCTION("""COMPUTED_VALUE"""),46047)</f>
        <v>46047</v>
      </c>
      <c r="P104" s="3" t="str">
        <f ca="1">IFERROR(__xludf.DUMMYFUNCTION("""COMPUTED_VALUE"""),"O processo durou 960 dias entre a assinatura do despacho de autorização de abertura do PAD pelo Reitor e a assinatura do despacho de concordância/divergência pelo mesmo.")</f>
        <v>O processo durou 960 dias entre a assinatura do despacho de autorização de abertura do PAD pelo Reitor e a assinatura do despacho de concordância/divergência pelo mesmo.</v>
      </c>
      <c r="Q104" s="5">
        <f ca="1">IFERROR(__xludf.DUMMYFUNCTION("""COMPUTED_VALUE"""),47143)</f>
        <v>47143</v>
      </c>
      <c r="R104" s="3" t="str">
        <f ca="1">IFERROR(__xludf.DUMMYFUNCTION("""COMPUTED_VALUE"""),"Vanessa Queiroz")</f>
        <v>Vanessa Queiroz</v>
      </c>
      <c r="S104" s="3" t="str">
        <f ca="1">IFERROR(__xludf.DUMMYFUNCTION("""COMPUTED_VALUE"""),"Isadora")</f>
        <v>Isadora</v>
      </c>
      <c r="T104" s="3" t="str">
        <f ca="1">IFERROR(__xludf.DUMMYFUNCTION("""COMPUTED_VALUE"""),"Ariane Serpa")</f>
        <v>Ariane Serpa</v>
      </c>
      <c r="U104" s="3" t="str">
        <f ca="1">IFERROR(__xludf.DUMMYFUNCTION("""COMPUTED_VALUE"""),"Felipe Perdigão")</f>
        <v>Felipe Perdigão</v>
      </c>
      <c r="V104" s="3" t="str">
        <f ca="1">IFERROR(__xludf.DUMMYFUNCTION("""COMPUTED_VALUE"""),"Não")</f>
        <v>Não</v>
      </c>
      <c r="W104" s="3" t="str">
        <f ca="1">IFERROR(__xludf.DUMMYFUNCTION("""COMPUTED_VALUE"""),"SEI-260007/013534/2023")</f>
        <v>SEI-260007/013534/2023</v>
      </c>
      <c r="X104" s="3" t="str">
        <f ca="1">IFERROR(__xludf.DUMMYFUNCTION("""COMPUTED_VALUE"""),"S-Resposta do Reitor/Anotado.")</f>
        <v>S-Resposta do Reitor/Anotado.</v>
      </c>
    </row>
    <row r="105" spans="1:24" x14ac:dyDescent="0.2">
      <c r="A105" s="3" t="str">
        <f ca="1">IFERROR(__xludf.DUMMYFUNCTION("""COMPUTED_VALUE"""),"424/2024")</f>
        <v>424/2024</v>
      </c>
      <c r="B105" s="3" t="str">
        <f ca="1">IFERROR(__xludf.DUMMYFUNCTION("""COMPUTED_VALUE"""),"SEI-260007/000143/2024")</f>
        <v>SEI-260007/000143/2024</v>
      </c>
      <c r="C105" s="3" t="str">
        <f ca="1">IFERROR(__xludf.DUMMYFUNCTION("""COMPUTED_VALUE"""),"Maria Aparecida Siqueira de Andrade, matr. 37.094-0")</f>
        <v>Maria Aparecida Siqueira de Andrade, matr. 37.094-0</v>
      </c>
      <c r="D105" s="3" t="str">
        <f ca="1">IFERROR(__xludf.DUMMYFUNCTION("""COMPUTED_VALUE"""),"Desvio de conduta")</f>
        <v>Desvio de conduta</v>
      </c>
      <c r="E105" s="3" t="str">
        <f ca="1">IFERROR(__xludf.DUMMYFUNCTION("""COMPUTED_VALUE"""),"Desvio de conduta")</f>
        <v>Desvio de conduta</v>
      </c>
      <c r="F105" s="3" t="str">
        <f ca="1">IFERROR(__xludf.DUMMYFUNCTION("""COMPUTED_VALUE"""),"Acumulação de cargos.")</f>
        <v>Acumulação de cargos.</v>
      </c>
      <c r="G105" s="3" t="str">
        <f ca="1">IFERROR(__xludf.DUMMYFUNCTION("""COMPUTED_VALUE"""),"Acumulação de cargos")</f>
        <v>Acumulação de cargos</v>
      </c>
      <c r="H105" s="3" t="str">
        <f ca="1">IFERROR(__xludf.DUMMYFUNCTION("""COMPUTED_VALUE"""),"Tríplice acumulação de servidora que possui cargo de médica no período de 19/03/2019 a 19/09/2021.")</f>
        <v>Tríplice acumulação de servidora que possui cargo de médica no período de 19/03/2019 a 19/09/2021.</v>
      </c>
      <c r="I105" s="3"/>
      <c r="J105" s="7">
        <f ca="1">IFERROR(__xludf.DUMMYFUNCTION("""COMPUTED_VALUE"""),45277)</f>
        <v>45277</v>
      </c>
      <c r="K105" s="5">
        <f ca="1">IFERROR(__xludf.DUMMYFUNCTION("""COMPUTED_VALUE"""),45281)</f>
        <v>45281</v>
      </c>
      <c r="L105" s="5">
        <f ca="1">IFERROR(__xludf.DUMMYFUNCTION("""COMPUTED_VALUE"""),45461)</f>
        <v>45461</v>
      </c>
      <c r="M105" s="5">
        <f ca="1">IFERROR(__xludf.DUMMYFUNCTION("""COMPUTED_VALUE"""),45462)</f>
        <v>45462</v>
      </c>
      <c r="N105" s="3" t="str">
        <f ca="1">IFERROR(__xludf.DUMMYFUNCTION("""COMPUTED_VALUE"""),"Finalizado")</f>
        <v>Finalizado</v>
      </c>
      <c r="O105" s="5">
        <f ca="1">IFERROR(__xludf.DUMMYFUNCTION("""COMPUTED_VALUE"""),46192)</f>
        <v>46192</v>
      </c>
      <c r="P105" s="3" t="str">
        <f ca="1">IFERROR(__xludf.DUMMYFUNCTION("""COMPUTED_VALUE"""),"O processo durou 877 dias entre a assinatura do despacho de autorização de abertura do PAD pelo Reitor e a assinatura do despacho de concordância/divergência pelo mesmo.")</f>
        <v>O processo durou 877 dias entre a assinatura do despacho de autorização de abertura do PAD pelo Reitor e a assinatura do despacho de concordância/divergência pelo mesmo.</v>
      </c>
      <c r="Q105" s="5">
        <f ca="1">IFERROR(__xludf.DUMMYFUNCTION("""COMPUTED_VALUE"""),47288)</f>
        <v>47288</v>
      </c>
      <c r="R105" s="3" t="str">
        <f ca="1">IFERROR(__xludf.DUMMYFUNCTION("""COMPUTED_VALUE"""),"Thaís Muci")</f>
        <v>Thaís Muci</v>
      </c>
      <c r="S105" s="3" t="str">
        <f ca="1">IFERROR(__xludf.DUMMYFUNCTION("""COMPUTED_VALUE"""),"Micheline")</f>
        <v>Micheline</v>
      </c>
      <c r="T105" s="3" t="str">
        <f ca="1">IFERROR(__xludf.DUMMYFUNCTION("""COMPUTED_VALUE"""),"Jeanny Passigatte")</f>
        <v>Jeanny Passigatte</v>
      </c>
      <c r="U105" s="3" t="str">
        <f ca="1">IFERROR(__xludf.DUMMYFUNCTION("""COMPUTED_VALUE"""),"Ariane Serpa")</f>
        <v>Ariane Serpa</v>
      </c>
      <c r="V105" s="3" t="str">
        <f ca="1">IFERROR(__xludf.DUMMYFUNCTION("""COMPUTED_VALUE"""),"Não")</f>
        <v>Não</v>
      </c>
      <c r="W105" s="3" t="str">
        <f ca="1">IFERROR(__xludf.DUMMYFUNCTION("""COMPUTED_VALUE"""),"E-26/007/11077/2013")</f>
        <v>E-26/007/11077/2013</v>
      </c>
      <c r="X105" s="3" t="str">
        <f ca="1">IFERROR(__xludf.DUMMYFUNCTION("""COMPUTED_VALUE"""),"S-Resposta do Reitor/Anotado.")</f>
        <v>S-Resposta do Reitor/Anotado.</v>
      </c>
    </row>
    <row r="106" spans="1:24" x14ac:dyDescent="0.2">
      <c r="A106" s="3" t="str">
        <f ca="1">IFERROR(__xludf.DUMMYFUNCTION("""COMPUTED_VALUE"""),"411/2023")</f>
        <v>411/2023</v>
      </c>
      <c r="B106" s="3" t="str">
        <f ca="1">IFERROR(__xludf.DUMMYFUNCTION("""COMPUTED_VALUE"""),"SEI-260007/036587/2023")</f>
        <v>SEI-260007/036587/2023</v>
      </c>
      <c r="C106" s="3" t="str">
        <f ca="1">IFERROR(__xludf.DUMMYFUNCTION("""COMPUTED_VALUE"""),"Alberto JOSÉ FILGUEIRAS GONÇALVES, mat. 38580-7")</f>
        <v>Alberto JOSÉ FILGUEIRAS GONÇALVES, mat. 38580-7</v>
      </c>
      <c r="D106" s="3" t="str">
        <f ca="1">IFERROR(__xludf.DUMMYFUNCTION("""COMPUTED_VALUE"""),"Desvio de conduta")</f>
        <v>Desvio de conduta</v>
      </c>
      <c r="E106" s="3" t="str">
        <f ca="1">IFERROR(__xludf.DUMMYFUNCTION("""COMPUTED_VALUE"""),"Desvio de conduta")</f>
        <v>Desvio de conduta</v>
      </c>
      <c r="F106" s="3" t="str">
        <f ca="1">IFERROR(__xludf.DUMMYFUNCTION("""COMPUTED_VALUE"""),"Abandono de cargo/ Inassiduidade habitual.")</f>
        <v>Abandono de cargo/ Inassiduidade habitual.</v>
      </c>
      <c r="G106" s="3" t="str">
        <f ca="1">IFERROR(__xludf.DUMMYFUNCTION("""COMPUTED_VALUE"""),"Abandono de cargo/ Inassiduidade habitual")</f>
        <v>Abandono de cargo/ Inassiduidade habitual</v>
      </c>
      <c r="H106" s="3" t="str">
        <f ca="1">IFERROR(__xludf.DUMMYFUNCTION("""COMPUTED_VALUE"""),"Apuração de faltas injustificadas nos períodos de 01/02/2023 a 19/02/2023 e de 22/03/2023 a 30/04/2023. (DR 54713598)")</f>
        <v>Apuração de faltas injustificadas nos períodos de 01/02/2023 a 19/02/2023 e de 22/03/2023 a 30/04/2023. (DR 54713598)</v>
      </c>
      <c r="I106" s="3"/>
      <c r="J106" s="5">
        <f ca="1">IFERROR(__xludf.DUMMYFUNCTION("""COMPUTED_VALUE"""),45105)</f>
        <v>45105</v>
      </c>
      <c r="K106" s="5">
        <f ca="1">IFERROR(__xludf.DUMMYFUNCTION("""COMPUTED_VALUE"""),45112)</f>
        <v>45112</v>
      </c>
      <c r="L106" s="5">
        <f ca="1">IFERROR(__xludf.DUMMYFUNCTION("""COMPUTED_VALUE"""),45292)</f>
        <v>45292</v>
      </c>
      <c r="M106" s="5">
        <f ca="1">IFERROR(__xludf.DUMMYFUNCTION("""COMPUTED_VALUE"""),45293)</f>
        <v>45293</v>
      </c>
      <c r="N106" s="3" t="str">
        <f ca="1">IFERROR(__xludf.DUMMYFUNCTION("""COMPUTED_VALUE"""),"Finalizado")</f>
        <v>Finalizado</v>
      </c>
      <c r="O106" s="5">
        <f ca="1">IFERROR(__xludf.DUMMYFUNCTION("""COMPUTED_VALUE"""),46024)</f>
        <v>46024</v>
      </c>
      <c r="P106" s="3" t="str">
        <f ca="1">IFERROR(__xludf.DUMMYFUNCTION("""COMPUTED_VALUE"""),"O processo durou 987 dias entre a assinatura do despacho de autorização de abertura do PAD pelo Reitor e a assinatura do despacho de concordância/divergência pelo mesmo.")</f>
        <v>O processo durou 987 dias entre a assinatura do despacho de autorização de abertura do PAD pelo Reitor e a assinatura do despacho de concordância/divergência pelo mesmo.</v>
      </c>
      <c r="Q106" s="5">
        <f ca="1">IFERROR(__xludf.DUMMYFUNCTION("""COMPUTED_VALUE"""),47120)</f>
        <v>47120</v>
      </c>
      <c r="R106" s="3" t="str">
        <f ca="1">IFERROR(__xludf.DUMMYFUNCTION("""COMPUTED_VALUE"""),"Alessandra Abelheira")</f>
        <v>Alessandra Abelheira</v>
      </c>
      <c r="S106" s="3" t="str">
        <f ca="1">IFERROR(__xludf.DUMMYFUNCTION("""COMPUTED_VALUE"""),"Débora")</f>
        <v>Débora</v>
      </c>
      <c r="T106" s="3" t="str">
        <f ca="1">IFERROR(__xludf.DUMMYFUNCTION("""COMPUTED_VALUE"""),"Jeanny Passigatte")</f>
        <v>Jeanny Passigatte</v>
      </c>
      <c r="U106" s="3" t="str">
        <f ca="1">IFERROR(__xludf.DUMMYFUNCTION("""COMPUTED_VALUE"""),"Patrícia Glioche")</f>
        <v>Patrícia Glioche</v>
      </c>
      <c r="V106" s="3" t="str">
        <f ca="1">IFERROR(__xludf.DUMMYFUNCTION("""COMPUTED_VALUE"""),"Não")</f>
        <v>Não</v>
      </c>
      <c r="W106" s="3" t="str">
        <f ca="1">IFERROR(__xludf.DUMMYFUNCTION("""COMPUTED_VALUE"""),"SEI-260007/013733/2023")</f>
        <v>SEI-260007/013733/2023</v>
      </c>
      <c r="X106" s="3" t="str">
        <f ca="1">IFERROR(__xludf.DUMMYFUNCTION("""COMPUTED_VALUE"""),"S-Resposta do Reitor/Anotado.")</f>
        <v>S-Resposta do Reitor/Anotado.</v>
      </c>
    </row>
    <row r="107" spans="1:24" x14ac:dyDescent="0.2">
      <c r="A107" s="3" t="str">
        <f ca="1">IFERROR(__xludf.DUMMYFUNCTION("""COMPUTED_VALUE"""),"393/2023")</f>
        <v>393/2023</v>
      </c>
      <c r="B107" s="3" t="str">
        <f ca="1">IFERROR(__xludf.DUMMYFUNCTION("""COMPUTED_VALUE"""),"SEI-260007/016551/2023")</f>
        <v>SEI-260007/016551/2023</v>
      </c>
      <c r="C107" s="3" t="str">
        <f ca="1">IFERROR(__xludf.DUMMYFUNCTION("""COMPUTED_VALUE"""),"Wagner Lopes da Silva, 30.926-0")</f>
        <v>Wagner Lopes da Silva, 30.926-0</v>
      </c>
      <c r="D107" s="3" t="str">
        <f ca="1">IFERROR(__xludf.DUMMYFUNCTION("""COMPUTED_VALUE"""),"Desvio de conduta")</f>
        <v>Desvio de conduta</v>
      </c>
      <c r="E107" s="3" t="str">
        <f ca="1">IFERROR(__xludf.DUMMYFUNCTION("""COMPUTED_VALUE"""),"Desvio de conduta")</f>
        <v>Desvio de conduta</v>
      </c>
      <c r="F107" s="3" t="str">
        <f ca="1">IFERROR(__xludf.DUMMYFUNCTION("""COMPUTED_VALUE"""),"Acumulação de cargos.")</f>
        <v>Acumulação de cargos.</v>
      </c>
      <c r="G107" s="3" t="str">
        <f ca="1">IFERROR(__xludf.DUMMYFUNCTION("""COMPUTED_VALUE"""),"Acumulação de cargos")</f>
        <v>Acumulação de cargos</v>
      </c>
      <c r="H107" s="3" t="str">
        <f ca="1">IFERROR(__xludf.DUMMYFUNCTION("""COMPUTED_VALUE"""),"Acumulação de cargos no período de 05/04/2005 a 17/02/2021")</f>
        <v>Acumulação de cargos no período de 05/04/2005 a 17/02/2021</v>
      </c>
      <c r="I107" s="3"/>
      <c r="J107" s="5">
        <f ca="1">IFERROR(__xludf.DUMMYFUNCTION("""COMPUTED_VALUE"""),45021)</f>
        <v>45021</v>
      </c>
      <c r="K107" s="5">
        <f ca="1">IFERROR(__xludf.DUMMYFUNCTION("""COMPUTED_VALUE"""),45027)</f>
        <v>45027</v>
      </c>
      <c r="L107" s="5">
        <f ca="1">IFERROR(__xludf.DUMMYFUNCTION("""COMPUTED_VALUE"""),45207)</f>
        <v>45207</v>
      </c>
      <c r="M107" s="5">
        <f ca="1">IFERROR(__xludf.DUMMYFUNCTION("""COMPUTED_VALUE"""),45208)</f>
        <v>45208</v>
      </c>
      <c r="N107" s="3" t="str">
        <f ca="1">IFERROR(__xludf.DUMMYFUNCTION("""COMPUTED_VALUE"""),"Finalizado")</f>
        <v>Finalizado</v>
      </c>
      <c r="O107" s="5">
        <f ca="1">IFERROR(__xludf.DUMMYFUNCTION("""COMPUTED_VALUE"""),45939)</f>
        <v>45939</v>
      </c>
      <c r="P107" s="3" t="str">
        <f ca="1">IFERROR(__xludf.DUMMYFUNCTION("""COMPUTED_VALUE"""),"O processo durou 1090 dias entre a assinatura do despacho de autorização de abertura do PAD pelo Reitor e a assinatura do despacho de concordância/divergência pelo mesmo.")</f>
        <v>O processo durou 1090 dias entre a assinatura do despacho de autorização de abertura do PAD pelo Reitor e a assinatura do despacho de concordância/divergência pelo mesmo.</v>
      </c>
      <c r="Q107" s="5">
        <f ca="1">IFERROR(__xludf.DUMMYFUNCTION("""COMPUTED_VALUE"""),47035)</f>
        <v>47035</v>
      </c>
      <c r="R107" s="3" t="str">
        <f ca="1">IFERROR(__xludf.DUMMYFUNCTION("""COMPUTED_VALUE"""),"Marcelo Bento")</f>
        <v>Marcelo Bento</v>
      </c>
      <c r="S107" s="3" t="str">
        <f ca="1">IFERROR(__xludf.DUMMYFUNCTION("""COMPUTED_VALUE"""),"Micheline")</f>
        <v>Micheline</v>
      </c>
      <c r="T107" s="3" t="str">
        <f ca="1">IFERROR(__xludf.DUMMYFUNCTION("""COMPUTED_VALUE"""),"Marcelo Ferreira")</f>
        <v>Marcelo Ferreira</v>
      </c>
      <c r="U107" s="3" t="str">
        <f ca="1">IFERROR(__xludf.DUMMYFUNCTION("""COMPUTED_VALUE"""),"Débora Ribeiro")</f>
        <v>Débora Ribeiro</v>
      </c>
      <c r="V107" s="3" t="str">
        <f ca="1">IFERROR(__xludf.DUMMYFUNCTION("""COMPUTED_VALUE"""),"Não")</f>
        <v>Não</v>
      </c>
      <c r="W107" s="3" t="str">
        <f ca="1">IFERROR(__xludf.DUMMYFUNCTION("""COMPUTED_VALUE"""),"SEI-260007/002046/2020")</f>
        <v>SEI-260007/002046/2020</v>
      </c>
      <c r="X107" s="3" t="str">
        <f ca="1">IFERROR(__xludf.DUMMYFUNCTION("""COMPUTED_VALUE"""),"S-Resposta do Reitor/Anotado.")</f>
        <v>S-Resposta do Reitor/Anotado.</v>
      </c>
    </row>
    <row r="108" spans="1:24" x14ac:dyDescent="0.2">
      <c r="A108" s="3" t="str">
        <f ca="1">IFERROR(__xludf.DUMMYFUNCTION("""COMPUTED_VALUE"""),"430/2024")</f>
        <v>430/2024</v>
      </c>
      <c r="B108" s="3" t="str">
        <f ca="1">IFERROR(__xludf.DUMMYFUNCTION("""COMPUTED_VALUE"""),"SEI-260007/001615/2024")</f>
        <v>SEI-260007/001615/2024</v>
      </c>
      <c r="C108" s="3" t="str">
        <f ca="1">IFERROR(__xludf.DUMMYFUNCTION("""COMPUTED_VALUE"""),"Júlio César Ribeiro Teixeira Rodrigues, matrícula nº 35225-2.")</f>
        <v>Júlio César Ribeiro Teixeira Rodrigues, matrícula nº 35225-2.</v>
      </c>
      <c r="D108" s="3" t="str">
        <f ca="1">IFERROR(__xludf.DUMMYFUNCTION("""COMPUTED_VALUE"""),"Desvio de conduta")</f>
        <v>Desvio de conduta</v>
      </c>
      <c r="E108" s="3" t="str">
        <f ca="1">IFERROR(__xludf.DUMMYFUNCTION("""COMPUTED_VALUE"""),"Desvio de conduta")</f>
        <v>Desvio de conduta</v>
      </c>
      <c r="F108" s="3" t="str">
        <f ca="1">IFERROR(__xludf.DUMMYFUNCTION("""COMPUTED_VALUE"""),"Abandono de cargo/ Inassiduidade habitual.")</f>
        <v>Abandono de cargo/ Inassiduidade habitual.</v>
      </c>
      <c r="G108" s="3" t="str">
        <f ca="1">IFERROR(__xludf.DUMMYFUNCTION("""COMPUTED_VALUE"""),"Abandono de cargo/ Inassiduidade habitual")</f>
        <v>Abandono de cargo/ Inassiduidade habitual</v>
      </c>
      <c r="H108" s="3" t="str">
        <f ca="1">IFERROR(__xludf.DUMMYFUNCTION("""COMPUTED_VALUE"""),"Faltas injustificadas de servidor ocupante do cargo de técnico em enfermagem nos dias 11/01/2019, 14/01/2019, 15/01/2019, 19/02/2019, 25/02/2019, 28/03/2019 e 29/03/2019 e nos períodos de 01/09/2019 a 31/01/2022 e 01/03/2022 a 30/04/2023.")</f>
        <v>Faltas injustificadas de servidor ocupante do cargo de técnico em enfermagem nos dias 11/01/2019, 14/01/2019, 15/01/2019, 19/02/2019, 25/02/2019, 28/03/2019 e 29/03/2019 e nos períodos de 01/09/2019 a 31/01/2022 e 01/03/2022 a 30/04/2023.</v>
      </c>
      <c r="I108" s="3"/>
      <c r="J108" s="7">
        <f ca="1">IFERROR(__xludf.DUMMYFUNCTION("""COMPUTED_VALUE"""),45278)</f>
        <v>45278</v>
      </c>
      <c r="K108" s="5">
        <f ca="1">IFERROR(__xludf.DUMMYFUNCTION("""COMPUTED_VALUE"""),45280)</f>
        <v>45280</v>
      </c>
      <c r="L108" s="5">
        <f ca="1">IFERROR(__xludf.DUMMYFUNCTION("""COMPUTED_VALUE"""),45460)</f>
        <v>45460</v>
      </c>
      <c r="M108" s="5">
        <f ca="1">IFERROR(__xludf.DUMMYFUNCTION("""COMPUTED_VALUE"""),45461)</f>
        <v>45461</v>
      </c>
      <c r="N108" s="3" t="str">
        <f ca="1">IFERROR(__xludf.DUMMYFUNCTION("""COMPUTED_VALUE"""),"Finalizado")</f>
        <v>Finalizado</v>
      </c>
      <c r="O108" s="5">
        <f ca="1">IFERROR(__xludf.DUMMYFUNCTION("""COMPUTED_VALUE"""),46191)</f>
        <v>46191</v>
      </c>
      <c r="P108" s="3" t="str">
        <f ca="1">IFERROR(__xludf.DUMMYFUNCTION("""COMPUTED_VALUE"""),"O processo durou 835 dias entre a assinatura do despacho de autorização de abertura do PAD pelo Reitor e a assinatura do despacho de concordância/divergência pelo mesmo.")</f>
        <v>O processo durou 835 dias entre a assinatura do despacho de autorização de abertura do PAD pelo Reitor e a assinatura do despacho de concordância/divergência pelo mesmo.</v>
      </c>
      <c r="Q108" s="5">
        <f ca="1">IFERROR(__xludf.DUMMYFUNCTION("""COMPUTED_VALUE"""),47287)</f>
        <v>47287</v>
      </c>
      <c r="R108" s="3" t="str">
        <f ca="1">IFERROR(__xludf.DUMMYFUNCTION("""COMPUTED_VALUE"""),"Thaís Muci")</f>
        <v>Thaís Muci</v>
      </c>
      <c r="S108" s="3" t="str">
        <f ca="1">IFERROR(__xludf.DUMMYFUNCTION("""COMPUTED_VALUE"""),"Micheline")</f>
        <v>Micheline</v>
      </c>
      <c r="T108" s="3" t="str">
        <f ca="1">IFERROR(__xludf.DUMMYFUNCTION("""COMPUTED_VALUE"""),"Jeanny Passigatte")</f>
        <v>Jeanny Passigatte</v>
      </c>
      <c r="U108" s="3" t="str">
        <f ca="1">IFERROR(__xludf.DUMMYFUNCTION("""COMPUTED_VALUE"""),"Débora Ribeiro")</f>
        <v>Débora Ribeiro</v>
      </c>
      <c r="V108" s="3"/>
      <c r="W108" s="3" t="str">
        <f ca="1">IFERROR(__xludf.DUMMYFUNCTION("""COMPUTED_VALUE"""),"SEI-260007/022103/2022 ")</f>
        <v xml:space="preserve">SEI-260007/022103/2022 </v>
      </c>
      <c r="X108" s="3" t="str">
        <f ca="1">IFERROR(__xludf.DUMMYFUNCTION("""COMPUTED_VALUE"""),"S-Resposta do Reitor/Anotado.")</f>
        <v>S-Resposta do Reitor/Anotado.</v>
      </c>
    </row>
    <row r="109" spans="1:24" x14ac:dyDescent="0.2">
      <c r="A109" s="3" t="str">
        <f ca="1">IFERROR(__xludf.DUMMYFUNCTION("""COMPUTED_VALUE"""),"445/2024")</f>
        <v>445/2024</v>
      </c>
      <c r="B109" s="3" t="str">
        <f ca="1">IFERROR(__xludf.DUMMYFUNCTION("""COMPUTED_VALUE"""),"SEI-260006/023356/2024")</f>
        <v>SEI-260006/023356/2024</v>
      </c>
      <c r="C109" s="3" t="str">
        <f ca="1">IFERROR(__xludf.DUMMYFUNCTION("""COMPUTED_VALUE"""),"Natan Santos Salazar, matr. 40425-1")</f>
        <v>Natan Santos Salazar, matr. 40425-1</v>
      </c>
      <c r="D109" s="3" t="str">
        <f ca="1">IFERROR(__xludf.DUMMYFUNCTION("""COMPUTED_VALUE"""),"Abandono do Cargo")</f>
        <v>Abandono do Cargo</v>
      </c>
      <c r="E109" s="3" t="str">
        <f ca="1">IFERROR(__xludf.DUMMYFUNCTION("""COMPUTED_VALUE"""),"Desvio de conduta")</f>
        <v>Desvio de conduta</v>
      </c>
      <c r="F109" s="3" t="str">
        <f ca="1">IFERROR(__xludf.DUMMYFUNCTION("""COMPUTED_VALUE"""),"Abandono de cargo/ Inassiduidade habitual.")</f>
        <v>Abandono de cargo/ Inassiduidade habitual.</v>
      </c>
      <c r="G109" s="3" t="str">
        <f ca="1">IFERROR(__xludf.DUMMYFUNCTION("""COMPUTED_VALUE"""),"Abandono de cargo/ Inassiduidade habitual")</f>
        <v>Abandono de cargo/ Inassiduidade habitual</v>
      </c>
      <c r="H109" s="3" t="str">
        <f ca="1">IFERROR(__xludf.DUMMYFUNCTION("""COMPUTED_VALUE"""),"apuração de faltas injustificadas no período de 02/07/2023 a 31/01/2024.")</f>
        <v>apuração de faltas injustificadas no período de 02/07/2023 a 31/01/2024.</v>
      </c>
      <c r="I109" s="3" t="str">
        <f ca="1">IFERROR(__xludf.DUMMYFUNCTION("""COMPUTED_VALUE"""),"Não")</f>
        <v>Não</v>
      </c>
      <c r="J109" s="5">
        <f ca="1">IFERROR(__xludf.DUMMYFUNCTION("""COMPUTED_VALUE"""),45432)</f>
        <v>45432</v>
      </c>
      <c r="K109" s="5">
        <f ca="1">IFERROR(__xludf.DUMMYFUNCTION("""COMPUTED_VALUE"""),45435)</f>
        <v>45435</v>
      </c>
      <c r="L109" s="5">
        <f ca="1">IFERROR(__xludf.DUMMYFUNCTION("""COMPUTED_VALUE"""),45615)</f>
        <v>45615</v>
      </c>
      <c r="M109" s="5">
        <f ca="1">IFERROR(__xludf.DUMMYFUNCTION("""COMPUTED_VALUE"""),45616)</f>
        <v>45616</v>
      </c>
      <c r="N109" s="3" t="str">
        <f ca="1">IFERROR(__xludf.DUMMYFUNCTION("""COMPUTED_VALUE"""),"Finalizado")</f>
        <v>Finalizado</v>
      </c>
      <c r="O109" s="5">
        <f ca="1">IFERROR(__xludf.DUMMYFUNCTION("""COMPUTED_VALUE"""),46346)</f>
        <v>46346</v>
      </c>
      <c r="P109" s="3" t="str">
        <f ca="1">IFERROR(__xludf.DUMMYFUNCTION("""COMPUTED_VALUE"""),"O processo durou 687 dias entre a assinatura do despacho de autorização de abertura do PAD pelo Reitor e a assinatura do despacho de concordância/divergência pelo mesmo.")</f>
        <v>O processo durou 687 dias entre a assinatura do despacho de autorização de abertura do PAD pelo Reitor e a assinatura do despacho de concordância/divergência pelo mesmo.</v>
      </c>
      <c r="Q109" s="5">
        <f ca="1">IFERROR(__xludf.DUMMYFUNCTION("""COMPUTED_VALUE"""),47442)</f>
        <v>47442</v>
      </c>
      <c r="R109" s="3" t="str">
        <f ca="1">IFERROR(__xludf.DUMMYFUNCTION("""COMPUTED_VALUE"""),"Alessandra Abelheira")</f>
        <v>Alessandra Abelheira</v>
      </c>
      <c r="S109" s="3" t="str">
        <f ca="1">IFERROR(__xludf.DUMMYFUNCTION("""COMPUTED_VALUE"""),"Isadora")</f>
        <v>Isadora</v>
      </c>
      <c r="T109" s="3" t="str">
        <f ca="1">IFERROR(__xludf.DUMMYFUNCTION("""COMPUTED_VALUE"""),"Débora Ribeiro")</f>
        <v>Débora Ribeiro</v>
      </c>
      <c r="U109" s="3" t="str">
        <f ca="1">IFERROR(__xludf.DUMMYFUNCTION("""COMPUTED_VALUE"""),"Hannah Oliveira")</f>
        <v>Hannah Oliveira</v>
      </c>
      <c r="V109" s="3" t="str">
        <f ca="1">IFERROR(__xludf.DUMMYFUNCTION("""COMPUTED_VALUE"""),"Alan Luis Nogueira Pinto")</f>
        <v>Alan Luis Nogueira Pinto</v>
      </c>
      <c r="W109" s="3" t="str">
        <f ca="1">IFERROR(__xludf.DUMMYFUNCTION("""COMPUTED_VALUE"""),"SEI-260007/044829/2023")</f>
        <v>SEI-260007/044829/2023</v>
      </c>
      <c r="X109" s="3" t="str">
        <f ca="1">IFERROR(__xludf.DUMMYFUNCTION("""COMPUTED_VALUE"""),"S-Resposta do Reitor/Anotado.")</f>
        <v>S-Resposta do Reitor/Anotado.</v>
      </c>
    </row>
    <row r="110" spans="1:24" x14ac:dyDescent="0.2">
      <c r="A110" s="3" t="str">
        <f ca="1">IFERROR(__xludf.DUMMYFUNCTION("""COMPUTED_VALUE"""),"330/2021")</f>
        <v>330/2021</v>
      </c>
      <c r="B110" s="3" t="str">
        <f ca="1">IFERROR(__xludf.DUMMYFUNCTION("""COMPUTED_VALUE"""),"SEI-260007/006702/2021")</f>
        <v>SEI-260007/006702/2021</v>
      </c>
      <c r="C110" s="3" t="str">
        <f ca="1">IFERROR(__xludf.DUMMYFUNCTION("""COMPUTED_VALUE"""),"Marco Antônio Damis Rocha, 370460")</f>
        <v>Marco Antônio Damis Rocha, 370460</v>
      </c>
      <c r="D110" s="3" t="str">
        <f ca="1">IFERROR(__xludf.DUMMYFUNCTION("""COMPUTED_VALUE"""),"Desvio de conduta")</f>
        <v>Desvio de conduta</v>
      </c>
      <c r="E110" s="3" t="str">
        <f ca="1">IFERROR(__xludf.DUMMYFUNCTION("""COMPUTED_VALUE"""),"Desvio de conduta")</f>
        <v>Desvio de conduta</v>
      </c>
      <c r="F110" s="3" t="str">
        <f ca="1">IFERROR(__xludf.DUMMYFUNCTION("""COMPUTED_VALUE"""),"Outros.")</f>
        <v>Outros.</v>
      </c>
      <c r="G110" s="3" t="str">
        <f ca="1">IFERROR(__xludf.DUMMYFUNCTION("""COMPUTED_VALUE"""),"Abandono de cargo/ Inassiduidade habitual, Insubordinação")</f>
        <v>Abandono de cargo/ Inassiduidade habitual, Insubordinação</v>
      </c>
      <c r="H110" s="3" t="str">
        <f ca="1">IFERROR(__xludf.DUMMYFUNCTION("""COMPUTED_VALUE"""),"Trata-se o presente processo da apuração de eventuais infrações disciplinares a partir do que consta do processo administrativo de origem SEI-26008/04502/2020, que noticiava suposta insubordinação grave em serviço e abandono de cargo pelo servidor Marcos "&amp;"Antônio Damis Rocha, matrícula nº 37.046-0, Técnico Universitário - Médio/Técnico em Informática, lotado no HUPE.")</f>
        <v>Trata-se o presente processo da apuração de eventuais infrações disciplinares a partir do que consta do processo administrativo de origem SEI-26008/04502/2020, que noticiava suposta insubordinação grave em serviço e abandono de cargo pelo servidor Marcos Antônio Damis Rocha, matrícula nº 37.046-0, Técnico Universitário - Médio/Técnico em Informática, lotado no HUPE.</v>
      </c>
      <c r="I110" s="3"/>
      <c r="J110" s="5">
        <f ca="1">IFERROR(__xludf.DUMMYFUNCTION("""COMPUTED_VALUE"""),44270)</f>
        <v>44270</v>
      </c>
      <c r="K110" s="5">
        <f ca="1">IFERROR(__xludf.DUMMYFUNCTION("""COMPUTED_VALUE"""),44284)</f>
        <v>44284</v>
      </c>
      <c r="L110" s="5">
        <f ca="1">IFERROR(__xludf.DUMMYFUNCTION("""COMPUTED_VALUE"""),44464)</f>
        <v>44464</v>
      </c>
      <c r="M110" s="5">
        <f ca="1">IFERROR(__xludf.DUMMYFUNCTION("""COMPUTED_VALUE"""),44465)</f>
        <v>44465</v>
      </c>
      <c r="N110" s="3" t="str">
        <f ca="1">IFERROR(__xludf.DUMMYFUNCTION("""COMPUTED_VALUE"""),"Finalizado")</f>
        <v>Finalizado</v>
      </c>
      <c r="O110" s="5">
        <f ca="1">IFERROR(__xludf.DUMMYFUNCTION("""COMPUTED_VALUE"""),45195)</f>
        <v>45195</v>
      </c>
      <c r="P110" s="3" t="str">
        <f ca="1">IFERROR(__xludf.DUMMYFUNCTION("""COMPUTED_VALUE"""),"O processo durou 1829 dias entre a assinatura do despacho de autorização de abertura do PAD pelo Reitor e a assinatura do despacho de concordância/divergência pelo mesmo.")</f>
        <v>O processo durou 1829 dias entre a assinatura do despacho de autorização de abertura do PAD pelo Reitor e a assinatura do despacho de concordância/divergência pelo mesmo.</v>
      </c>
      <c r="Q110" s="5">
        <f ca="1">IFERROR(__xludf.DUMMYFUNCTION("""COMPUTED_VALUE"""),46291)</f>
        <v>46291</v>
      </c>
      <c r="R110" s="3" t="str">
        <f ca="1">IFERROR(__xludf.DUMMYFUNCTION("""COMPUTED_VALUE"""),"Alessandra Abelheira")</f>
        <v>Alessandra Abelheira</v>
      </c>
      <c r="S110" s="3" t="str">
        <f ca="1">IFERROR(__xludf.DUMMYFUNCTION("""COMPUTED_VALUE"""),"Micheline")</f>
        <v>Micheline</v>
      </c>
      <c r="T110" s="3" t="str">
        <f ca="1">IFERROR(__xludf.DUMMYFUNCTION("""COMPUTED_VALUE"""),"Karolynne Rocha")</f>
        <v>Karolynne Rocha</v>
      </c>
      <c r="U110" s="3" t="str">
        <f ca="1">IFERROR(__xludf.DUMMYFUNCTION("""COMPUTED_VALUE"""),"Débora Ribeiro")</f>
        <v>Débora Ribeiro</v>
      </c>
      <c r="V110" s="3" t="str">
        <f ca="1">IFERROR(__xludf.DUMMYFUNCTION("""COMPUTED_VALUE"""),"Não")</f>
        <v>Não</v>
      </c>
      <c r="W110" s="3" t="str">
        <f ca="1">IFERROR(__xludf.DUMMYFUNCTION("""COMPUTED_VALUE"""),"SEI-260008/004502/2020")</f>
        <v>SEI-260008/004502/2020</v>
      </c>
      <c r="X110" s="3" t="str">
        <f ca="1">IFERROR(__xludf.DUMMYFUNCTION("""COMPUTED_VALUE"""),"S-Resposta do Reitor/Anotado.")</f>
        <v>S-Resposta do Reitor/Anotado.</v>
      </c>
    </row>
    <row r="111" spans="1:24" x14ac:dyDescent="0.2">
      <c r="A111" s="3" t="str">
        <f ca="1">IFERROR(__xludf.DUMMYFUNCTION("""COMPUTED_VALUE"""),"436/2024")</f>
        <v>436/2024</v>
      </c>
      <c r="B111" s="3" t="str">
        <f ca="1">IFERROR(__xludf.DUMMYFUNCTION("""COMPUTED_VALUE"""),"SEI-260006/013380/2024")</f>
        <v>SEI-260006/013380/2024</v>
      </c>
      <c r="C111" s="3" t="str">
        <f ca="1">IFERROR(__xludf.DUMMYFUNCTION("""COMPUTED_VALUE"""),"Juliana Farias Sarto, matr. 37753-1")</f>
        <v>Juliana Farias Sarto, matr. 37753-1</v>
      </c>
      <c r="D111" s="3" t="str">
        <f ca="1">IFERROR(__xludf.DUMMYFUNCTION("""COMPUTED_VALUE"""),"Abandono do Cargo")</f>
        <v>Abandono do Cargo</v>
      </c>
      <c r="E111" s="3" t="str">
        <f ca="1">IFERROR(__xludf.DUMMYFUNCTION("""COMPUTED_VALUE"""),"Desvio de conduta")</f>
        <v>Desvio de conduta</v>
      </c>
      <c r="F111" s="3" t="str">
        <f ca="1">IFERROR(__xludf.DUMMYFUNCTION("""COMPUTED_VALUE"""),"Abandono de cargo/ Inassiduidade habitual.")</f>
        <v>Abandono de cargo/ Inassiduidade habitual.</v>
      </c>
      <c r="G111" s="3" t="str">
        <f ca="1">IFERROR(__xludf.DUMMYFUNCTION("""COMPUTED_VALUE"""),"Abandono de cargo/ Inassiduidade habitual")</f>
        <v>Abandono de cargo/ Inassiduidade habitual</v>
      </c>
      <c r="H111" s="3" t="str">
        <f ca="1">IFERROR(__xludf.DUMMYFUNCTION("""COMPUTED_VALUE"""),"Faltas injustificadas da ex-servidora no período de 01/08/2023 a 30/08/2023, já exonerada, voluntariamente, dos quadros da UERJ.")</f>
        <v>Faltas injustificadas da ex-servidora no período de 01/08/2023 a 30/08/2023, já exonerada, voluntariamente, dos quadros da UERJ.</v>
      </c>
      <c r="I111" s="3" t="str">
        <f ca="1">IFERROR(__xludf.DUMMYFUNCTION("""COMPUTED_VALUE"""),"Não")</f>
        <v>Não</v>
      </c>
      <c r="J111" s="5">
        <f ca="1">IFERROR(__xludf.DUMMYFUNCTION("""COMPUTED_VALUE"""),45384)</f>
        <v>45384</v>
      </c>
      <c r="K111" s="5">
        <f ca="1">IFERROR(__xludf.DUMMYFUNCTION("""COMPUTED_VALUE"""),45387)</f>
        <v>45387</v>
      </c>
      <c r="L111" s="5">
        <f ca="1">IFERROR(__xludf.DUMMYFUNCTION("""COMPUTED_VALUE"""),45567)</f>
        <v>45567</v>
      </c>
      <c r="M111" s="5">
        <f ca="1">IFERROR(__xludf.DUMMYFUNCTION("""COMPUTED_VALUE"""),45568)</f>
        <v>45568</v>
      </c>
      <c r="N111" s="3" t="str">
        <f ca="1">IFERROR(__xludf.DUMMYFUNCTION("""COMPUTED_VALUE"""),"Finalizado")</f>
        <v>Finalizado</v>
      </c>
      <c r="O111" s="5">
        <f ca="1">IFERROR(__xludf.DUMMYFUNCTION("""COMPUTED_VALUE"""),46298)</f>
        <v>46298</v>
      </c>
      <c r="P111" s="3" t="str">
        <f ca="1">IFERROR(__xludf.DUMMYFUNCTION("""COMPUTED_VALUE"""),"O processo durou 735 dias entre a assinatura do despacho de autorização de abertura do PAD pelo Reitor e a assinatura do despacho de concordância/divergência pelo mesmo.")</f>
        <v>O processo durou 735 dias entre a assinatura do despacho de autorização de abertura do PAD pelo Reitor e a assinatura do despacho de concordância/divergência pelo mesmo.</v>
      </c>
      <c r="Q111" s="5">
        <f ca="1">IFERROR(__xludf.DUMMYFUNCTION("""COMPUTED_VALUE"""),47394)</f>
        <v>47394</v>
      </c>
      <c r="R111" s="3" t="str">
        <f ca="1">IFERROR(__xludf.DUMMYFUNCTION("""COMPUTED_VALUE"""),"Vanessa Queiroz")</f>
        <v>Vanessa Queiroz</v>
      </c>
      <c r="S111" s="3" t="str">
        <f ca="1">IFERROR(__xludf.DUMMYFUNCTION("""COMPUTED_VALUE"""),"Isadora")</f>
        <v>Isadora</v>
      </c>
      <c r="T111" s="3" t="str">
        <f ca="1">IFERROR(__xludf.DUMMYFUNCTION("""COMPUTED_VALUE"""),"Jeanny Passigatte")</f>
        <v>Jeanny Passigatte</v>
      </c>
      <c r="U111" s="3" t="str">
        <f ca="1">IFERROR(__xludf.DUMMYFUNCTION("""COMPUTED_VALUE"""),"Marcelo Ferreira")</f>
        <v>Marcelo Ferreira</v>
      </c>
      <c r="V111" s="3" t="str">
        <f ca="1">IFERROR(__xludf.DUMMYFUNCTION("""COMPUTED_VALUE"""),"Andréa Maltez Coelho")</f>
        <v>Andréa Maltez Coelho</v>
      </c>
      <c r="W111" s="3" t="str">
        <f ca="1">IFERROR(__xludf.DUMMYFUNCTION("""COMPUTED_VALUE"""),"SEI-260007/049837/2023")</f>
        <v>SEI-260007/049837/2023</v>
      </c>
      <c r="X111" s="3" t="str">
        <f ca="1">IFERROR(__xludf.DUMMYFUNCTION("""COMPUTED_VALUE"""),"S-Resposta do Reitor/Anotado.")</f>
        <v>S-Resposta do Reitor/Anotado.</v>
      </c>
    </row>
    <row r="112" spans="1:24" x14ac:dyDescent="0.2">
      <c r="A112" s="3" t="str">
        <f ca="1">IFERROR(__xludf.DUMMYFUNCTION("""COMPUTED_VALUE"""),"370/2022")</f>
        <v>370/2022</v>
      </c>
      <c r="B112" s="3" t="str">
        <f ca="1">IFERROR(__xludf.DUMMYFUNCTION("""COMPUTED_VALUE"""),"SEI-260007/043987/2022")</f>
        <v>SEI-260007/043987/2022</v>
      </c>
      <c r="C112" s="3" t="str">
        <f ca="1">IFERROR(__xludf.DUMMYFUNCTION("""COMPUTED_VALUE"""),"Oseias Pascoal, matrícula nº 27.650-1.")</f>
        <v>Oseias Pascoal, matrícula nº 27.650-1.</v>
      </c>
      <c r="D112" s="3" t="str">
        <f ca="1">IFERROR(__xludf.DUMMYFUNCTION("""COMPUTED_VALUE"""),"Desvio de conduta")</f>
        <v>Desvio de conduta</v>
      </c>
      <c r="E112" s="3" t="str">
        <f ca="1">IFERROR(__xludf.DUMMYFUNCTION("""COMPUTED_VALUE"""),"Desvio de conduta")</f>
        <v>Desvio de conduta</v>
      </c>
      <c r="F112" s="3" t="str">
        <f ca="1">IFERROR(__xludf.DUMMYFUNCTION("""COMPUTED_VALUE"""),"Incontinência pública e escandalosa.")</f>
        <v>Incontinência pública e escandalosa.</v>
      </c>
      <c r="G112" s="3" t="str">
        <f ca="1">IFERROR(__xludf.DUMMYFUNCTION("""COMPUTED_VALUE"""),"Incontinência pública e escandalosa")</f>
        <v>Incontinência pública e escandalosa</v>
      </c>
      <c r="H112" s="3" t="str">
        <f ca="1">IFERROR(__xludf.DUMMYFUNCTION("""COMPUTED_VALUE"""),"I. DENÚNCIA NA OUVIDORIA; II. RELATO DE PRÁTICA DE ATOS OBSCENO NAS DEPENDÊNCIAS DO HUPE; III. VÍDEO CONTENDO A GRAVAÇÃO NO MOMENTO DO ATO; IV. INDÍCIOS DE AUTORIA E DA PRÁTICA DE INFRAÇÃO ADMINISTRATIVA DISCIPLINAR DE NATUREZA GRAVÍSSIMA; V. PARECER; VI "&amp;"INCONTINÊNCIA PÚBLICA E ESCANDALOSA; VII. POSSIBILIDADE DE APLICAÇÃO DE PENALIDADE DE DEMISSÃO; VIII. POSSÍVEL PRÁTICA DE INFRAÇÃO PENAL; IX. SUSPENSÃO CAUTELAR DO SERVIDOR; IX. MANUTENÇÃO DE VENCIMENTOS E DIREITOS.")</f>
        <v>I. DENÚNCIA NA OUVIDORIA; II. RELATO DE PRÁTICA DE ATOS OBSCENO NAS DEPENDÊNCIAS DO HUPE; III. VÍDEO CONTENDO A GRAVAÇÃO NO MOMENTO DO ATO; IV. INDÍCIOS DE AUTORIA E DA PRÁTICA DE INFRAÇÃO ADMINISTRATIVA DISCIPLINAR DE NATUREZA GRAVÍSSIMA; V. PARECER; VI INCONTINÊNCIA PÚBLICA E ESCANDALOSA; VII. POSSIBILIDADE DE APLICAÇÃO DE PENALIDADE DE DEMISSÃO; VIII. POSSÍVEL PRÁTICA DE INFRAÇÃO PENAL; IX. SUSPENSÃO CAUTELAR DO SERVIDOR; IX. MANUTENÇÃO DE VENCIMENTOS E DIREITOS.</v>
      </c>
      <c r="I112" s="3"/>
      <c r="J112" s="5">
        <f ca="1">IFERROR(__xludf.DUMMYFUNCTION("""COMPUTED_VALUE"""),44834)</f>
        <v>44834</v>
      </c>
      <c r="K112" s="5">
        <f ca="1">IFERROR(__xludf.DUMMYFUNCTION("""COMPUTED_VALUE"""),44845)</f>
        <v>44845</v>
      </c>
      <c r="L112" s="5">
        <f ca="1">IFERROR(__xludf.DUMMYFUNCTION("""COMPUTED_VALUE"""),45025)</f>
        <v>45025</v>
      </c>
      <c r="M112" s="5">
        <f ca="1">IFERROR(__xludf.DUMMYFUNCTION("""COMPUTED_VALUE"""),45026)</f>
        <v>45026</v>
      </c>
      <c r="N112" s="3" t="str">
        <f ca="1">IFERROR(__xludf.DUMMYFUNCTION("""COMPUTED_VALUE"""),"Finalizado")</f>
        <v>Finalizado</v>
      </c>
      <c r="O112" s="5">
        <f ca="1">IFERROR(__xludf.DUMMYFUNCTION("""COMPUTED_VALUE"""),45757)</f>
        <v>45757</v>
      </c>
      <c r="P112" s="3" t="str">
        <f ca="1">IFERROR(__xludf.DUMMYFUNCTION("""COMPUTED_VALUE"""),"O processo durou 1279 dias entre a assinatura do despacho de autorização de abertura do PAD pelo Reitor e a assinatura do despacho de concordância/divergência pelo mesmo.")</f>
        <v>O processo durou 1279 dias entre a assinatura do despacho de autorização de abertura do PAD pelo Reitor e a assinatura do despacho de concordância/divergência pelo mesmo.</v>
      </c>
      <c r="Q112" s="5">
        <f ca="1">IFERROR(__xludf.DUMMYFUNCTION("""COMPUTED_VALUE"""),46853)</f>
        <v>46853</v>
      </c>
      <c r="R112" s="3" t="str">
        <f ca="1">IFERROR(__xludf.DUMMYFUNCTION("""COMPUTED_VALUE"""),"Vanessa Queiroz")</f>
        <v>Vanessa Queiroz</v>
      </c>
      <c r="S112" s="3" t="str">
        <f ca="1">IFERROR(__xludf.DUMMYFUNCTION("""COMPUTED_VALUE"""),"Patrícia")</f>
        <v>Patrícia</v>
      </c>
      <c r="T112" s="3" t="str">
        <f ca="1">IFERROR(__xludf.DUMMYFUNCTION("""COMPUTED_VALUE"""),"Marcelo Ferreira")</f>
        <v>Marcelo Ferreira</v>
      </c>
      <c r="U112" s="3" t="str">
        <f ca="1">IFERROR(__xludf.DUMMYFUNCTION("""COMPUTED_VALUE"""),"Thaís Muci")</f>
        <v>Thaís Muci</v>
      </c>
      <c r="V112" s="3" t="str">
        <f ca="1">IFERROR(__xludf.DUMMYFUNCTION("""COMPUTED_VALUE"""),"Não")</f>
        <v>Não</v>
      </c>
      <c r="W112" s="3" t="str">
        <f ca="1">IFERROR(__xludf.DUMMYFUNCTION("""COMPUTED_VALUE"""),"SEI-260007/040885/2022")</f>
        <v>SEI-260007/040885/2022</v>
      </c>
      <c r="X112" s="3" t="str">
        <f ca="1">IFERROR(__xludf.DUMMYFUNCTION("""COMPUTED_VALUE"""),"S-Resposta do Reitor/Anotado.")</f>
        <v>S-Resposta do Reitor/Anotado.</v>
      </c>
    </row>
    <row r="113" spans="1:24" x14ac:dyDescent="0.2">
      <c r="A113" s="3" t="str">
        <f ca="1">IFERROR(__xludf.DUMMYFUNCTION("""COMPUTED_VALUE"""),"412/2023")</f>
        <v>412/2023</v>
      </c>
      <c r="B113" s="3" t="str">
        <f ca="1">IFERROR(__xludf.DUMMYFUNCTION("""COMPUTED_VALUE"""),"SEI-260007/037020/2023")</f>
        <v>SEI-260007/037020/2023</v>
      </c>
      <c r="C113" s="3" t="str">
        <f ca="1">IFERROR(__xludf.DUMMYFUNCTION("""COMPUTED_VALUE"""),"GABRIEL GOMES MAIA, mat. 39.144-1")</f>
        <v>GABRIEL GOMES MAIA, mat. 39.144-1</v>
      </c>
      <c r="D113" s="3" t="str">
        <f ca="1">IFERROR(__xludf.DUMMYFUNCTION("""COMPUTED_VALUE"""),"Desvio de conduta")</f>
        <v>Desvio de conduta</v>
      </c>
      <c r="E113" s="3" t="str">
        <f ca="1">IFERROR(__xludf.DUMMYFUNCTION("""COMPUTED_VALUE"""),"Desvio de conduta")</f>
        <v>Desvio de conduta</v>
      </c>
      <c r="F113" s="3" t="str">
        <f ca="1">IFERROR(__xludf.DUMMYFUNCTION("""COMPUTED_VALUE"""),"Insubordinação.")</f>
        <v>Insubordinação.</v>
      </c>
      <c r="G113" s="3" t="str">
        <f ca="1">IFERROR(__xludf.DUMMYFUNCTION("""COMPUTED_VALUE"""),"Insubordinação")</f>
        <v>Insubordinação</v>
      </c>
      <c r="H113" s="3" t="str">
        <f ca="1">IFERROR(__xludf.DUMMYFUNCTION("""COMPUTED_VALUE"""),"Apurar a eventual ocorrência de insubordinação grave em serviço, nos termos do inciso VII do artigo 52 do Decreto Lei 220/75 e inciso VII do Decreto Lei 2479/79, bem como os fatos conexos que emergiram no decorrer dos trabalhos. (DR 55164868). (assinatura"&amp;" de Termo de Compromisso de Estágio com a Universidade Estácio de Sá contra orientação expressa da chefia, ausência injustificada ao plantão do dia 09/02/2018, e preenchimento de prontuários de forma simuladal)")</f>
        <v>Apurar a eventual ocorrência de insubordinação grave em serviço, nos termos do inciso VII do artigo 52 do Decreto Lei 220/75 e inciso VII do Decreto Lei 2479/79, bem como os fatos conexos que emergiram no decorrer dos trabalhos. (DR 55164868). (assinatura de Termo de Compromisso de Estágio com a Universidade Estácio de Sá contra orientação expressa da chefia, ausência injustificada ao plantão do dia 09/02/2018, e preenchimento de prontuários de forma simuladal)</v>
      </c>
      <c r="I113" s="3"/>
      <c r="J113" s="5">
        <f ca="1">IFERROR(__xludf.DUMMYFUNCTION("""COMPUTED_VALUE"""),45112)</f>
        <v>45112</v>
      </c>
      <c r="K113" s="5">
        <f ca="1">IFERROR(__xludf.DUMMYFUNCTION("""COMPUTED_VALUE"""),45117)</f>
        <v>45117</v>
      </c>
      <c r="L113" s="5">
        <f ca="1">IFERROR(__xludf.DUMMYFUNCTION("""COMPUTED_VALUE"""),45297)</f>
        <v>45297</v>
      </c>
      <c r="M113" s="5">
        <f ca="1">IFERROR(__xludf.DUMMYFUNCTION("""COMPUTED_VALUE"""),45298)</f>
        <v>45298</v>
      </c>
      <c r="N113" s="3" t="str">
        <f ca="1">IFERROR(__xludf.DUMMYFUNCTION("""COMPUTED_VALUE"""),"Finalizado")</f>
        <v>Finalizado</v>
      </c>
      <c r="O113" s="5">
        <f ca="1">IFERROR(__xludf.DUMMYFUNCTION("""COMPUTED_VALUE"""),46029)</f>
        <v>46029</v>
      </c>
      <c r="P113" s="3" t="str">
        <f ca="1">IFERROR(__xludf.DUMMYFUNCTION("""COMPUTED_VALUE"""),"O processo durou 1007 dias entre a assinatura do despacho de autorização de abertura do PAD pelo Reitor e a assinatura do despacho de concordância/divergência pelo mesmo.")</f>
        <v>O processo durou 1007 dias entre a assinatura do despacho de autorização de abertura do PAD pelo Reitor e a assinatura do despacho de concordância/divergência pelo mesmo.</v>
      </c>
      <c r="Q113" s="5">
        <f ca="1">IFERROR(__xludf.DUMMYFUNCTION("""COMPUTED_VALUE"""),47125)</f>
        <v>47125</v>
      </c>
      <c r="R113" s="3" t="str">
        <f ca="1">IFERROR(__xludf.DUMMYFUNCTION("""COMPUTED_VALUE"""),"Vanessa Queiroz")</f>
        <v>Vanessa Queiroz</v>
      </c>
      <c r="S113" s="3" t="str">
        <f ca="1">IFERROR(__xludf.DUMMYFUNCTION("""COMPUTED_VALUE"""),"Franciane")</f>
        <v>Franciane</v>
      </c>
      <c r="T113" s="3" t="str">
        <f ca="1">IFERROR(__xludf.DUMMYFUNCTION("""COMPUTED_VALUE"""),"Jeanny Passigatte")</f>
        <v>Jeanny Passigatte</v>
      </c>
      <c r="U113" s="3" t="str">
        <f ca="1">IFERROR(__xludf.DUMMYFUNCTION("""COMPUTED_VALUE"""),"Ariane Serpa")</f>
        <v>Ariane Serpa</v>
      </c>
      <c r="V113" s="3" t="str">
        <f ca="1">IFERROR(__xludf.DUMMYFUNCTION("""COMPUTED_VALUE"""),"Não")</f>
        <v>Não</v>
      </c>
      <c r="W113" s="3" t="str">
        <f ca="1">IFERROR(__xludf.DUMMYFUNCTION("""COMPUTED_VALUE"""),"E-26/008/100926/2018")</f>
        <v>E-26/008/100926/2018</v>
      </c>
      <c r="X113" s="3" t="str">
        <f ca="1">IFERROR(__xludf.DUMMYFUNCTION("""COMPUTED_VALUE"""),"S-Resposta do Reitor/Anotado.")</f>
        <v>S-Resposta do Reitor/Anotado.</v>
      </c>
    </row>
    <row r="114" spans="1:24" x14ac:dyDescent="0.2">
      <c r="A114" s="3" t="str">
        <f ca="1">IFERROR(__xludf.DUMMYFUNCTION("""COMPUTED_VALUE"""),"478/2025")</f>
        <v>478/2025</v>
      </c>
      <c r="B114" s="3" t="str">
        <f ca="1">IFERROR(__xludf.DUMMYFUNCTION("""COMPUTED_VALUE"""),"SEI-260006/028394/2025")</f>
        <v>SEI-260006/028394/2025</v>
      </c>
      <c r="C114" s="3" t="str">
        <f ca="1">IFERROR(__xludf.DUMMYFUNCTION("""COMPUTED_VALUE"""),"Luiz Mario de Souza, matr. 34475-4")</f>
        <v>Luiz Mario de Souza, matr. 34475-4</v>
      </c>
      <c r="D114" s="3" t="str">
        <f ca="1">IFERROR(__xludf.DUMMYFUNCTION("""COMPUTED_VALUE"""),"Abandono do Cargo")</f>
        <v>Abandono do Cargo</v>
      </c>
      <c r="E114" s="3" t="str">
        <f ca="1">IFERROR(__xludf.DUMMYFUNCTION("""COMPUTED_VALUE"""),"Desvio de conduta")</f>
        <v>Desvio de conduta</v>
      </c>
      <c r="F114" s="3" t="str">
        <f ca="1">IFERROR(__xludf.DUMMYFUNCTION("""COMPUTED_VALUE"""),"Abandono de cargo/ Inassiduidade habitual.")</f>
        <v>Abandono de cargo/ Inassiduidade habitual.</v>
      </c>
      <c r="G114" s="3" t="str">
        <f ca="1">IFERROR(__xludf.DUMMYFUNCTION("""COMPUTED_VALUE"""),"Abandono de cargo/ Inassiduidade habitual")</f>
        <v>Abandono de cargo/ Inassiduidade habitual</v>
      </c>
      <c r="H114" s="3" t="str">
        <f ca="1">IFERROR(__xludf.DUMMYFUNCTION("""COMPUTED_VALUE"""),"faltas injustificadas no período de 01 de agosto de 2024 a 31 de janeiro de 2025.")</f>
        <v>faltas injustificadas no período de 01 de agosto de 2024 a 31 de janeiro de 2025.</v>
      </c>
      <c r="I114" s="3" t="str">
        <f ca="1">IFERROR(__xludf.DUMMYFUNCTION("""COMPUTED_VALUE"""),"Não")</f>
        <v>Não</v>
      </c>
      <c r="J114" s="5">
        <f ca="1">IFERROR(__xludf.DUMMYFUNCTION("""COMPUTED_VALUE"""),45813)</f>
        <v>45813</v>
      </c>
      <c r="K114" s="5">
        <f ca="1">IFERROR(__xludf.DUMMYFUNCTION("""COMPUTED_VALUE"""),45819)</f>
        <v>45819</v>
      </c>
      <c r="L114" s="5">
        <f ca="1">IFERROR(__xludf.DUMMYFUNCTION("""COMPUTED_VALUE"""),45999)</f>
        <v>45999</v>
      </c>
      <c r="M114" s="5">
        <f ca="1">IFERROR(__xludf.DUMMYFUNCTION("""COMPUTED_VALUE"""),46000)</f>
        <v>46000</v>
      </c>
      <c r="N114" s="3" t="str">
        <f ca="1">IFERROR(__xludf.DUMMYFUNCTION("""COMPUTED_VALUE"""),"Finalizado")</f>
        <v>Finalizado</v>
      </c>
      <c r="O114" s="5">
        <f ca="1">IFERROR(__xludf.DUMMYFUNCTION("""COMPUTED_VALUE"""),46730)</f>
        <v>46730</v>
      </c>
      <c r="P114" s="3" t="str">
        <f ca="1">IFERROR(__xludf.DUMMYFUNCTION("""COMPUTED_VALUE"""),"O processo durou 300 dias entre a assinatura do despacho de autorização de abertura do PAD pelo Reitor e a assinatura do despacho de concordância/divergência pelo mesmo.")</f>
        <v>O processo durou 300 dias entre a assinatura do despacho de autorização de abertura do PAD pelo Reitor e a assinatura do despacho de concordância/divergência pelo mesmo.</v>
      </c>
      <c r="Q114" s="5">
        <f ca="1">IFERROR(__xludf.DUMMYFUNCTION("""COMPUTED_VALUE"""),47826)</f>
        <v>47826</v>
      </c>
      <c r="R114" s="3" t="str">
        <f ca="1">IFERROR(__xludf.DUMMYFUNCTION("""COMPUTED_VALUE"""),"Alessandra Abelheira")</f>
        <v>Alessandra Abelheira</v>
      </c>
      <c r="S114" s="3" t="str">
        <f ca="1">IFERROR(__xludf.DUMMYFUNCTION("""COMPUTED_VALUE"""),"Isadora")</f>
        <v>Isadora</v>
      </c>
      <c r="T114" s="3" t="str">
        <f ca="1">IFERROR(__xludf.DUMMYFUNCTION("""COMPUTED_VALUE"""),"Hannah Oliveira")</f>
        <v>Hannah Oliveira</v>
      </c>
      <c r="U114" s="3" t="str">
        <f ca="1">IFERROR(__xludf.DUMMYFUNCTION("""COMPUTED_VALUE"""),"Thiago Rocha")</f>
        <v>Thiago Rocha</v>
      </c>
      <c r="V114" s="3" t="str">
        <f ca="1">IFERROR(__xludf.DUMMYFUNCTION("""COMPUTED_VALUE"""),"Não")</f>
        <v>Não</v>
      </c>
      <c r="W114" s="3" t="str">
        <f ca="1">IFERROR(__xludf.DUMMYFUNCTION("""COMPUTED_VALUE"""),"SEI-260006/043035/2024")</f>
        <v>SEI-260006/043035/2024</v>
      </c>
      <c r="X114" s="3" t="str">
        <f ca="1">IFERROR(__xludf.DUMMYFUNCTION("""COMPUTED_VALUE"""),"S-Resposta do Reitor/Anotado.")</f>
        <v>S-Resposta do Reitor/Anotado.</v>
      </c>
    </row>
    <row r="115" spans="1:24" x14ac:dyDescent="0.2">
      <c r="A115" s="3" t="str">
        <f ca="1">IFERROR(__xludf.DUMMYFUNCTION("""COMPUTED_VALUE"""),"361/2022")</f>
        <v>361/2022</v>
      </c>
      <c r="B115" s="3" t="str">
        <f ca="1">IFERROR(__xludf.DUMMYFUNCTION("""COMPUTED_VALUE"""),"SEI-260007/023993/2022")</f>
        <v>SEI-260007/023993/2022</v>
      </c>
      <c r="C115" s="3" t="str">
        <f ca="1">IFERROR(__xludf.DUMMYFUNCTION("""COMPUTED_VALUE"""),"Cicero Ivan Alcantara Costa, matrícula nº 36.076-8.")</f>
        <v>Cicero Ivan Alcantara Costa, matrícula nº 36.076-8.</v>
      </c>
      <c r="D115" s="3" t="str">
        <f ca="1">IFERROR(__xludf.DUMMYFUNCTION("""COMPUTED_VALUE"""),"Desvio de conduta")</f>
        <v>Desvio de conduta</v>
      </c>
      <c r="E115" s="3" t="str">
        <f ca="1">IFERROR(__xludf.DUMMYFUNCTION("""COMPUTED_VALUE"""),"Desvio de conduta")</f>
        <v>Desvio de conduta</v>
      </c>
      <c r="F115" s="3" t="str">
        <f ca="1">IFERROR(__xludf.DUMMYFUNCTION("""COMPUTED_VALUE"""),"Acumulação de cargos.")</f>
        <v>Acumulação de cargos.</v>
      </c>
      <c r="G115" s="3" t="str">
        <f ca="1">IFERROR(__xludf.DUMMYFUNCTION("""COMPUTED_VALUE"""),"Acumulação de cargos")</f>
        <v>Acumulação de cargos</v>
      </c>
      <c r="H115" s="3" t="str">
        <f ca="1">IFERROR(__xludf.DUMMYFUNCTION("""COMPUTED_VALUE"""),"Acumulação de terceiro vínculo no período de 01/10/2012 a 23/04/2014.")</f>
        <v>Acumulação de terceiro vínculo no período de 01/10/2012 a 23/04/2014.</v>
      </c>
      <c r="I115" s="3"/>
      <c r="J115" s="5">
        <f ca="1">IFERROR(__xludf.DUMMYFUNCTION("""COMPUTED_VALUE"""),43843)</f>
        <v>43843</v>
      </c>
      <c r="K115" s="5">
        <f ca="1">IFERROR(__xludf.DUMMYFUNCTION("""COMPUTED_VALUE"""),43858)</f>
        <v>43858</v>
      </c>
      <c r="L115" s="5">
        <f ca="1">IFERROR(__xludf.DUMMYFUNCTION("""COMPUTED_VALUE"""),44038)</f>
        <v>44038</v>
      </c>
      <c r="M115" s="5">
        <f ca="1">IFERROR(__xludf.DUMMYFUNCTION("""COMPUTED_VALUE"""),44039)</f>
        <v>44039</v>
      </c>
      <c r="N115" s="3" t="str">
        <f ca="1">IFERROR(__xludf.DUMMYFUNCTION("""COMPUTED_VALUE"""),"Finalizado")</f>
        <v>Finalizado</v>
      </c>
      <c r="O115" s="5">
        <f ca="1">IFERROR(__xludf.DUMMYFUNCTION("""COMPUTED_VALUE"""),44769)</f>
        <v>44769</v>
      </c>
      <c r="P115" s="3" t="str">
        <f ca="1">IFERROR(__xludf.DUMMYFUNCTION("""COMPUTED_VALUE"""),"O processo durou 2307 dias entre a assinatura do despacho de autorização de abertura do PAD pelo Reitor e a assinatura do despacho de concordância/divergência pelo mesmo.")</f>
        <v>O processo durou 2307 dias entre a assinatura do despacho de autorização de abertura do PAD pelo Reitor e a assinatura do despacho de concordância/divergência pelo mesmo.</v>
      </c>
      <c r="Q115" s="5">
        <f ca="1">IFERROR(__xludf.DUMMYFUNCTION("""COMPUTED_VALUE"""),45865)</f>
        <v>45865</v>
      </c>
      <c r="R115" s="3" t="str">
        <f ca="1">IFERROR(__xludf.DUMMYFUNCTION("""COMPUTED_VALUE"""),"Leonardo Rocha")</f>
        <v>Leonardo Rocha</v>
      </c>
      <c r="S115" s="3" t="str">
        <f ca="1">IFERROR(__xludf.DUMMYFUNCTION("""COMPUTED_VALUE"""),"Débora")</f>
        <v>Débora</v>
      </c>
      <c r="T115" s="3" t="str">
        <f ca="1">IFERROR(__xludf.DUMMYFUNCTION("""COMPUTED_VALUE"""),"Ariane Serpa")</f>
        <v>Ariane Serpa</v>
      </c>
      <c r="U115" s="3" t="str">
        <f ca="1">IFERROR(__xludf.DUMMYFUNCTION("""COMPUTED_VALUE"""),"Teresa Jardin")</f>
        <v>Teresa Jardin</v>
      </c>
      <c r="V115" s="3" t="str">
        <f ca="1">IFERROR(__xludf.DUMMYFUNCTION("""COMPUTED_VALUE"""),"Não")</f>
        <v>Não</v>
      </c>
      <c r="W115" s="3" t="str">
        <f ca="1">IFERROR(__xludf.DUMMYFUNCTION("""COMPUTED_VALUE"""),"UERJ 6262/2012")</f>
        <v>UERJ 6262/2012</v>
      </c>
      <c r="X115" s="3" t="str">
        <f ca="1">IFERROR(__xludf.DUMMYFUNCTION("""COMPUTED_VALUE"""),"S-Resposta do Reitor/Anotado.")</f>
        <v>S-Resposta do Reitor/Anotado.</v>
      </c>
    </row>
    <row r="116" spans="1:24" x14ac:dyDescent="0.2">
      <c r="A116" s="3" t="str">
        <f ca="1">IFERROR(__xludf.DUMMYFUNCTION("""COMPUTED_VALUE"""),"280/2018")</f>
        <v>280/2018</v>
      </c>
      <c r="B116" s="3" t="str">
        <f ca="1">IFERROR(__xludf.DUMMYFUNCTION("""COMPUTED_VALUE"""),"E-26/007/1850/2017")</f>
        <v>E-26/007/1850/2017</v>
      </c>
      <c r="C116" s="3" t="str">
        <f ca="1">IFERROR(__xludf.DUMMYFUNCTION("""COMPUTED_VALUE"""),"Ricardo Ramos Coelho Junior - Mat. 39.121-9")</f>
        <v>Ricardo Ramos Coelho Junior - Mat. 39.121-9</v>
      </c>
      <c r="D116" s="3" t="str">
        <f ca="1">IFERROR(__xludf.DUMMYFUNCTION("""COMPUTED_VALUE"""),"Desvio de conduta")</f>
        <v>Desvio de conduta</v>
      </c>
      <c r="E116" s="3" t="str">
        <f ca="1">IFERROR(__xludf.DUMMYFUNCTION("""COMPUTED_VALUE"""),"Desvio de conduta")</f>
        <v>Desvio de conduta</v>
      </c>
      <c r="F116" s="3" t="str">
        <f ca="1">IFERROR(__xludf.DUMMYFUNCTION("""COMPUTED_VALUE"""),"Outros.")</f>
        <v>Outros.</v>
      </c>
      <c r="G116" s="3" t="str">
        <f ca="1">IFERROR(__xludf.DUMMYFUNCTION("""COMPUTED_VALUE"""),"Outros")</f>
        <v>Outros</v>
      </c>
      <c r="H116" s="3" t="str">
        <f ca="1">IFERROR(__xludf.DUMMYFUNCTION("""COMPUTED_VALUE"""),"Violação de sigilo de informações")</f>
        <v>Violação de sigilo de informações</v>
      </c>
      <c r="I116" s="3"/>
      <c r="J116" s="5">
        <f ca="1">IFERROR(__xludf.DUMMYFUNCTION("""COMPUTED_VALUE"""),42991)</f>
        <v>42991</v>
      </c>
      <c r="K116" s="5">
        <f ca="1">IFERROR(__xludf.DUMMYFUNCTION("""COMPUTED_VALUE"""),43003)</f>
        <v>43003</v>
      </c>
      <c r="L116" s="5">
        <f ca="1">IFERROR(__xludf.DUMMYFUNCTION("""COMPUTED_VALUE"""),43183)</f>
        <v>43183</v>
      </c>
      <c r="M116" s="5">
        <f ca="1">IFERROR(__xludf.DUMMYFUNCTION("""COMPUTED_VALUE"""),43184)</f>
        <v>43184</v>
      </c>
      <c r="N116" s="3" t="str">
        <f ca="1">IFERROR(__xludf.DUMMYFUNCTION("""COMPUTED_VALUE"""),"Finalizado")</f>
        <v>Finalizado</v>
      </c>
      <c r="O116" s="5">
        <f ca="1">IFERROR(__xludf.DUMMYFUNCTION("""COMPUTED_VALUE"""),43915)</f>
        <v>43915</v>
      </c>
      <c r="P116" s="3" t="str">
        <f ca="1">IFERROR(__xludf.DUMMYFUNCTION("""COMPUTED_VALUE"""),"O processo durou 3158 dias entre a assinatura do despacho de autorização de abertura do PAD pelo Reitor e a assinatura do despacho de concordância/divergência pelo mesmo.")</f>
        <v>O processo durou 3158 dias entre a assinatura do despacho de autorização de abertura do PAD pelo Reitor e a assinatura do despacho de concordância/divergência pelo mesmo.</v>
      </c>
      <c r="Q116" s="5">
        <f ca="1">IFERROR(__xludf.DUMMYFUNCTION("""COMPUTED_VALUE"""),45010)</f>
        <v>45010</v>
      </c>
      <c r="R116" s="3" t="str">
        <f ca="1">IFERROR(__xludf.DUMMYFUNCTION("""COMPUTED_VALUE"""),"Alessandra Abelheira")</f>
        <v>Alessandra Abelheira</v>
      </c>
      <c r="S116" s="3" t="str">
        <f ca="1">IFERROR(__xludf.DUMMYFUNCTION("""COMPUTED_VALUE"""),"Patrícia")</f>
        <v>Patrícia</v>
      </c>
      <c r="T116" s="3" t="str">
        <f ca="1">IFERROR(__xludf.DUMMYFUNCTION("""COMPUTED_VALUE"""),"Ariane Serpa")</f>
        <v>Ariane Serpa</v>
      </c>
      <c r="U116" s="3" t="str">
        <f ca="1">IFERROR(__xludf.DUMMYFUNCTION("""COMPUTED_VALUE"""),"Débora Ribeiro")</f>
        <v>Débora Ribeiro</v>
      </c>
      <c r="V116" s="3" t="str">
        <f ca="1">IFERROR(__xludf.DUMMYFUNCTION("""COMPUTED_VALUE"""),"Jair Eduardo Salim Magluf Veras")</f>
        <v>Jair Eduardo Salim Magluf Veras</v>
      </c>
      <c r="W116" s="3" t="str">
        <f ca="1">IFERROR(__xludf.DUMMYFUNCTION("""COMPUTED_VALUE"""),"E-26/007/1850/2017")</f>
        <v>E-26/007/1850/2017</v>
      </c>
      <c r="X116" s="3" t="str">
        <f ca="1">IFERROR(__xludf.DUMMYFUNCTION("""COMPUTED_VALUE"""),"S-Resposta do Reitor/Anotado.")</f>
        <v>S-Resposta do Reitor/Anotado.</v>
      </c>
    </row>
    <row r="117" spans="1:24" x14ac:dyDescent="0.2">
      <c r="A117" s="3" t="str">
        <f ca="1">IFERROR(__xludf.DUMMYFUNCTION("""COMPUTED_VALUE"""),"356/2022")</f>
        <v>356/2022</v>
      </c>
      <c r="B117" s="3" t="str">
        <f ca="1">IFERROR(__xludf.DUMMYFUNCTION("""COMPUTED_VALUE"""),"SEI-260007/019055/2022")</f>
        <v>SEI-260007/019055/2022</v>
      </c>
      <c r="C117" s="3" t="str">
        <f ca="1">IFERROR(__xludf.DUMMYFUNCTION("""COMPUTED_VALUE"""),"Luis Carlos Parente de Andrade, matrícula nº 34.403-6.")</f>
        <v>Luis Carlos Parente de Andrade, matrícula nº 34.403-6.</v>
      </c>
      <c r="D117" s="3" t="str">
        <f ca="1">IFERROR(__xludf.DUMMYFUNCTION("""COMPUTED_VALUE"""),"Desvio de conduta")</f>
        <v>Desvio de conduta</v>
      </c>
      <c r="E117" s="3" t="str">
        <f ca="1">IFERROR(__xludf.DUMMYFUNCTION("""COMPUTED_VALUE"""),"Desvio de conduta")</f>
        <v>Desvio de conduta</v>
      </c>
      <c r="F117" s="3" t="str">
        <f ca="1">IFERROR(__xludf.DUMMYFUNCTION("""COMPUTED_VALUE"""),"Abandono de cargo/ Inassiduidade habitual.")</f>
        <v>Abandono de cargo/ Inassiduidade habitual.</v>
      </c>
      <c r="G117" s="3" t="str">
        <f ca="1">IFERROR(__xludf.DUMMYFUNCTION("""COMPUTED_VALUE"""),"Abandono de cargo/ Inassiduidade habitual")</f>
        <v>Abandono de cargo/ Inassiduidade habitual</v>
      </c>
      <c r="H117" s="3" t="str">
        <f ca="1">IFERROR(__xludf.DUMMYFUNCTION("""COMPUTED_VALUE"""),"Apuração de faltas sucessivas de servidore lotado em Instituto de Artes superior a 10 dias")</f>
        <v>Apuração de faltas sucessivas de servidore lotado em Instituto de Artes superior a 10 dias</v>
      </c>
      <c r="I117" s="3"/>
      <c r="J117" s="5">
        <f ca="1">IFERROR(__xludf.DUMMYFUNCTION("""COMPUTED_VALUE"""),44642)</f>
        <v>44642</v>
      </c>
      <c r="K117" s="5">
        <f ca="1">IFERROR(__xludf.DUMMYFUNCTION("""COMPUTED_VALUE"""),44650)</f>
        <v>44650</v>
      </c>
      <c r="L117" s="5">
        <f ca="1">IFERROR(__xludf.DUMMYFUNCTION("""COMPUTED_VALUE"""),44830)</f>
        <v>44830</v>
      </c>
      <c r="M117" s="5">
        <f ca="1">IFERROR(__xludf.DUMMYFUNCTION("""COMPUTED_VALUE"""),44831)</f>
        <v>44831</v>
      </c>
      <c r="N117" s="3" t="str">
        <f ca="1">IFERROR(__xludf.DUMMYFUNCTION("""COMPUTED_VALUE"""),"Finalizado")</f>
        <v>Finalizado</v>
      </c>
      <c r="O117" s="5">
        <f ca="1">IFERROR(__xludf.DUMMYFUNCTION("""COMPUTED_VALUE"""),45562)</f>
        <v>45562</v>
      </c>
      <c r="P117" s="3" t="str">
        <f ca="1">IFERROR(__xludf.DUMMYFUNCTION("""COMPUTED_VALUE"""),"O processo durou 1508 dias entre a assinatura do despacho de autorização de abertura do PAD pelo Reitor e a assinatura do despacho de concordância/divergência pelo mesmo.")</f>
        <v>O processo durou 1508 dias entre a assinatura do despacho de autorização de abertura do PAD pelo Reitor e a assinatura do despacho de concordância/divergência pelo mesmo.</v>
      </c>
      <c r="Q117" s="5">
        <f ca="1">IFERROR(__xludf.DUMMYFUNCTION("""COMPUTED_VALUE"""),46657)</f>
        <v>46657</v>
      </c>
      <c r="R117" s="3" t="str">
        <f ca="1">IFERROR(__xludf.DUMMYFUNCTION("""COMPUTED_VALUE"""),"Vanessa Queiroz")</f>
        <v>Vanessa Queiroz</v>
      </c>
      <c r="S117" s="3" t="str">
        <f ca="1">IFERROR(__xludf.DUMMYFUNCTION("""COMPUTED_VALUE"""),"Patrícia")</f>
        <v>Patrícia</v>
      </c>
      <c r="T117" s="3" t="str">
        <f ca="1">IFERROR(__xludf.DUMMYFUNCTION("""COMPUTED_VALUE"""),"Marcelo Ferreira")</f>
        <v>Marcelo Ferreira</v>
      </c>
      <c r="U117" s="3" t="str">
        <f ca="1">IFERROR(__xludf.DUMMYFUNCTION("""COMPUTED_VALUE"""),"Patrícia Glioche")</f>
        <v>Patrícia Glioche</v>
      </c>
      <c r="V117" s="3" t="str">
        <f ca="1">IFERROR(__xludf.DUMMYFUNCTION("""COMPUTED_VALUE"""),"Não")</f>
        <v>Não</v>
      </c>
      <c r="W117" s="3" t="str">
        <f ca="1">IFERROR(__xludf.DUMMYFUNCTION("""COMPUTED_VALUE"""),"SEI-260007/004117/2021")</f>
        <v>SEI-260007/004117/2021</v>
      </c>
      <c r="X117" s="3" t="str">
        <f ca="1">IFERROR(__xludf.DUMMYFUNCTION("""COMPUTED_VALUE"""),"S-Resposta do Reitor/Anotado.")</f>
        <v>S-Resposta do Reitor/Anotado.</v>
      </c>
    </row>
    <row r="118" spans="1:24" x14ac:dyDescent="0.2">
      <c r="A118" s="3" t="str">
        <f ca="1">IFERROR(__xludf.DUMMYFUNCTION("""COMPUTED_VALUE"""),"444/2024")</f>
        <v>444/2024</v>
      </c>
      <c r="B118" s="3" t="str">
        <f ca="1">IFERROR(__xludf.DUMMYFUNCTION("""COMPUTED_VALUE"""),"SEI-260006/023349/2024")</f>
        <v>SEI-260006/023349/2024</v>
      </c>
      <c r="C118" s="3" t="str">
        <f ca="1">IFERROR(__xludf.DUMMYFUNCTION("""COMPUTED_VALUE"""),"Sandro Artur Fierz Silva,  matr
37523-8")</f>
        <v>Sandro Artur Fierz Silva,  matr
37523-8</v>
      </c>
      <c r="D118" s="3" t="str">
        <f ca="1">IFERROR(__xludf.DUMMYFUNCTION("""COMPUTED_VALUE"""),"Acumulação Ilegal")</f>
        <v>Acumulação Ilegal</v>
      </c>
      <c r="E118" s="3" t="str">
        <f ca="1">IFERROR(__xludf.DUMMYFUNCTION("""COMPUTED_VALUE"""),"Desvio de conduta")</f>
        <v>Desvio de conduta</v>
      </c>
      <c r="F118" s="3" t="str">
        <f ca="1">IFERROR(__xludf.DUMMYFUNCTION("""COMPUTED_VALUE"""),"Acumulação de cargos.")</f>
        <v>Acumulação de cargos.</v>
      </c>
      <c r="G118" s="3" t="str">
        <f ca="1">IFERROR(__xludf.DUMMYFUNCTION("""COMPUTED_VALUE"""),"Acumulação de cargos")</f>
        <v>Acumulação de cargos</v>
      </c>
      <c r="H118" s="3" t="str">
        <f ca="1">IFERROR(__xludf.DUMMYFUNCTION("""COMPUTED_VALUE"""),"Tríplice acumulação de cargos no período de 18/03/2014 a 17/09/2020.")</f>
        <v>Tríplice acumulação de cargos no período de 18/03/2014 a 17/09/2020.</v>
      </c>
      <c r="I118" s="3" t="str">
        <f ca="1">IFERROR(__xludf.DUMMYFUNCTION("""COMPUTED_VALUE"""),"Não")</f>
        <v>Não</v>
      </c>
      <c r="J118" s="5">
        <f ca="1">IFERROR(__xludf.DUMMYFUNCTION("""COMPUTED_VALUE"""),45422)</f>
        <v>45422</v>
      </c>
      <c r="K118" s="5">
        <f ca="1">IFERROR(__xludf.DUMMYFUNCTION("""COMPUTED_VALUE"""),45426)</f>
        <v>45426</v>
      </c>
      <c r="L118" s="5">
        <f ca="1">IFERROR(__xludf.DUMMYFUNCTION("""COMPUTED_VALUE"""),45606)</f>
        <v>45606</v>
      </c>
      <c r="M118" s="5">
        <f ca="1">IFERROR(__xludf.DUMMYFUNCTION("""COMPUTED_VALUE"""),45607)</f>
        <v>45607</v>
      </c>
      <c r="N118" s="3" t="str">
        <f ca="1">IFERROR(__xludf.DUMMYFUNCTION("""COMPUTED_VALUE"""),"Finalizado")</f>
        <v>Finalizado</v>
      </c>
      <c r="O118" s="5">
        <f ca="1">IFERROR(__xludf.DUMMYFUNCTION("""COMPUTED_VALUE"""),46337)</f>
        <v>46337</v>
      </c>
      <c r="P118" s="3" t="str">
        <f ca="1">IFERROR(__xludf.DUMMYFUNCTION("""COMPUTED_VALUE"""),"O processo durou 769 dias entre a assinatura do despacho de autorização de abertura do PAD pelo Reitor e a assinatura do despacho de concordância/divergência pelo mesmo.")</f>
        <v>O processo durou 769 dias entre a assinatura do despacho de autorização de abertura do PAD pelo Reitor e a assinatura do despacho de concordância/divergência pelo mesmo.</v>
      </c>
      <c r="Q118" s="5">
        <f ca="1">IFERROR(__xludf.DUMMYFUNCTION("""COMPUTED_VALUE"""),47433)</f>
        <v>47433</v>
      </c>
      <c r="R118" s="3" t="str">
        <f ca="1">IFERROR(__xludf.DUMMYFUNCTION("""COMPUTED_VALUE"""),"Marcelo Bento")</f>
        <v>Marcelo Bento</v>
      </c>
      <c r="S118" s="3" t="str">
        <f ca="1">IFERROR(__xludf.DUMMYFUNCTION("""COMPUTED_VALUE"""),"Isadora")</f>
        <v>Isadora</v>
      </c>
      <c r="T118" s="3" t="str">
        <f ca="1">IFERROR(__xludf.DUMMYFUNCTION("""COMPUTED_VALUE"""),"Marcelo Ferreira")</f>
        <v>Marcelo Ferreira</v>
      </c>
      <c r="U118" s="3" t="str">
        <f ca="1">IFERROR(__xludf.DUMMYFUNCTION("""COMPUTED_VALUE"""),"Alessandra Abelheira")</f>
        <v>Alessandra Abelheira</v>
      </c>
      <c r="V118" s="3" t="str">
        <f ca="1">IFERROR(__xludf.DUMMYFUNCTION("""COMPUTED_VALUE"""),"Não")</f>
        <v>Não</v>
      </c>
      <c r="W118" s="3" t="str">
        <f ca="1">IFERROR(__xludf.DUMMYFUNCTION("""COMPUTED_VALUE"""),"SEI-260007/002788/2020")</f>
        <v>SEI-260007/002788/2020</v>
      </c>
      <c r="X118" s="3" t="str">
        <f ca="1">IFERROR(__xludf.DUMMYFUNCTION("""COMPUTED_VALUE"""),"S-Resposta do Reitor/Anotado.")</f>
        <v>S-Resposta do Reitor/Anotado.</v>
      </c>
    </row>
    <row r="119" spans="1:24" x14ac:dyDescent="0.2">
      <c r="A119" s="3" t="str">
        <f ca="1">IFERROR(__xludf.DUMMYFUNCTION("""COMPUTED_VALUE"""),"331/2021")</f>
        <v>331/2021</v>
      </c>
      <c r="B119" s="3" t="str">
        <f ca="1">IFERROR(__xludf.DUMMYFUNCTION("""COMPUTED_VALUE"""),"SEI-260007/007364/2021")</f>
        <v>SEI-260007/007364/2021</v>
      </c>
      <c r="C119" s="3" t="str">
        <f ca="1">IFERROR(__xludf.DUMMYFUNCTION("""COMPUTED_VALUE"""),"Renato de Abreu Netto, matr. 34.172-7")</f>
        <v>Renato de Abreu Netto, matr. 34.172-7</v>
      </c>
      <c r="D119" s="3" t="str">
        <f ca="1">IFERROR(__xludf.DUMMYFUNCTION("""COMPUTED_VALUE"""),"Outros")</f>
        <v>Outros</v>
      </c>
      <c r="E119" s="3" t="str">
        <f ca="1">IFERROR(__xludf.DUMMYFUNCTION("""COMPUTED_VALUE"""),"Desvio de conduta")</f>
        <v>Desvio de conduta</v>
      </c>
      <c r="F119" s="3" t="str">
        <f ca="1">IFERROR(__xludf.DUMMYFUNCTION("""COMPUTED_VALUE"""),"Outros.")</f>
        <v>Outros.</v>
      </c>
      <c r="G119" s="3" t="str">
        <f ca="1">IFERROR(__xludf.DUMMYFUNCTION("""COMPUTED_VALUE"""),"Outros")</f>
        <v>Outros</v>
      </c>
      <c r="H119" s="3" t="str">
        <f ca="1">IFERROR(__xludf.DUMMYFUNCTION("""COMPUTED_VALUE"""),"Possíveis irregularidades ocorridas no âmbito do Processo Licitatório nº E-26/008/2591/2015, referente à aquisição de carros isotérmicos no setor de Nutrição no HUPE")</f>
        <v>Possíveis irregularidades ocorridas no âmbito do Processo Licitatório nº E-26/008/2591/2015, referente à aquisição de carros isotérmicos no setor de Nutrição no HUPE</v>
      </c>
      <c r="I119" s="3" t="str">
        <f ca="1">IFERROR(__xludf.DUMMYFUNCTION("""COMPUTED_VALUE"""),"Não")</f>
        <v>Não</v>
      </c>
      <c r="J119" s="5">
        <f ca="1">IFERROR(__xludf.DUMMYFUNCTION("""COMPUTED_VALUE"""),43791)</f>
        <v>43791</v>
      </c>
      <c r="K119" s="5">
        <f ca="1">IFERROR(__xludf.DUMMYFUNCTION("""COMPUTED_VALUE"""),43796)</f>
        <v>43796</v>
      </c>
      <c r="L119" s="5">
        <f ca="1">IFERROR(__xludf.DUMMYFUNCTION("""COMPUTED_VALUE"""),43976)</f>
        <v>43976</v>
      </c>
      <c r="M119" s="5">
        <f ca="1">IFERROR(__xludf.DUMMYFUNCTION("""COMPUTED_VALUE"""),43977)</f>
        <v>43977</v>
      </c>
      <c r="N119" s="3" t="str">
        <f ca="1">IFERROR(__xludf.DUMMYFUNCTION("""COMPUTED_VALUE"""),"Prazo expirado")</f>
        <v>Prazo expirado</v>
      </c>
      <c r="O119" s="5">
        <f ca="1">IFERROR(__xludf.DUMMYFUNCTION("""COMPUTED_VALUE"""),44707)</f>
        <v>44707</v>
      </c>
      <c r="P119" s="3">
        <f ca="1">IFERROR(__xludf.DUMMYFUNCTION("""COMPUTED_VALUE"""),-480)</f>
        <v>-480</v>
      </c>
      <c r="Q119" s="5">
        <f ca="1">IFERROR(__xludf.DUMMYFUNCTION("""COMPUTED_VALUE"""),45803)</f>
        <v>45803</v>
      </c>
      <c r="R119" s="3" t="str">
        <f ca="1">IFERROR(__xludf.DUMMYFUNCTION("""COMPUTED_VALUE"""),"Leonardo Rocha")</f>
        <v>Leonardo Rocha</v>
      </c>
      <c r="S119" s="3" t="str">
        <f ca="1">IFERROR(__xludf.DUMMYFUNCTION("""COMPUTED_VALUE"""),"Isadora")</f>
        <v>Isadora</v>
      </c>
      <c r="T119" s="3" t="str">
        <f ca="1">IFERROR(__xludf.DUMMYFUNCTION("""COMPUTED_VALUE"""),"Débora Ribeiro")</f>
        <v>Débora Ribeiro</v>
      </c>
      <c r="U119" s="3" t="str">
        <f ca="1">IFERROR(__xludf.DUMMYFUNCTION("""COMPUTED_VALUE"""),"Ariane Serpa")</f>
        <v>Ariane Serpa</v>
      </c>
      <c r="V119" s="3" t="str">
        <f ca="1">IFERROR(__xludf.DUMMYFUNCTION("""COMPUTED_VALUE"""),"Não")</f>
        <v>Não</v>
      </c>
      <c r="W119" s="3" t="str">
        <f ca="1">IFERROR(__xludf.DUMMYFUNCTION("""COMPUTED_VALUE"""),"Sindicância E-26/008/494/2019
Apuração de conduta- E-26/008/2591/2015")</f>
        <v>Sindicância E-26/008/494/2019
Apuração de conduta- E-26/008/2591/2015</v>
      </c>
      <c r="X119" s="3" t="str">
        <f ca="1">IFERROR(__xludf.DUMMYFUNCTION("""COMPUTED_VALUE"""),"5 -Envio à PG/ Encerrado.")</f>
        <v>5 -Envio à PG/ Encerrado.</v>
      </c>
    </row>
    <row r="120" spans="1:24" x14ac:dyDescent="0.2">
      <c r="A120" s="3" t="str">
        <f ca="1">IFERROR(__xludf.DUMMYFUNCTION("""COMPUTED_VALUE"""),"325/2021")</f>
        <v>325/2021</v>
      </c>
      <c r="B120" s="3" t="str">
        <f ca="1">IFERROR(__xludf.DUMMYFUNCTION("""COMPUTED_VALUE"""),"SEI-260007/002039/2021")</f>
        <v>SEI-260007/002039/2021</v>
      </c>
      <c r="C120" s="3" t="str">
        <f ca="1">IFERROR(__xludf.DUMMYFUNCTION("""COMPUTED_VALUE"""),"Luis Carlos Parente de Andrade, matrícula nº 34403-6.")</f>
        <v>Luis Carlos Parente de Andrade, matrícula nº 34403-6.</v>
      </c>
      <c r="D120" s="3" t="str">
        <f ca="1">IFERROR(__xludf.DUMMYFUNCTION("""COMPUTED_VALUE"""),"Desvio de conduta")</f>
        <v>Desvio de conduta</v>
      </c>
      <c r="E120" s="3" t="str">
        <f ca="1">IFERROR(__xludf.DUMMYFUNCTION("""COMPUTED_VALUE"""),"Desvio de conduta")</f>
        <v>Desvio de conduta</v>
      </c>
      <c r="F120" s="3" t="str">
        <f ca="1">IFERROR(__xludf.DUMMYFUNCTION("""COMPUTED_VALUE"""),"Outros.")</f>
        <v>Outros.</v>
      </c>
      <c r="G120" s="3" t="str">
        <f ca="1">IFERROR(__xludf.DUMMYFUNCTION("""COMPUTED_VALUE"""),"Outros")</f>
        <v>Outros</v>
      </c>
      <c r="H120" s="3" t="str">
        <f ca="1">IFERROR(__xludf.DUMMYFUNCTION("""COMPUTED_VALUE"""),"Conduta inapropriada em sala de aula, embriaguez em serviço, falta de assiduidade e pontualidade")</f>
        <v>Conduta inapropriada em sala de aula, embriaguez em serviço, falta de assiduidade e pontualidade</v>
      </c>
      <c r="I120" s="3"/>
      <c r="J120" s="5">
        <f ca="1">IFERROR(__xludf.DUMMYFUNCTION("""COMPUTED_VALUE"""),43843)</f>
        <v>43843</v>
      </c>
      <c r="K120" s="5">
        <f ca="1">IFERROR(__xludf.DUMMYFUNCTION("""COMPUTED_VALUE"""),43857)</f>
        <v>43857</v>
      </c>
      <c r="L120" s="5">
        <f ca="1">IFERROR(__xludf.DUMMYFUNCTION("""COMPUTED_VALUE"""),44037)</f>
        <v>44037</v>
      </c>
      <c r="M120" s="5">
        <f ca="1">IFERROR(__xludf.DUMMYFUNCTION("""COMPUTED_VALUE"""),44038)</f>
        <v>44038</v>
      </c>
      <c r="N120" s="3" t="str">
        <f ca="1">IFERROR(__xludf.DUMMYFUNCTION("""COMPUTED_VALUE"""),"Prazo expirado")</f>
        <v>Prazo expirado</v>
      </c>
      <c r="O120" s="5">
        <f ca="1">IFERROR(__xludf.DUMMYFUNCTION("""COMPUTED_VALUE"""),44768)</f>
        <v>44768</v>
      </c>
      <c r="P120" s="3">
        <f ca="1">IFERROR(__xludf.DUMMYFUNCTION("""COMPUTED_VALUE"""),-419)</f>
        <v>-419</v>
      </c>
      <c r="Q120" s="5">
        <f ca="1">IFERROR(__xludf.DUMMYFUNCTION("""COMPUTED_VALUE"""),45864)</f>
        <v>45864</v>
      </c>
      <c r="R120" s="3" t="str">
        <f ca="1">IFERROR(__xludf.DUMMYFUNCTION("""COMPUTED_VALUE"""),"Leonardo Rocha")</f>
        <v>Leonardo Rocha</v>
      </c>
      <c r="S120" s="3" t="str">
        <f ca="1">IFERROR(__xludf.DUMMYFUNCTION("""COMPUTED_VALUE"""),"Débora")</f>
        <v>Débora</v>
      </c>
      <c r="T120" s="3" t="str">
        <f ca="1">IFERROR(__xludf.DUMMYFUNCTION("""COMPUTED_VALUE"""),"Ariane Serpa")</f>
        <v>Ariane Serpa</v>
      </c>
      <c r="U120" s="3" t="str">
        <f ca="1">IFERROR(__xludf.DUMMYFUNCTION("""COMPUTED_VALUE"""),"Patrícia Glioche")</f>
        <v>Patrícia Glioche</v>
      </c>
      <c r="V120" s="3" t="str">
        <f ca="1">IFERROR(__xludf.DUMMYFUNCTION("""COMPUTED_VALUE"""),"Jair Eduardo Salim Magluf Veras")</f>
        <v>Jair Eduardo Salim Magluf Veras</v>
      </c>
      <c r="W120" s="3" t="str">
        <f ca="1">IFERROR(__xludf.DUMMYFUNCTION("""COMPUTED_VALUE"""),"E-26/007/6599/2019")</f>
        <v>E-26/007/6599/2019</v>
      </c>
      <c r="X120" s="3" t="str">
        <f ca="1">IFERROR(__xludf.DUMMYFUNCTION("""COMPUTED_VALUE"""),"5 -Envio à PG/ Encerrado.")</f>
        <v>5 -Envio à PG/ Encerrado.</v>
      </c>
    </row>
    <row r="121" spans="1:24" x14ac:dyDescent="0.2">
      <c r="A121" s="3" t="str">
        <f ca="1">IFERROR(__xludf.DUMMYFUNCTION("""COMPUTED_VALUE"""),"420/2023")</f>
        <v>420/2023</v>
      </c>
      <c r="B121" s="3" t="str">
        <f ca="1">IFERROR(__xludf.DUMMYFUNCTION("""COMPUTED_VALUE"""),"SEI-260007/062483/2023")</f>
        <v>SEI-260007/062483/2023</v>
      </c>
      <c r="C121" s="3" t="str">
        <f ca="1">IFERROR(__xludf.DUMMYFUNCTION("""COMPUTED_VALUE"""),"EUCLÍDES VIRGINIO DA SILVA NETO, matrícula nº 37033-8.")</f>
        <v>EUCLÍDES VIRGINIO DA SILVA NETO, matrícula nº 37033-8.</v>
      </c>
      <c r="D121" s="3" t="str">
        <f ca="1">IFERROR(__xludf.DUMMYFUNCTION("""COMPUTED_VALUE"""),"Assédio moral/sexual/discriminação.")</f>
        <v>Assédio moral/sexual/discriminação.</v>
      </c>
      <c r="E121" s="3" t="str">
        <f ca="1">IFERROR(__xludf.DUMMYFUNCTION("""COMPUTED_VALUE"""),"Assédio moral/sexual/discriminação.")</f>
        <v>Assédio moral/sexual/discriminação.</v>
      </c>
      <c r="F121" s="3" t="str">
        <f ca="1">IFERROR(__xludf.DUMMYFUNCTION("""COMPUTED_VALUE"""),"Assédio moral/sexual/discriminação.")</f>
        <v>Assédio moral/sexual/discriminação.</v>
      </c>
      <c r="G121" s="3" t="str">
        <f ca="1">IFERROR(__xludf.DUMMYFUNCTION("""COMPUTED_VALUE"""),"Assédio moral/sexual/discriminação")</f>
        <v>Assédio moral/sexual/discriminação</v>
      </c>
      <c r="H121" s="3" t="str">
        <f ca="1">IFERROR(__xludf.DUMMYFUNCTION("""COMPUTED_VALUE"""),"Motorista denuncia suposto assédio moral do Coordenador EUCLÍDES VIRGINIO DA SILVA NETO, matrícula nº 37033-8.")</f>
        <v>Motorista denuncia suposto assédio moral do Coordenador EUCLÍDES VIRGINIO DA SILVA NETO, matrícula nº 37033-8.</v>
      </c>
      <c r="I121" s="3"/>
      <c r="J121" s="7">
        <f ca="1">IFERROR(__xludf.DUMMYFUNCTION("""COMPUTED_VALUE"""),45252)</f>
        <v>45252</v>
      </c>
      <c r="K121" s="5">
        <f ca="1">IFERROR(__xludf.DUMMYFUNCTION("""COMPUTED_VALUE"""),45257)</f>
        <v>45257</v>
      </c>
      <c r="L121" s="5">
        <f ca="1">IFERROR(__xludf.DUMMYFUNCTION("""COMPUTED_VALUE"""),45437)</f>
        <v>45437</v>
      </c>
      <c r="M121" s="5">
        <f ca="1">IFERROR(__xludf.DUMMYFUNCTION("""COMPUTED_VALUE"""),45438)</f>
        <v>45438</v>
      </c>
      <c r="N121" s="3" t="str">
        <f ca="1">IFERROR(__xludf.DUMMYFUNCTION("""COMPUTED_VALUE"""),"Finalizado")</f>
        <v>Finalizado</v>
      </c>
      <c r="O121" s="5">
        <f ca="1">IFERROR(__xludf.DUMMYFUNCTION("""COMPUTED_VALUE"""),46168)</f>
        <v>46168</v>
      </c>
      <c r="P121" s="3" t="str">
        <f ca="1">IFERROR(__xludf.DUMMYFUNCTION("""COMPUTED_VALUE"""),"O processo durou 939 dias entre a assinatura do despacho de autorização de abertura do PAD pelo Reitor e a assinatura do despacho de concordância/divergência pelo mesmo.")</f>
        <v>O processo durou 939 dias entre a assinatura do despacho de autorização de abertura do PAD pelo Reitor e a assinatura do despacho de concordância/divergência pelo mesmo.</v>
      </c>
      <c r="Q121" s="5">
        <f ca="1">IFERROR(__xludf.DUMMYFUNCTION("""COMPUTED_VALUE"""),47264)</f>
        <v>47264</v>
      </c>
      <c r="R121" s="3" t="str">
        <f ca="1">IFERROR(__xludf.DUMMYFUNCTION("""COMPUTED_VALUE"""),"Vanessa Queiroz")</f>
        <v>Vanessa Queiroz</v>
      </c>
      <c r="S121" s="3" t="str">
        <f ca="1">IFERROR(__xludf.DUMMYFUNCTION("""COMPUTED_VALUE"""),"Franciane")</f>
        <v>Franciane</v>
      </c>
      <c r="T121" s="3" t="str">
        <f ca="1">IFERROR(__xludf.DUMMYFUNCTION("""COMPUTED_VALUE"""),"Hannah Oliveira")</f>
        <v>Hannah Oliveira</v>
      </c>
      <c r="U121" s="3" t="str">
        <f ca="1">IFERROR(__xludf.DUMMYFUNCTION("""COMPUTED_VALUE"""),"Marcelo Ferreira")</f>
        <v>Marcelo Ferreira</v>
      </c>
      <c r="V121" s="3" t="str">
        <f ca="1">IFERROR(__xludf.DUMMYFUNCTION("""COMPUTED_VALUE"""),"Não")</f>
        <v>Não</v>
      </c>
      <c r="W121" s="3" t="str">
        <f ca="1">IFERROR(__xludf.DUMMYFUNCTION("""COMPUTED_VALUE"""),"SEI-260007/039755/2022")</f>
        <v>SEI-260007/039755/2022</v>
      </c>
      <c r="X121" s="3" t="str">
        <f ca="1">IFERROR(__xludf.DUMMYFUNCTION("""COMPUTED_VALUE"""),"S-Resposta do Reitor/Anotado.")</f>
        <v>S-Resposta do Reitor/Anotado.</v>
      </c>
    </row>
    <row r="122" spans="1:24" x14ac:dyDescent="0.2">
      <c r="A122" s="3" t="str">
        <f ca="1">IFERROR(__xludf.DUMMYFUNCTION("""COMPUTED_VALUE"""),"407/2023")</f>
        <v>407/2023</v>
      </c>
      <c r="B122" s="3" t="str">
        <f ca="1">IFERROR(__xludf.DUMMYFUNCTION("""COMPUTED_VALUE"""),"SEI-260007/031447/2023")</f>
        <v>SEI-260007/031447/2023</v>
      </c>
      <c r="C122" s="3" t="str">
        <f ca="1">IFERROR(__xludf.DUMMYFUNCTION("""COMPUTED_VALUE"""),"Camilla Silva Miranda, matrícula nº 40013-5.")</f>
        <v>Camilla Silva Miranda, matrícula nº 40013-5.</v>
      </c>
      <c r="D122" s="3" t="str">
        <f ca="1">IFERROR(__xludf.DUMMYFUNCTION("""COMPUTED_VALUE"""),"Desvio de conduta")</f>
        <v>Desvio de conduta</v>
      </c>
      <c r="E122" s="3" t="str">
        <f ca="1">IFERROR(__xludf.DUMMYFUNCTION("""COMPUTED_VALUE"""),"Desvio de conduta")</f>
        <v>Desvio de conduta</v>
      </c>
      <c r="F122" s="3" t="str">
        <f ca="1">IFERROR(__xludf.DUMMYFUNCTION("""COMPUTED_VALUE"""),"Abandono de cargo/ Inassiduidade habitual.")</f>
        <v>Abandono de cargo/ Inassiduidade habitual.</v>
      </c>
      <c r="G122" s="3" t="str">
        <f ca="1">IFERROR(__xludf.DUMMYFUNCTION("""COMPUTED_VALUE"""),"Abandono de cargo/ Inassiduidade habitual")</f>
        <v>Abandono de cargo/ Inassiduidade habitual</v>
      </c>
      <c r="H122" s="3" t="str">
        <f ca="1">IFERROR(__xludf.DUMMYFUNCTION("""COMPUTED_VALUE"""),"Faltas injustificadas, com fulcro no inciso V do artigo 52 do Decreto Lei 220/75")</f>
        <v>Faltas injustificadas, com fulcro no inciso V do artigo 52 do Decreto Lei 220/75</v>
      </c>
      <c r="I122" s="3"/>
      <c r="J122" s="5">
        <f ca="1">IFERROR(__xludf.DUMMYFUNCTION("""COMPUTED_VALUE"""),45089)</f>
        <v>45089</v>
      </c>
      <c r="K122" s="5">
        <f ca="1">IFERROR(__xludf.DUMMYFUNCTION("""COMPUTED_VALUE"""),45091)</f>
        <v>45091</v>
      </c>
      <c r="L122" s="5">
        <f ca="1">IFERROR(__xludf.DUMMYFUNCTION("""COMPUTED_VALUE"""),45271)</f>
        <v>45271</v>
      </c>
      <c r="M122" s="5">
        <f ca="1">IFERROR(__xludf.DUMMYFUNCTION("""COMPUTED_VALUE"""),45272)</f>
        <v>45272</v>
      </c>
      <c r="N122" s="3" t="str">
        <f ca="1">IFERROR(__xludf.DUMMYFUNCTION("""COMPUTED_VALUE"""),"Finalizado")</f>
        <v>Finalizado</v>
      </c>
      <c r="O122" s="5">
        <f ca="1">IFERROR(__xludf.DUMMYFUNCTION("""COMPUTED_VALUE"""),46003)</f>
        <v>46003</v>
      </c>
      <c r="P122" s="3" t="str">
        <f ca="1">IFERROR(__xludf.DUMMYFUNCTION("""COMPUTED_VALUE"""),"O processo durou 1117 dias entre a assinatura do despacho de autorização de abertura do PAD pelo Reitor e a assinatura do despacho de concordância/divergência pelo mesmo.")</f>
        <v>O processo durou 1117 dias entre a assinatura do despacho de autorização de abertura do PAD pelo Reitor e a assinatura do despacho de concordância/divergência pelo mesmo.</v>
      </c>
      <c r="Q122" s="5">
        <f ca="1">IFERROR(__xludf.DUMMYFUNCTION("""COMPUTED_VALUE"""),47099)</f>
        <v>47099</v>
      </c>
      <c r="R122" s="3" t="str">
        <f ca="1">IFERROR(__xludf.DUMMYFUNCTION("""COMPUTED_VALUE"""),"Marcelo Bento")</f>
        <v>Marcelo Bento</v>
      </c>
      <c r="S122" s="3" t="str">
        <f ca="1">IFERROR(__xludf.DUMMYFUNCTION("""COMPUTED_VALUE"""),"Franciane")</f>
        <v>Franciane</v>
      </c>
      <c r="T122" s="3" t="str">
        <f ca="1">IFERROR(__xludf.DUMMYFUNCTION("""COMPUTED_VALUE"""),"Alessandra Abelheira")</f>
        <v>Alessandra Abelheira</v>
      </c>
      <c r="U122" s="3" t="str">
        <f ca="1">IFERROR(__xludf.DUMMYFUNCTION("""COMPUTED_VALUE"""),"Karolynne Rocha")</f>
        <v>Karolynne Rocha</v>
      </c>
      <c r="V122" s="3" t="str">
        <f ca="1">IFERROR(__xludf.DUMMYFUNCTION("""COMPUTED_VALUE"""),"Não")</f>
        <v>Não</v>
      </c>
      <c r="W122" s="3" t="str">
        <f ca="1">IFERROR(__xludf.DUMMYFUNCTION("""COMPUTED_VALUE"""),"SEI-260007/023298/2021")</f>
        <v>SEI-260007/023298/2021</v>
      </c>
      <c r="X122" s="3" t="str">
        <f ca="1">IFERROR(__xludf.DUMMYFUNCTION("""COMPUTED_VALUE"""),"S-Resposta do Reitor/Anotado.")</f>
        <v>S-Resposta do Reitor/Anotado.</v>
      </c>
    </row>
    <row r="123" spans="1:24" x14ac:dyDescent="0.2">
      <c r="A123" s="3" t="str">
        <f ca="1">IFERROR(__xludf.DUMMYFUNCTION("""COMPUTED_VALUE"""),"447/2024")</f>
        <v>447/2024</v>
      </c>
      <c r="B123" s="3" t="str">
        <f ca="1">IFERROR(__xludf.DUMMYFUNCTION("""COMPUTED_VALUE"""),"SEI-260006/031261/2024")</f>
        <v>SEI-260006/031261/2024</v>
      </c>
      <c r="C123" s="3" t="str">
        <f ca="1">IFERROR(__xludf.DUMMYFUNCTION("""COMPUTED_VALUE"""),"Dayse do Nascimento Wassita, 27022-3.")</f>
        <v>Dayse do Nascimento Wassita, 27022-3.</v>
      </c>
      <c r="D123" s="3" t="str">
        <f ca="1">IFERROR(__xludf.DUMMYFUNCTION("""COMPUTED_VALUE"""),"Assédio moral/sexual/discriminação.")</f>
        <v>Assédio moral/sexual/discriminação.</v>
      </c>
      <c r="E123" s="3"/>
      <c r="F123" s="3" t="str">
        <f ca="1">IFERROR(__xludf.DUMMYFUNCTION("""COMPUTED_VALUE"""),"Assédio moral/sexual/discriminação.")</f>
        <v>Assédio moral/sexual/discriminação.</v>
      </c>
      <c r="G123" s="3" t="str">
        <f ca="1">IFERROR(__xludf.DUMMYFUNCTION("""COMPUTED_VALUE"""),"Assédio moral/sexual/discriminação")</f>
        <v>Assédio moral/sexual/discriminação</v>
      </c>
      <c r="H123" s="3" t="str">
        <f ca="1">IFERROR(__xludf.DUMMYFUNCTION("""COMPUTED_VALUE"""),"indícios da prática de atos de assédio moral e da violação de outros deveres funcionais, enquadrando-se tais condutas, em tese (Decreto-lei estadual no 220/1975, arts. 39, 40 e 52) e em seu regulamento (Decreto estadual no 2.479/1979, arts. 285, 286 e 298"&amp;"), além da Lei estadual nº 3.921/2002 (arts. 2o e 4o), que prevê hipóteses de configuração do assédio moral.")</f>
        <v>indícios da prática de atos de assédio moral e da violação de outros deveres funcionais, enquadrando-se tais condutas, em tese (Decreto-lei estadual no 220/1975, arts. 39, 40 e 52) e em seu regulamento (Decreto estadual no 2.479/1979, arts. 285, 286 e 298), além da Lei estadual nº 3.921/2002 (arts. 2o e 4o), que prevê hipóteses de configuração do assédio moral.</v>
      </c>
      <c r="I123" s="3" t="str">
        <f ca="1">IFERROR(__xludf.DUMMYFUNCTION("""COMPUTED_VALUE"""),"PROCESSO Nº SEI-260006/008514/2025 - ACOLHOa recomendação
 da CGUERJ através da Manifestação 581. DETERMINO a aplicação,
 em desfavor da servidora Dayse do Nascimento Wassita, matr. nº
 27022-3, de medida cautelar de afastamento do cargo de chefe de
 Enfe"&amp;"rmagem no setor de Radioterapia do HUPE (CUCC).")</f>
        <v>PROCESSO Nº SEI-260006/008514/2025 - ACOLHOa recomendação
 da CGUERJ através da Manifestação 581. DETERMINO a aplicação,
 em desfavor da servidora Dayse do Nascimento Wassita, matr. nº
 27022-3, de medida cautelar de afastamento do cargo de chefe de
 Enfermagem no setor de Radioterapia do HUPE (CUCC).</v>
      </c>
      <c r="J123" s="5">
        <f ca="1">IFERROR(__xludf.DUMMYFUNCTION("""COMPUTED_VALUE"""),45478)</f>
        <v>45478</v>
      </c>
      <c r="K123" s="5">
        <f ca="1">IFERROR(__xludf.DUMMYFUNCTION("""COMPUTED_VALUE"""),45485)</f>
        <v>45485</v>
      </c>
      <c r="L123" s="5">
        <f ca="1">IFERROR(__xludf.DUMMYFUNCTION("""COMPUTED_VALUE"""),45665)</f>
        <v>45665</v>
      </c>
      <c r="M123" s="5">
        <f ca="1">IFERROR(__xludf.DUMMYFUNCTION("""COMPUTED_VALUE"""),45666)</f>
        <v>45666</v>
      </c>
      <c r="N123" s="3" t="str">
        <f ca="1">IFERROR(__xludf.DUMMYFUNCTION("""COMPUTED_VALUE"""),"Finalizado")</f>
        <v>Finalizado</v>
      </c>
      <c r="O123" s="5">
        <f ca="1">IFERROR(__xludf.DUMMYFUNCTION("""COMPUTED_VALUE"""),46396)</f>
        <v>46396</v>
      </c>
      <c r="P123" s="3" t="str">
        <f ca="1">IFERROR(__xludf.DUMMYFUNCTION("""COMPUTED_VALUE"""),"O processo durou 713 dias entre a assinatura do despacho de autorização de abertura do PAD pelo Reitor e a assinatura do despacho de concordância/divergência pelo mesmo.")</f>
        <v>O processo durou 713 dias entre a assinatura do despacho de autorização de abertura do PAD pelo Reitor e a assinatura do despacho de concordância/divergência pelo mesmo.</v>
      </c>
      <c r="Q123" s="5">
        <f ca="1">IFERROR(__xludf.DUMMYFUNCTION("""COMPUTED_VALUE"""),47492)</f>
        <v>47492</v>
      </c>
      <c r="R123" s="3" t="str">
        <f ca="1">IFERROR(__xludf.DUMMYFUNCTION("""COMPUTED_VALUE"""),"Bianca Faertes")</f>
        <v>Bianca Faertes</v>
      </c>
      <c r="S123" s="3" t="str">
        <f ca="1">IFERROR(__xludf.DUMMYFUNCTION("""COMPUTED_VALUE"""),"Débora")</f>
        <v>Débora</v>
      </c>
      <c r="T123" s="3" t="str">
        <f ca="1">IFERROR(__xludf.DUMMYFUNCTION("""COMPUTED_VALUE"""),"Hannah Oliveira")</f>
        <v>Hannah Oliveira</v>
      </c>
      <c r="U123" s="3" t="str">
        <f ca="1">IFERROR(__xludf.DUMMYFUNCTION("""COMPUTED_VALUE"""),"Jeanny Passigatte")</f>
        <v>Jeanny Passigatte</v>
      </c>
      <c r="V123" s="3" t="str">
        <f ca="1">IFERROR(__xludf.DUMMYFUNCTION("""COMPUTED_VALUE"""),"Não")</f>
        <v>Não</v>
      </c>
      <c r="W123" s="3" t="str">
        <f ca="1">IFERROR(__xludf.DUMMYFUNCTION("""COMPUTED_VALUE"""),"SEI-260008/005286/2023")</f>
        <v>SEI-260008/005286/2023</v>
      </c>
      <c r="X123" s="3" t="str">
        <f ca="1">IFERROR(__xludf.DUMMYFUNCTION("""COMPUTED_VALUE"""),"S-Resposta do Reitor/Anotado.")</f>
        <v>S-Resposta do Reitor/Anotado.</v>
      </c>
    </row>
    <row r="124" spans="1:24" x14ac:dyDescent="0.2">
      <c r="A124" s="3" t="str">
        <f ca="1">IFERROR(__xludf.DUMMYFUNCTION("""COMPUTED_VALUE"""),"449/2024")</f>
        <v>449/2024</v>
      </c>
      <c r="B124" s="3" t="str">
        <f ca="1">IFERROR(__xludf.DUMMYFUNCTION("""COMPUTED_VALUE"""),"SEI-260006/037115/2024")</f>
        <v>SEI-260006/037115/2024</v>
      </c>
      <c r="C124" s="3" t="str">
        <f ca="1">IFERROR(__xludf.DUMMYFUNCTION("""COMPUTED_VALUE"""),"Gisele dos Santos Oliveira, matrícula nº 31.465-8,")</f>
        <v>Gisele dos Santos Oliveira, matrícula nº 31.465-8,</v>
      </c>
      <c r="D124" s="3" t="str">
        <f ca="1">IFERROR(__xludf.DUMMYFUNCTION("""COMPUTED_VALUE"""),"Desvio de conduta")</f>
        <v>Desvio de conduta</v>
      </c>
      <c r="E124" s="3"/>
      <c r="F124" s="3" t="str">
        <f ca="1">IFERROR(__xludf.DUMMYFUNCTION("""COMPUTED_VALUE"""),"Outros.")</f>
        <v>Outros.</v>
      </c>
      <c r="G124" s="3" t="str">
        <f ca="1">IFERROR(__xludf.DUMMYFUNCTION("""COMPUTED_VALUE"""),"Incontinência pública e escandalosa, Outros")</f>
        <v>Incontinência pública e escandalosa, Outros</v>
      </c>
      <c r="H124" s="3" t="str">
        <f ca="1">IFERROR(__xludf.DUMMYFUNCTION("""COMPUTED_VALUE"""),"urbanidade, discrição e boa conduta (artigo 39, III, IV e V do DL (220/75) e dano ao patrimônio público (artigo 50, I do DL 220/75).")</f>
        <v>urbanidade, discrição e boa conduta (artigo 39, III, IV e V do DL (220/75) e dano ao patrimônio público (artigo 50, I do DL 220/75).</v>
      </c>
      <c r="I124" s="3"/>
      <c r="J124" s="5">
        <f ca="1">IFERROR(__xludf.DUMMYFUNCTION("""COMPUTED_VALUE"""),45516)</f>
        <v>45516</v>
      </c>
      <c r="K124" s="5">
        <f ca="1">IFERROR(__xludf.DUMMYFUNCTION("""COMPUTED_VALUE"""),45518)</f>
        <v>45518</v>
      </c>
      <c r="L124" s="5">
        <f ca="1">IFERROR(__xludf.DUMMYFUNCTION("""COMPUTED_VALUE"""),45698)</f>
        <v>45698</v>
      </c>
      <c r="M124" s="5">
        <f ca="1">IFERROR(__xludf.DUMMYFUNCTION("""COMPUTED_VALUE"""),45699)</f>
        <v>45699</v>
      </c>
      <c r="N124" s="3" t="str">
        <f ca="1">IFERROR(__xludf.DUMMYFUNCTION("""COMPUTED_VALUE"""),"Finalizado")</f>
        <v>Finalizado</v>
      </c>
      <c r="O124" s="5">
        <f ca="1">IFERROR(__xludf.DUMMYFUNCTION("""COMPUTED_VALUE"""),46429)</f>
        <v>46429</v>
      </c>
      <c r="P124" s="3" t="str">
        <f ca="1">IFERROR(__xludf.DUMMYFUNCTION("""COMPUTED_VALUE"""),"O processo durou 695 dias entre a assinatura do despacho de autorização de abertura do PAD pelo Reitor e a assinatura do despacho de concordância/divergência pelo mesmo.")</f>
        <v>O processo durou 695 dias entre a assinatura do despacho de autorização de abertura do PAD pelo Reitor e a assinatura do despacho de concordância/divergência pelo mesmo.</v>
      </c>
      <c r="Q124" s="5">
        <f ca="1">IFERROR(__xludf.DUMMYFUNCTION("""COMPUTED_VALUE"""),47525)</f>
        <v>47525</v>
      </c>
      <c r="R124" s="3" t="str">
        <f ca="1">IFERROR(__xludf.DUMMYFUNCTION("""COMPUTED_VALUE"""),"Marcelo Bento")</f>
        <v>Marcelo Bento</v>
      </c>
      <c r="S124" s="3" t="str">
        <f ca="1">IFERROR(__xludf.DUMMYFUNCTION("""COMPUTED_VALUE"""),"Micheline")</f>
        <v>Micheline</v>
      </c>
      <c r="T124" s="3" t="str">
        <f ca="1">IFERROR(__xludf.DUMMYFUNCTION("""COMPUTED_VALUE"""),"Marcelo Ferreira")</f>
        <v>Marcelo Ferreira</v>
      </c>
      <c r="U124" s="3" t="str">
        <f ca="1">IFERROR(__xludf.DUMMYFUNCTION("""COMPUTED_VALUE"""),"Felipe Perdigão")</f>
        <v>Felipe Perdigão</v>
      </c>
      <c r="V124" s="3"/>
      <c r="W124" s="3" t="str">
        <f ca="1">IFERROR(__xludf.DUMMYFUNCTION("""COMPUTED_VALUE"""),"SEI-260006/022093/2024")</f>
        <v>SEI-260006/022093/2024</v>
      </c>
      <c r="X124" s="3" t="str">
        <f ca="1">IFERROR(__xludf.DUMMYFUNCTION("""COMPUTED_VALUE"""),"S-Resposta do Reitor/Anotado.")</f>
        <v>S-Resposta do Reitor/Anotado.</v>
      </c>
    </row>
    <row r="125" spans="1:24" x14ac:dyDescent="0.2">
      <c r="A125" s="3" t="str">
        <f ca="1">IFERROR(__xludf.DUMMYFUNCTION("""COMPUTED_VALUE"""),"466/2024")</f>
        <v>466/2024</v>
      </c>
      <c r="B125" s="3" t="str">
        <f ca="1">IFERROR(__xludf.DUMMYFUNCTION("""COMPUTED_VALUE"""),"SEI-260006/052504/2024")</f>
        <v>SEI-260006/052504/2024</v>
      </c>
      <c r="C125" s="3" t="str">
        <f ca="1">IFERROR(__xludf.DUMMYFUNCTION("""COMPUTED_VALUE"""),"Tania de Souza Porto, 23630-5")</f>
        <v>Tania de Souza Porto, 23630-5</v>
      </c>
      <c r="D125" s="3" t="str">
        <f ca="1">IFERROR(__xludf.DUMMYFUNCTION("""COMPUTED_VALUE"""),"Infração Administrativa")</f>
        <v>Infração Administrativa</v>
      </c>
      <c r="E125" s="3"/>
      <c r="F125" s="3" t="str">
        <f ca="1">IFERROR(__xludf.DUMMYFUNCTION("""COMPUTED_VALUE"""),"Outros.")</f>
        <v>Outros.</v>
      </c>
      <c r="G125" s="3" t="str">
        <f ca="1">IFERROR(__xludf.DUMMYFUNCTION("""COMPUTED_VALUE"""),"com fulcro nos incisos III, IV e V do artigo 39, inciso I do artigo 50 e inciso II do artigo 52 do Decreto-Lei 220/75, considerando os indícios de autoria e da prática de infração administrativa disciplinar de natureza grave;")</f>
        <v>com fulcro nos incisos III, IV e V do artigo 39, inciso I do artigo 50 e inciso II do artigo 52 do Decreto-Lei 220/75, considerando os indícios de autoria e da prática de infração administrativa disciplinar de natureza grave;</v>
      </c>
      <c r="H125" s="3" t="str">
        <f ca="1">IFERROR(__xludf.DUMMYFUNCTION("""COMPUTED_VALUE"""),"com fulcro nos incisos III, IV e V do artigo 39, inciso I do artigo 50 e inciso II do artigo 52 do Decreto-Lei 220/75, considerando os indícios de autoria e da prática de infração administrativa disciplinar de natureza grave;")</f>
        <v>com fulcro nos incisos III, IV e V do artigo 39, inciso I do artigo 50 e inciso II do artigo 52 do Decreto-Lei 220/75, considerando os indícios de autoria e da prática de infração administrativa disciplinar de natureza grave;</v>
      </c>
      <c r="I125" s="3" t="str">
        <f ca="1">IFERROR(__xludf.DUMMYFUNCTION("""COMPUTED_VALUE"""),"Afastamento cautelar da servidora, com fulcro no artigo 43 da Lei 5.427/2009")</f>
        <v>Afastamento cautelar da servidora, com fulcro no artigo 43 da Lei 5.427/2009</v>
      </c>
      <c r="J125" s="5">
        <f ca="1">IFERROR(__xludf.DUMMYFUNCTION("""COMPUTED_VALUE"""),45603)</f>
        <v>45603</v>
      </c>
      <c r="K125" s="5">
        <f ca="1">IFERROR(__xludf.DUMMYFUNCTION("""COMPUTED_VALUE"""),45609)</f>
        <v>45609</v>
      </c>
      <c r="L125" s="5">
        <f ca="1">IFERROR(__xludf.DUMMYFUNCTION("""COMPUTED_VALUE"""),45789)</f>
        <v>45789</v>
      </c>
      <c r="M125" s="5">
        <f ca="1">IFERROR(__xludf.DUMMYFUNCTION("""COMPUTED_VALUE"""),45790)</f>
        <v>45790</v>
      </c>
      <c r="N125" s="3" t="str">
        <f ca="1">IFERROR(__xludf.DUMMYFUNCTION("""COMPUTED_VALUE"""),"Finalizado")</f>
        <v>Finalizado</v>
      </c>
      <c r="O125" s="5">
        <f ca="1">IFERROR(__xludf.DUMMYFUNCTION("""COMPUTED_VALUE"""),46520)</f>
        <v>46520</v>
      </c>
      <c r="P125" s="3" t="str">
        <f ca="1">IFERROR(__xludf.DUMMYFUNCTION("""COMPUTED_VALUE"""),"O processo durou 608 dias entre a assinatura do despacho de autorização de abertura do PAD pelo Reitor e a assinatura do despacho de concordância/divergência pelo mesmo.")</f>
        <v>O processo durou 608 dias entre a assinatura do despacho de autorização de abertura do PAD pelo Reitor e a assinatura do despacho de concordância/divergência pelo mesmo.</v>
      </c>
      <c r="Q125" s="5">
        <f ca="1">IFERROR(__xludf.DUMMYFUNCTION("""COMPUTED_VALUE"""),47616)</f>
        <v>47616</v>
      </c>
      <c r="R125" s="3" t="str">
        <f ca="1">IFERROR(__xludf.DUMMYFUNCTION("""COMPUTED_VALUE"""),"Bianca Faertes")</f>
        <v>Bianca Faertes</v>
      </c>
      <c r="S125" s="3" t="str">
        <f ca="1">IFERROR(__xludf.DUMMYFUNCTION("""COMPUTED_VALUE"""),"Franciane")</f>
        <v>Franciane</v>
      </c>
      <c r="T125" s="3" t="str">
        <f ca="1">IFERROR(__xludf.DUMMYFUNCTION("""COMPUTED_VALUE"""),"Ariane Serpa")</f>
        <v>Ariane Serpa</v>
      </c>
      <c r="U125" s="3" t="str">
        <f ca="1">IFERROR(__xludf.DUMMYFUNCTION("""COMPUTED_VALUE"""),"Marcelo Ferreira")</f>
        <v>Marcelo Ferreira</v>
      </c>
      <c r="V125" s="3" t="str">
        <f ca="1">IFERROR(__xludf.DUMMYFUNCTION("""COMPUTED_VALUE"""),"Alan Luis Nogueira Pinto")</f>
        <v>Alan Luis Nogueira Pinto</v>
      </c>
      <c r="W125" s="3" t="str">
        <f ca="1">IFERROR(__xludf.DUMMYFUNCTION("""COMPUTED_VALUE"""),"SEI-260006/031227/2024")</f>
        <v>SEI-260006/031227/2024</v>
      </c>
      <c r="X125" s="3" t="str">
        <f ca="1">IFERROR(__xludf.DUMMYFUNCTION("""COMPUTED_VALUE"""),"S-Resposta do Reitor/Anotado.")</f>
        <v>S-Resposta do Reitor/Anotado.</v>
      </c>
    </row>
    <row r="126" spans="1:24" x14ac:dyDescent="0.2">
      <c r="A126" s="3" t="str">
        <f ca="1">IFERROR(__xludf.DUMMYFUNCTION("""COMPUTED_VALUE"""),"402/2023")</f>
        <v>402/2023</v>
      </c>
      <c r="B126" s="3" t="str">
        <f ca="1">IFERROR(__xludf.DUMMYFUNCTION("""COMPUTED_VALUE"""),"SEI-260007/029121/2023")</f>
        <v>SEI-260007/029121/2023</v>
      </c>
      <c r="C126" s="3" t="str">
        <f ca="1">IFERROR(__xludf.DUMMYFUNCTION("""COMPUTED_VALUE"""),"Renato Eduardo Ventura
Freitas, 34.445-7")</f>
        <v>Renato Eduardo Ventura
Freitas, 34.445-7</v>
      </c>
      <c r="D126" s="3" t="str">
        <f ca="1">IFERROR(__xludf.DUMMYFUNCTION("""COMPUTED_VALUE"""),"Desvio de conduta")</f>
        <v>Desvio de conduta</v>
      </c>
      <c r="E126" s="3" t="str">
        <f ca="1">IFERROR(__xludf.DUMMYFUNCTION("""COMPUTED_VALUE"""),"Desvio de conduta")</f>
        <v>Desvio de conduta</v>
      </c>
      <c r="F126" s="3" t="str">
        <f ca="1">IFERROR(__xludf.DUMMYFUNCTION("""COMPUTED_VALUE"""),"Outros.")</f>
        <v>Outros.</v>
      </c>
      <c r="G126" s="3" t="str">
        <f ca="1">IFERROR(__xludf.DUMMYFUNCTION("""COMPUTED_VALUE"""),"Outros")</f>
        <v>Outros</v>
      </c>
      <c r="H126" s="3" t="str">
        <f ca="1">IFERROR(__xludf.DUMMYFUNCTION("""COMPUTED_VALUE"""),"Não devolução de bens recebidos por termo de cautela e insubordinação grave. Possibilidade de cometimento de infrações disciplinares previstas no inciso XIV do art. 40, inciso XIV do Decreto Lei 2479/79, alínea a do artigo 167 da Lei Estadual 287/79, bem "&amp;"como da violação correspondente a insubordinação grave, na forma do inciso VII do artigo do Decreto Lei 220/1975.")</f>
        <v>Não devolução de bens recebidos por termo de cautela e insubordinação grave. Possibilidade de cometimento de infrações disciplinares previstas no inciso XIV do art. 40, inciso XIV do Decreto Lei 2479/79, alínea a do artigo 167 da Lei Estadual 287/79, bem como da violação correspondente a insubordinação grave, na forma do inciso VII do artigo do Decreto Lei 220/1975.</v>
      </c>
      <c r="I126" s="3"/>
      <c r="J126" s="5">
        <f ca="1">IFERROR(__xludf.DUMMYFUNCTION("""COMPUTED_VALUE"""),45062)</f>
        <v>45062</v>
      </c>
      <c r="K126" s="5">
        <f ca="1">IFERROR(__xludf.DUMMYFUNCTION("""COMPUTED_VALUE"""),45063)</f>
        <v>45063</v>
      </c>
      <c r="L126" s="5">
        <f ca="1">IFERROR(__xludf.DUMMYFUNCTION("""COMPUTED_VALUE"""),45243)</f>
        <v>45243</v>
      </c>
      <c r="M126" s="5">
        <f ca="1">IFERROR(__xludf.DUMMYFUNCTION("""COMPUTED_VALUE"""),45244)</f>
        <v>45244</v>
      </c>
      <c r="N126" s="3" t="str">
        <f ca="1">IFERROR(__xludf.DUMMYFUNCTION("""COMPUTED_VALUE"""),"Finalizado")</f>
        <v>Finalizado</v>
      </c>
      <c r="O126" s="5">
        <f ca="1">IFERROR(__xludf.DUMMYFUNCTION("""COMPUTED_VALUE"""),45975)</f>
        <v>45975</v>
      </c>
      <c r="P126" s="3" t="str">
        <f ca="1">IFERROR(__xludf.DUMMYFUNCTION("""COMPUTED_VALUE"""),"O processo durou 1165 dias entre a assinatura do despacho de autorização de abertura do PAD pelo Reitor e a assinatura do despacho de concordância/divergência pelo mesmo.")</f>
        <v>O processo durou 1165 dias entre a assinatura do despacho de autorização de abertura do PAD pelo Reitor e a assinatura do despacho de concordância/divergência pelo mesmo.</v>
      </c>
      <c r="Q126" s="5">
        <f ca="1">IFERROR(__xludf.DUMMYFUNCTION("""COMPUTED_VALUE"""),47071)</f>
        <v>47071</v>
      </c>
      <c r="R126" s="3" t="str">
        <f ca="1">IFERROR(__xludf.DUMMYFUNCTION("""COMPUTED_VALUE"""),"Vanessa Queiroz")</f>
        <v>Vanessa Queiroz</v>
      </c>
      <c r="S126" s="3" t="str">
        <f ca="1">IFERROR(__xludf.DUMMYFUNCTION("""COMPUTED_VALUE"""),"Micheline")</f>
        <v>Micheline</v>
      </c>
      <c r="T126" s="3" t="str">
        <f ca="1">IFERROR(__xludf.DUMMYFUNCTION("""COMPUTED_VALUE"""),"Celso Luiz Pieroni")</f>
        <v>Celso Luiz Pieroni</v>
      </c>
      <c r="U126" s="3" t="str">
        <f ca="1">IFERROR(__xludf.DUMMYFUNCTION("""COMPUTED_VALUE"""),"Jeanny Passigatte")</f>
        <v>Jeanny Passigatte</v>
      </c>
      <c r="V126" s="3" t="str">
        <f ca="1">IFERROR(__xludf.DUMMYFUNCTION("""COMPUTED_VALUE"""),"Não")</f>
        <v>Não</v>
      </c>
      <c r="W126" s="3" t="str">
        <f ca="1">IFERROR(__xludf.DUMMYFUNCTION("""COMPUTED_VALUE"""),"SEI-260007/011085/2021")</f>
        <v>SEI-260007/011085/2021</v>
      </c>
      <c r="X126" s="3" t="str">
        <f ca="1">IFERROR(__xludf.DUMMYFUNCTION("""COMPUTED_VALUE"""),"S-Resposta do Reitor/Anotado.")</f>
        <v>S-Resposta do Reitor/Anotado.</v>
      </c>
    </row>
    <row r="127" spans="1:24" x14ac:dyDescent="0.2">
      <c r="A127" s="3" t="str">
        <f ca="1">IFERROR(__xludf.DUMMYFUNCTION("""COMPUTED_VALUE"""),"432/2024")</f>
        <v>432/2024</v>
      </c>
      <c r="B127" s="3" t="str">
        <f ca="1">IFERROR(__xludf.DUMMYFUNCTION("""COMPUTED_VALUE"""),"SEI-260007/000927/2024")</f>
        <v>SEI-260007/000927/2024</v>
      </c>
      <c r="C127" s="3" t="str">
        <f ca="1">IFERROR(__xludf.DUMMYFUNCTION("""COMPUTED_VALUE"""),"Anderson Luiz dos Santos Ribeiro, matrícula nº 37.076-7.")</f>
        <v>Anderson Luiz dos Santos Ribeiro, matrícula nº 37.076-7.</v>
      </c>
      <c r="D127" s="3" t="str">
        <f ca="1">IFERROR(__xludf.DUMMYFUNCTION("""COMPUTED_VALUE"""),"Desvio de conduta")</f>
        <v>Desvio de conduta</v>
      </c>
      <c r="E127" s="3"/>
      <c r="F127" s="3" t="str">
        <f ca="1">IFERROR(__xludf.DUMMYFUNCTION("""COMPUTED_VALUE"""),"Outros.")</f>
        <v>Outros.</v>
      </c>
      <c r="G127" s="3" t="str">
        <f ca="1">IFERROR(__xludf.DUMMYFUNCTION("""COMPUTED_VALUE"""),"Outros")</f>
        <v>Outros</v>
      </c>
      <c r="H127" s="3" t="str">
        <f ca="1">IFERROR(__xludf.DUMMYFUNCTION("""COMPUTED_VALUE"""),"INDÍCIOS DE UM SERVIDOR PÚBLICO QUE NÃO RECONHECE AUTORIDADE, QUE NÃO SE SUBMETE A ORDENS, NÃO ACEITA DECISÕES DOS GESTORES, INTIMIDA AS MAIS ALTAS INSTÂNCIAS UNIVERSITÁRIAS,")</f>
        <v>INDÍCIOS DE UM SERVIDOR PÚBLICO QUE NÃO RECONHECE AUTORIDADE, QUE NÃO SE SUBMETE A ORDENS, NÃO ACEITA DECISÕES DOS GESTORES, INTIMIDA AS MAIS ALTAS INSTÂNCIAS UNIVERSITÁRIAS,</v>
      </c>
      <c r="I127" s="3" t="str">
        <f ca="1">IFERROR(__xludf.DUMMYFUNCTION("""COMPUTED_VALUE"""),"Registro do afastamento cautelar:  07/02/2024 (em virtude de férias já marcadas previamente) até 14/03/2024 ) Despacho 72563326)")</f>
        <v>Registro do afastamento cautelar:  07/02/2024 (em virtude de férias já marcadas previamente) até 14/03/2024 ) Despacho 72563326)</v>
      </c>
      <c r="J127" s="5">
        <f ca="1">IFERROR(__xludf.DUMMYFUNCTION("""COMPUTED_VALUE"""),45269)</f>
        <v>45269</v>
      </c>
      <c r="K127" s="5">
        <f ca="1">IFERROR(__xludf.DUMMYFUNCTION("""COMPUTED_VALUE"""),45296)</f>
        <v>45296</v>
      </c>
      <c r="L127" s="5">
        <f ca="1">IFERROR(__xludf.DUMMYFUNCTION("""COMPUTED_VALUE"""),45476)</f>
        <v>45476</v>
      </c>
      <c r="M127" s="5">
        <f ca="1">IFERROR(__xludf.DUMMYFUNCTION("""COMPUTED_VALUE"""),45477)</f>
        <v>45477</v>
      </c>
      <c r="N127" s="3" t="str">
        <f ca="1">IFERROR(__xludf.DUMMYFUNCTION("""COMPUTED_VALUE"""),"Finalizado")</f>
        <v>Finalizado</v>
      </c>
      <c r="O127" s="5">
        <f ca="1">IFERROR(__xludf.DUMMYFUNCTION("""COMPUTED_VALUE"""),46207)</f>
        <v>46207</v>
      </c>
      <c r="P127" s="3" t="str">
        <f ca="1">IFERROR(__xludf.DUMMYFUNCTION("""COMPUTED_VALUE"""),"O processo durou 942 dias entre a assinatura do despacho de autorização de abertura do PAD pelo Reitor e a assinatura do despacho de concordância/divergência pelo mesmo.")</f>
        <v>O processo durou 942 dias entre a assinatura do despacho de autorização de abertura do PAD pelo Reitor e a assinatura do despacho de concordância/divergência pelo mesmo.</v>
      </c>
      <c r="Q127" s="5">
        <f ca="1">IFERROR(__xludf.DUMMYFUNCTION("""COMPUTED_VALUE"""),47303)</f>
        <v>47303</v>
      </c>
      <c r="R127" s="3" t="str">
        <f ca="1">IFERROR(__xludf.DUMMYFUNCTION("""COMPUTED_VALUE"""),"Marcelo Bento")</f>
        <v>Marcelo Bento</v>
      </c>
      <c r="S127" s="3" t="str">
        <f ca="1">IFERROR(__xludf.DUMMYFUNCTION("""COMPUTED_VALUE"""),"Franciane")</f>
        <v>Franciane</v>
      </c>
      <c r="T127" s="3" t="str">
        <f ca="1">IFERROR(__xludf.DUMMYFUNCTION("""COMPUTED_VALUE"""),"Marcelo Ferreira")</f>
        <v>Marcelo Ferreira</v>
      </c>
      <c r="U127" s="3" t="str">
        <f ca="1">IFERROR(__xludf.DUMMYFUNCTION("""COMPUTED_VALUE"""),"Thaís Muci")</f>
        <v>Thaís Muci</v>
      </c>
      <c r="V127" s="3" t="str">
        <f ca="1">IFERROR(__xludf.DUMMYFUNCTION("""COMPUTED_VALUE"""),"Não")</f>
        <v>Não</v>
      </c>
      <c r="W127" s="3" t="str">
        <f ca="1">IFERROR(__xludf.DUMMYFUNCTION("""COMPUTED_VALUE"""),"SEI-260007/045906/2023")</f>
        <v>SEI-260007/045906/2023</v>
      </c>
      <c r="X127" s="3" t="str">
        <f ca="1">IFERROR(__xludf.DUMMYFUNCTION("""COMPUTED_VALUE"""),"S-Resposta do Reitor/Anotado.")</f>
        <v>S-Resposta do Reitor/Anotado.</v>
      </c>
    </row>
    <row r="128" spans="1:24" x14ac:dyDescent="0.2">
      <c r="A128" s="3" t="str">
        <f ca="1">IFERROR(__xludf.DUMMYFUNCTION("""COMPUTED_VALUE"""),"404/2023")</f>
        <v>404/2023</v>
      </c>
      <c r="B128" s="3" t="str">
        <f ca="1">IFERROR(__xludf.DUMMYFUNCTION("""COMPUTED_VALUE"""),"SEI-260007/029730/2023")</f>
        <v>SEI-260007/029730/2023</v>
      </c>
      <c r="C128" s="3" t="str">
        <f ca="1">IFERROR(__xludf.DUMMYFUNCTION("""COMPUTED_VALUE"""),"Nelza Elisabete Barufatti,
matrícula nº 31.487-2")</f>
        <v>Nelza Elisabete Barufatti,
matrícula nº 31.487-2</v>
      </c>
      <c r="D128" s="3" t="str">
        <f ca="1">IFERROR(__xludf.DUMMYFUNCTION("""COMPUTED_VALUE"""),"Desvio de conduta")</f>
        <v>Desvio de conduta</v>
      </c>
      <c r="E128" s="3" t="str">
        <f ca="1">IFERROR(__xludf.DUMMYFUNCTION("""COMPUTED_VALUE"""),"Desvio de conduta")</f>
        <v>Desvio de conduta</v>
      </c>
      <c r="F128" s="3" t="str">
        <f ca="1">IFERROR(__xludf.DUMMYFUNCTION("""COMPUTED_VALUE"""),"Insubordinação.")</f>
        <v>Insubordinação.</v>
      </c>
      <c r="G128" s="3" t="str">
        <f ca="1">IFERROR(__xludf.DUMMYFUNCTION("""COMPUTED_VALUE"""),"Desídia, Insubordinação")</f>
        <v>Desídia, Insubordinação</v>
      </c>
      <c r="H128" s="3" t="str">
        <f ca="1">IFERROR(__xludf.DUMMYFUNCTION("""COMPUTED_VALUE"""),"Violação de deveres funcionais, insubordinação grave, ineficiência e desídia. Existência de indícios de cometimento de infrações previstas nos incisos I, III, IV, VII e VIII do artigo 39 e VII, VIII e IX do artigo 52 do DL 220/75.")</f>
        <v>Violação de deveres funcionais, insubordinação grave, ineficiência e desídia. Existência de indícios de cometimento de infrações previstas nos incisos I, III, IV, VII e VIII do artigo 39 e VII, VIII e IX do artigo 52 do DL 220/75.</v>
      </c>
      <c r="I128" s="3" t="str">
        <f ca="1">IFERROR(__xludf.DUMMYFUNCTION("""COMPUTED_VALUE"""),"Não")</f>
        <v>Não</v>
      </c>
      <c r="J128" s="5">
        <f ca="1">IFERROR(__xludf.DUMMYFUNCTION("""COMPUTED_VALUE"""),45058)</f>
        <v>45058</v>
      </c>
      <c r="K128" s="5">
        <f ca="1">IFERROR(__xludf.DUMMYFUNCTION("""COMPUTED_VALUE"""),45063)</f>
        <v>45063</v>
      </c>
      <c r="L128" s="5">
        <f ca="1">IFERROR(__xludf.DUMMYFUNCTION("""COMPUTED_VALUE"""),45243)</f>
        <v>45243</v>
      </c>
      <c r="M128" s="5">
        <f ca="1">IFERROR(__xludf.DUMMYFUNCTION("""COMPUTED_VALUE"""),45244)</f>
        <v>45244</v>
      </c>
      <c r="N128" s="3" t="str">
        <f ca="1">IFERROR(__xludf.DUMMYFUNCTION("""COMPUTED_VALUE"""),"Finalizado")</f>
        <v>Finalizado</v>
      </c>
      <c r="O128" s="5">
        <f ca="1">IFERROR(__xludf.DUMMYFUNCTION("""COMPUTED_VALUE"""),45975)</f>
        <v>45975</v>
      </c>
      <c r="P128" s="3" t="str">
        <f ca="1">IFERROR(__xludf.DUMMYFUNCTION("""COMPUTED_VALUE"""),"O processo durou 1176 dias entre a assinatura do despacho de autorização de abertura do PAD pelo Reitor e a assinatura do despacho de concordância/divergência pelo mesmo.")</f>
        <v>O processo durou 1176 dias entre a assinatura do despacho de autorização de abertura do PAD pelo Reitor e a assinatura do despacho de concordância/divergência pelo mesmo.</v>
      </c>
      <c r="Q128" s="5">
        <f ca="1">IFERROR(__xludf.DUMMYFUNCTION("""COMPUTED_VALUE"""),47071)</f>
        <v>47071</v>
      </c>
      <c r="R128" s="3" t="str">
        <f ca="1">IFERROR(__xludf.DUMMYFUNCTION("""COMPUTED_VALUE"""),"Vanessa Queiroz")</f>
        <v>Vanessa Queiroz</v>
      </c>
      <c r="S128" s="3" t="str">
        <f ca="1">IFERROR(__xludf.DUMMYFUNCTION("""COMPUTED_VALUE"""),"Isadora")</f>
        <v>Isadora</v>
      </c>
      <c r="T128" s="3" t="str">
        <f ca="1">IFERROR(__xludf.DUMMYFUNCTION("""COMPUTED_VALUE"""),"Karolynne Rocha")</f>
        <v>Karolynne Rocha</v>
      </c>
      <c r="U128" s="3" t="str">
        <f ca="1">IFERROR(__xludf.DUMMYFUNCTION("""COMPUTED_VALUE"""),"Patrícia Glioche")</f>
        <v>Patrícia Glioche</v>
      </c>
      <c r="V128" s="3" t="str">
        <f ca="1">IFERROR(__xludf.DUMMYFUNCTION("""COMPUTED_VALUE"""),"Não")</f>
        <v>Não</v>
      </c>
      <c r="W128" s="3" t="str">
        <f ca="1">IFERROR(__xludf.DUMMYFUNCTION("""COMPUTED_VALUE"""),"SEI-260007/043600/2022")</f>
        <v>SEI-260007/043600/2022</v>
      </c>
      <c r="X128" s="3" t="str">
        <f ca="1">IFERROR(__xludf.DUMMYFUNCTION("""COMPUTED_VALUE"""),"S-Resposta do Reitor/Anotado.")</f>
        <v>S-Resposta do Reitor/Anotado.</v>
      </c>
    </row>
    <row r="129" spans="1:24" x14ac:dyDescent="0.2">
      <c r="A129" s="3" t="str">
        <f ca="1">IFERROR(__xludf.DUMMYFUNCTION("""COMPUTED_VALUE"""),"470/2025")</f>
        <v>470/2025</v>
      </c>
      <c r="B129" s="3" t="str">
        <f ca="1">IFERROR(__xludf.DUMMYFUNCTION("""COMPUTED_VALUE"""),"SEI-260006/004391/2025")</f>
        <v>SEI-260006/004391/2025</v>
      </c>
      <c r="C129" s="3" t="str">
        <f ca="1">IFERROR(__xludf.DUMMYFUNCTION("""COMPUTED_VALUE"""),"Mariana Nepomuceno Giron, matr. 38306-7")</f>
        <v>Mariana Nepomuceno Giron, matr. 38306-7</v>
      </c>
      <c r="D129" s="3" t="str">
        <f ca="1">IFERROR(__xludf.DUMMYFUNCTION("""COMPUTED_VALUE"""),"Acumulação Ilegal")</f>
        <v>Acumulação Ilegal</v>
      </c>
      <c r="E129" s="3" t="str">
        <f ca="1">IFERROR(__xludf.DUMMYFUNCTION("""COMPUTED_VALUE"""),"Desvio de conduta")</f>
        <v>Desvio de conduta</v>
      </c>
      <c r="F129" s="3" t="str">
        <f ca="1">IFERROR(__xludf.DUMMYFUNCTION("""COMPUTED_VALUE"""),"Acumulação de cargos.")</f>
        <v>Acumulação de cargos.</v>
      </c>
      <c r="G129" s="3" t="str">
        <f ca="1">IFERROR(__xludf.DUMMYFUNCTION("""COMPUTED_VALUE"""),"Acumulação de cargos")</f>
        <v>Acumulação de cargos</v>
      </c>
      <c r="H129" s="3" t="str">
        <f ca="1">IFERROR(__xludf.DUMMYFUNCTION("""COMPUTED_VALUE"""),"Apuração de acumulação tríplice de vínculos públicos no período de 16/04/2020 a 31/03/2022.")</f>
        <v>Apuração de acumulação tríplice de vínculos públicos no período de 16/04/2020 a 31/03/2022.</v>
      </c>
      <c r="I129" s="3" t="str">
        <f ca="1">IFERROR(__xludf.DUMMYFUNCTION("""COMPUTED_VALUE"""),"Não")</f>
        <v>Não</v>
      </c>
      <c r="J129" s="5">
        <f ca="1">IFERROR(__xludf.DUMMYFUNCTION("""COMPUTED_VALUE"""),45668)</f>
        <v>45668</v>
      </c>
      <c r="K129" s="5">
        <f ca="1">IFERROR(__xludf.DUMMYFUNCTION("""COMPUTED_VALUE"""),45672)</f>
        <v>45672</v>
      </c>
      <c r="L129" s="5">
        <f ca="1">IFERROR(__xludf.DUMMYFUNCTION("""COMPUTED_VALUE"""),45852)</f>
        <v>45852</v>
      </c>
      <c r="M129" s="5">
        <f ca="1">IFERROR(__xludf.DUMMYFUNCTION("""COMPUTED_VALUE"""),45853)</f>
        <v>45853</v>
      </c>
      <c r="N129" s="3" t="str">
        <f ca="1">IFERROR(__xludf.DUMMYFUNCTION("""COMPUTED_VALUE"""),"Finalizado")</f>
        <v>Finalizado</v>
      </c>
      <c r="O129" s="5">
        <f ca="1">IFERROR(__xludf.DUMMYFUNCTION("""COMPUTED_VALUE"""),46583)</f>
        <v>46583</v>
      </c>
      <c r="P129" s="3" t="str">
        <f ca="1">IFERROR(__xludf.DUMMYFUNCTION("""COMPUTED_VALUE"""),"O processo durou 551 dias entre a assinatura do despacho de autorização de abertura do PAD pelo Reitor e a assinatura do despacho de concordância/divergência pelo mesmo.")</f>
        <v>O processo durou 551 dias entre a assinatura do despacho de autorização de abertura do PAD pelo Reitor e a assinatura do despacho de concordância/divergência pelo mesmo.</v>
      </c>
      <c r="Q129" s="5">
        <f ca="1">IFERROR(__xludf.DUMMYFUNCTION("""COMPUTED_VALUE"""),47679)</f>
        <v>47679</v>
      </c>
      <c r="R129" s="3" t="str">
        <f ca="1">IFERROR(__xludf.DUMMYFUNCTION("""COMPUTED_VALUE"""),"Vanessa Queiroz")</f>
        <v>Vanessa Queiroz</v>
      </c>
      <c r="S129" s="3" t="str">
        <f ca="1">IFERROR(__xludf.DUMMYFUNCTION("""COMPUTED_VALUE"""),"Isadora")</f>
        <v>Isadora</v>
      </c>
      <c r="T129" s="3" t="str">
        <f ca="1">IFERROR(__xludf.DUMMYFUNCTION("""COMPUTED_VALUE"""),"Paula Assed")</f>
        <v>Paula Assed</v>
      </c>
      <c r="U129" s="3" t="str">
        <f ca="1">IFERROR(__xludf.DUMMYFUNCTION("""COMPUTED_VALUE"""),"Marcelo Bento")</f>
        <v>Marcelo Bento</v>
      </c>
      <c r="V129" s="3" t="str">
        <f ca="1">IFERROR(__xludf.DUMMYFUNCTION("""COMPUTED_VALUE"""),"Não")</f>
        <v>Não</v>
      </c>
      <c r="W129" s="3" t="str">
        <f ca="1">IFERROR(__xludf.DUMMYFUNCTION("""COMPUTED_VALUE"""),"SEI-E-26/007/1871/2015")</f>
        <v>SEI-E-26/007/1871/2015</v>
      </c>
      <c r="X129" s="3" t="str">
        <f ca="1">IFERROR(__xludf.DUMMYFUNCTION("""COMPUTED_VALUE"""),"S-Resposta do Reitor/Anotado.")</f>
        <v>S-Resposta do Reitor/Anotado.</v>
      </c>
    </row>
    <row r="130" spans="1:24" x14ac:dyDescent="0.2">
      <c r="A130" s="3" t="str">
        <f ca="1">IFERROR(__xludf.DUMMYFUNCTION("""COMPUTED_VALUE"""),"488/2025")</f>
        <v>488/2025</v>
      </c>
      <c r="B130" s="3" t="str">
        <f ca="1">IFERROR(__xludf.DUMMYFUNCTION("""COMPUTED_VALUE"""),"SEI-260006/053231/2025")</f>
        <v>SEI-260006/053231/2025</v>
      </c>
      <c r="C130" s="3" t="str">
        <f ca="1">IFERROR(__xludf.DUMMYFUNCTION("""COMPUTED_VALUE"""),"Rosane de Souza, matrícula nº 35058-7,")</f>
        <v>Rosane de Souza, matrícula nº 35058-7,</v>
      </c>
      <c r="D130" s="3"/>
      <c r="E130" s="3"/>
      <c r="F130" s="3" t="str">
        <f ca="1">IFERROR(__xludf.DUMMYFUNCTION("""COMPUTED_VALUE"""),"Acumulação de cargos.")</f>
        <v>Acumulação de cargos.</v>
      </c>
      <c r="G130" s="3" t="str">
        <f ca="1">IFERROR(__xludf.DUMMYFUNCTION("""COMPUTED_VALUE"""),"Acumulação de cargos")</f>
        <v>Acumulação de cargos</v>
      </c>
      <c r="H130" s="3" t="str">
        <f ca="1">IFERROR(__xludf.DUMMYFUNCTION("""COMPUTED_VALUE"""),"tríplice acumulação de cargos no período de 01/11/2022 a 31/10/2023.")</f>
        <v>tríplice acumulação de cargos no período de 01/11/2022 a 31/10/2023.</v>
      </c>
      <c r="I130" s="3"/>
      <c r="J130" s="5">
        <f ca="1">IFERROR(__xludf.DUMMYFUNCTION("""COMPUTED_VALUE"""),45938)</f>
        <v>45938</v>
      </c>
      <c r="K130" s="5">
        <f ca="1">IFERROR(__xludf.DUMMYFUNCTION("""COMPUTED_VALUE"""),45952)</f>
        <v>45952</v>
      </c>
      <c r="L130" s="5">
        <f ca="1">IFERROR(__xludf.DUMMYFUNCTION("""COMPUTED_VALUE"""),46132)</f>
        <v>46132</v>
      </c>
      <c r="M130" s="5">
        <f ca="1">IFERROR(__xludf.DUMMYFUNCTION("""COMPUTED_VALUE"""),46133)</f>
        <v>46133</v>
      </c>
      <c r="N130" s="3" t="str">
        <f ca="1">IFERROR(__xludf.DUMMYFUNCTION("""COMPUTED_VALUE"""),"Finalizado")</f>
        <v>Finalizado</v>
      </c>
      <c r="O130" s="5">
        <f ca="1">IFERROR(__xludf.DUMMYFUNCTION("""COMPUTED_VALUE"""),46864)</f>
        <v>46864</v>
      </c>
      <c r="P130" s="3" t="str">
        <f ca="1">IFERROR(__xludf.DUMMYFUNCTION("""COMPUTED_VALUE"""),"O processo durou 293 dias entre a assinatura do despacho de autorização de abertura do PAD pelo Reitor e a assinatura do despacho de concordância/divergência pelo mesmo.")</f>
        <v>O processo durou 293 dias entre a assinatura do despacho de autorização de abertura do PAD pelo Reitor e a assinatura do despacho de concordância/divergência pelo mesmo.</v>
      </c>
      <c r="Q130" s="5">
        <f ca="1">IFERROR(__xludf.DUMMYFUNCTION("""COMPUTED_VALUE"""),47959)</f>
        <v>47959</v>
      </c>
      <c r="R130" s="3" t="str">
        <f ca="1">IFERROR(__xludf.DUMMYFUNCTION("""COMPUTED_VALUE"""),"Alessandra Abelheira")</f>
        <v>Alessandra Abelheira</v>
      </c>
      <c r="S130" s="3" t="str">
        <f ca="1">IFERROR(__xludf.DUMMYFUNCTION("""COMPUTED_VALUE"""),"Micheline")</f>
        <v>Micheline</v>
      </c>
      <c r="T130" s="3" t="str">
        <f ca="1">IFERROR(__xludf.DUMMYFUNCTION("""COMPUTED_VALUE"""),"Débora Ribeiro")</f>
        <v>Débora Ribeiro</v>
      </c>
      <c r="U130" s="3" t="str">
        <f ca="1">IFERROR(__xludf.DUMMYFUNCTION("""COMPUTED_VALUE"""),"Thiago Rocha")</f>
        <v>Thiago Rocha</v>
      </c>
      <c r="V130" s="3" t="str">
        <f ca="1">IFERROR(__xludf.DUMMYFUNCTION("""COMPUTED_VALUE"""),"Não")</f>
        <v>Não</v>
      </c>
      <c r="W130" s="3" t="str">
        <f ca="1">IFERROR(__xludf.DUMMYFUNCTION("""COMPUTED_VALUE"""),"UERJ 4691/2009")</f>
        <v>UERJ 4691/2009</v>
      </c>
      <c r="X130" s="3" t="str">
        <f ca="1">IFERROR(__xludf.DUMMYFUNCTION("""COMPUTED_VALUE"""),"S-Resposta do Reitor/Anotado.")</f>
        <v>S-Resposta do Reitor/Anotado.</v>
      </c>
    </row>
    <row r="131" spans="1:24" x14ac:dyDescent="0.2">
      <c r="A131" s="3" t="str">
        <f ca="1">IFERROR(__xludf.DUMMYFUNCTION("""COMPUTED_VALUE"""),"387/2023")</f>
        <v>387/2023</v>
      </c>
      <c r="B131" s="3" t="str">
        <f ca="1">IFERROR(__xludf.DUMMYFUNCTION("""COMPUTED_VALUE"""),"SEI-260007/012878/2023")</f>
        <v>SEI-260007/012878/2023</v>
      </c>
      <c r="C131" s="3" t="str">
        <f ca="1">IFERROR(__xludf.DUMMYFUNCTION("""COMPUTED_VALUE"""),"Alan Themistocles Magalhães Pereira, 354019 - Servidor Inativo")</f>
        <v>Alan Themistocles Magalhães Pereira, 354019 - Servidor Inativo</v>
      </c>
      <c r="D131" s="3" t="str">
        <f ca="1">IFERROR(__xludf.DUMMYFUNCTION("""COMPUTED_VALUE"""),"Desvio de conduta")</f>
        <v>Desvio de conduta</v>
      </c>
      <c r="E131" s="3" t="str">
        <f ca="1">IFERROR(__xludf.DUMMYFUNCTION("""COMPUTED_VALUE"""),"Desvio de conduta")</f>
        <v>Desvio de conduta</v>
      </c>
      <c r="F131" s="3" t="str">
        <f ca="1">IFERROR(__xludf.DUMMYFUNCTION("""COMPUTED_VALUE"""),"Outros.")</f>
        <v>Outros.</v>
      </c>
      <c r="G131" s="3" t="str">
        <f ca="1">IFERROR(__xludf.DUMMYFUNCTION("""COMPUTED_VALUE"""),"Outros")</f>
        <v>Outros</v>
      </c>
      <c r="H131" s="3" t="str">
        <f ca="1">IFERROR(__xludf.DUMMYFUNCTION("""COMPUTED_VALUE"""),"Apuração de irregularidades no controle de contratos e materiais no OPMES. DEA de 2018 não enviadas para pagamento (compras de válvulas e outros equipamentos aórticos).")</f>
        <v>Apuração de irregularidades no controle de contratos e materiais no OPMES. DEA de 2018 não enviadas para pagamento (compras de válvulas e outros equipamentos aórticos).</v>
      </c>
      <c r="I131" s="3"/>
      <c r="J131" s="5">
        <f ca="1">IFERROR(__xludf.DUMMYFUNCTION("""COMPUTED_VALUE"""),44991)</f>
        <v>44991</v>
      </c>
      <c r="K131" s="5">
        <f ca="1">IFERROR(__xludf.DUMMYFUNCTION("""COMPUTED_VALUE"""),45002)</f>
        <v>45002</v>
      </c>
      <c r="L131" s="5">
        <f ca="1">IFERROR(__xludf.DUMMYFUNCTION("""COMPUTED_VALUE"""),45182)</f>
        <v>45182</v>
      </c>
      <c r="M131" s="5">
        <f ca="1">IFERROR(__xludf.DUMMYFUNCTION("""COMPUTED_VALUE"""),45183)</f>
        <v>45183</v>
      </c>
      <c r="N131" s="3" t="str">
        <f ca="1">IFERROR(__xludf.DUMMYFUNCTION("""COMPUTED_VALUE"""),"Finalizado")</f>
        <v>Finalizado</v>
      </c>
      <c r="O131" s="5">
        <f ca="1">IFERROR(__xludf.DUMMYFUNCTION("""COMPUTED_VALUE"""),45914)</f>
        <v>45914</v>
      </c>
      <c r="P131" s="3" t="str">
        <f ca="1">IFERROR(__xludf.DUMMYFUNCTION("""COMPUTED_VALUE"""),"O processo durou 1262 dias entre a assinatura do despacho de autorização de abertura do PAD pelo Reitor e a assinatura do despacho de concordância/divergência pelo mesmo.")</f>
        <v>O processo durou 1262 dias entre a assinatura do despacho de autorização de abertura do PAD pelo Reitor e a assinatura do despacho de concordância/divergência pelo mesmo.</v>
      </c>
      <c r="Q131" s="5">
        <f ca="1">IFERROR(__xludf.DUMMYFUNCTION("""COMPUTED_VALUE"""),47010)</f>
        <v>47010</v>
      </c>
      <c r="R131" s="3" t="str">
        <f ca="1">IFERROR(__xludf.DUMMYFUNCTION("""COMPUTED_VALUE"""),"Leonardo Rocha")</f>
        <v>Leonardo Rocha</v>
      </c>
      <c r="S131" s="3" t="str">
        <f ca="1">IFERROR(__xludf.DUMMYFUNCTION("""COMPUTED_VALUE"""),"Patrícia")</f>
        <v>Patrícia</v>
      </c>
      <c r="T131" s="3" t="str">
        <f ca="1">IFERROR(__xludf.DUMMYFUNCTION("""COMPUTED_VALUE"""),"Marcelo Bento")</f>
        <v>Marcelo Bento</v>
      </c>
      <c r="U131" s="3" t="str">
        <f ca="1">IFERROR(__xludf.DUMMYFUNCTION("""COMPUTED_VALUE"""),"Vanessa Queiroz")</f>
        <v>Vanessa Queiroz</v>
      </c>
      <c r="V131" s="3" t="str">
        <f ca="1">IFERROR(__xludf.DUMMYFUNCTION("""COMPUTED_VALUE"""),"Não")</f>
        <v>Não</v>
      </c>
      <c r="W131" s="3" t="str">
        <f ca="1">IFERROR(__xludf.DUMMYFUNCTION("""COMPUTED_VALUE"""),"E-26/008/1889/2019")</f>
        <v>E-26/008/1889/2019</v>
      </c>
      <c r="X131" s="3" t="str">
        <f ca="1">IFERROR(__xludf.DUMMYFUNCTION("""COMPUTED_VALUE"""),"S-Resposta do Reitor/Anotado.")</f>
        <v>S-Resposta do Reitor/Anotado.</v>
      </c>
    </row>
    <row r="132" spans="1:24" x14ac:dyDescent="0.2">
      <c r="A132" s="3" t="str">
        <f ca="1">IFERROR(__xludf.DUMMYFUNCTION("""COMPUTED_VALUE"""),"434/2024")</f>
        <v>434/2024</v>
      </c>
      <c r="B132" s="3" t="str">
        <f ca="1">IFERROR(__xludf.DUMMYFUNCTION("""COMPUTED_VALUE"""),"SEI-260006/011021/2024")</f>
        <v>SEI-260006/011021/2024</v>
      </c>
      <c r="C132" s="3" t="str">
        <f ca="1">IFERROR(__xludf.DUMMYFUNCTION("""COMPUTED_VALUE"""),"José Carlos Guerra Damasceno,  matrícula 41.340-1")</f>
        <v>José Carlos Guerra Damasceno,  matrícula 41.340-1</v>
      </c>
      <c r="D132" s="3" t="str">
        <f ca="1">IFERROR(__xludf.DUMMYFUNCTION("""COMPUTED_VALUE"""),"Desvio de conduta")</f>
        <v>Desvio de conduta</v>
      </c>
      <c r="E132" s="3"/>
      <c r="F132" s="3" t="str">
        <f ca="1">IFERROR(__xludf.DUMMYFUNCTION("""COMPUTED_VALUE"""),"Outros.")</f>
        <v>Outros.</v>
      </c>
      <c r="G132" s="3" t="str">
        <f ca="1">IFERROR(__xludf.DUMMYFUNCTION("""COMPUTED_VALUE"""),"ineficiência comprovada, com caráter de habitualidade")</f>
        <v>ineficiência comprovada, com caráter de habitualidade</v>
      </c>
      <c r="H132" s="3" t="str">
        <f ca="1">IFERROR(__xludf.DUMMYFUNCTION("""COMPUTED_VALUE"""),"Indícios de cometimento da infração disciplinar relativa a ineficiência comprovada, com caráter de habitualidade, prevista no inciso VII do artigo 52 do DL 220/75.")</f>
        <v>Indícios de cometimento da infração disciplinar relativa a ineficiência comprovada, com caráter de habitualidade, prevista no inciso VII do artigo 52 do DL 220/75.</v>
      </c>
      <c r="I132" s="3"/>
      <c r="J132" s="5">
        <f ca="1">IFERROR(__xludf.DUMMYFUNCTION("""COMPUTED_VALUE"""),45371)</f>
        <v>45371</v>
      </c>
      <c r="K132" s="5">
        <f ca="1">IFERROR(__xludf.DUMMYFUNCTION("""COMPUTED_VALUE"""),45377)</f>
        <v>45377</v>
      </c>
      <c r="L132" s="5">
        <f ca="1">IFERROR(__xludf.DUMMYFUNCTION("""COMPUTED_VALUE"""),45557)</f>
        <v>45557</v>
      </c>
      <c r="M132" s="5">
        <f ca="1">IFERROR(__xludf.DUMMYFUNCTION("""COMPUTED_VALUE"""),45558)</f>
        <v>45558</v>
      </c>
      <c r="N132" s="3" t="str">
        <f ca="1">IFERROR(__xludf.DUMMYFUNCTION("""COMPUTED_VALUE"""),"Finalizado")</f>
        <v>Finalizado</v>
      </c>
      <c r="O132" s="5">
        <f ca="1">IFERROR(__xludf.DUMMYFUNCTION("""COMPUTED_VALUE"""),46288)</f>
        <v>46288</v>
      </c>
      <c r="P132" s="3" t="str">
        <f ca="1">IFERROR(__xludf.DUMMYFUNCTION("""COMPUTED_VALUE"""),"O processo durou 880 dias entre a assinatura do despacho de autorização de abertura do PAD pelo Reitor e a assinatura do despacho de concordância/divergência pelo mesmo.")</f>
        <v>O processo durou 880 dias entre a assinatura do despacho de autorização de abertura do PAD pelo Reitor e a assinatura do despacho de concordância/divergência pelo mesmo.</v>
      </c>
      <c r="Q132" s="5">
        <f ca="1">IFERROR(__xludf.DUMMYFUNCTION("""COMPUTED_VALUE"""),47384)</f>
        <v>47384</v>
      </c>
      <c r="R132" s="3" t="str">
        <f ca="1">IFERROR(__xludf.DUMMYFUNCTION("""COMPUTED_VALUE"""),"Vanessa Queiroz")</f>
        <v>Vanessa Queiroz</v>
      </c>
      <c r="S132" s="3" t="str">
        <f ca="1">IFERROR(__xludf.DUMMYFUNCTION("""COMPUTED_VALUE"""),"Patrícia")</f>
        <v>Patrícia</v>
      </c>
      <c r="T132" s="3" t="str">
        <f ca="1">IFERROR(__xludf.DUMMYFUNCTION("""COMPUTED_VALUE"""),"Karolynne Rocha")</f>
        <v>Karolynne Rocha</v>
      </c>
      <c r="U132" s="3" t="str">
        <f ca="1">IFERROR(__xludf.DUMMYFUNCTION("""COMPUTED_VALUE"""),"Patrícia Glioche")</f>
        <v>Patrícia Glioche</v>
      </c>
      <c r="V132" s="3" t="str">
        <f ca="1">IFERROR(__xludf.DUMMYFUNCTION("""COMPUTED_VALUE"""),"Não")</f>
        <v>Não</v>
      </c>
      <c r="W132" s="3" t="str">
        <f ca="1">IFERROR(__xludf.DUMMYFUNCTION("""COMPUTED_VALUE"""),"SEI-260007/023438/2023")</f>
        <v>SEI-260007/023438/2023</v>
      </c>
      <c r="X132" s="3" t="str">
        <f ca="1">IFERROR(__xludf.DUMMYFUNCTION("""COMPUTED_VALUE"""),"S-Resposta do Reitor/Anotado.")</f>
        <v>S-Resposta do Reitor/Anotado.</v>
      </c>
    </row>
    <row r="133" spans="1:24" x14ac:dyDescent="0.2">
      <c r="A133" s="3" t="str">
        <f ca="1">IFERROR(__xludf.DUMMYFUNCTION("""COMPUTED_VALUE"""),"301/2019")</f>
        <v>301/2019</v>
      </c>
      <c r="B133" s="3" t="str">
        <f ca="1">IFERROR(__xludf.DUMMYFUNCTION("""COMPUTED_VALUE"""),"E-26/007/3035/2018")</f>
        <v>E-26/007/3035/2018</v>
      </c>
      <c r="C133" s="3" t="str">
        <f ca="1">IFERROR(__xludf.DUMMYFUNCTION("""COMPUTED_VALUE"""),"Gustavo Albino Pinto Magalhães, mat 34.552-0")</f>
        <v>Gustavo Albino Pinto Magalhães, mat 34.552-0</v>
      </c>
      <c r="D133" s="3" t="str">
        <f ca="1">IFERROR(__xludf.DUMMYFUNCTION("""COMPUTED_VALUE"""),"Desvio de conduta")</f>
        <v>Desvio de conduta</v>
      </c>
      <c r="E133" s="3" t="str">
        <f ca="1">IFERROR(__xludf.DUMMYFUNCTION("""COMPUTED_VALUE"""),"Desvio de conduta")</f>
        <v>Desvio de conduta</v>
      </c>
      <c r="F133" s="3" t="str">
        <f ca="1">IFERROR(__xludf.DUMMYFUNCTION("""COMPUTED_VALUE"""),"Abandono de cargo/ Inassiduidade habitual.")</f>
        <v>Abandono de cargo/ Inassiduidade habitual.</v>
      </c>
      <c r="G133" s="3" t="str">
        <f ca="1">IFERROR(__xludf.DUMMYFUNCTION("""COMPUTED_VALUE"""),"Abandono de cargo/ Inassiduidade habitual")</f>
        <v>Abandono de cargo/ Inassiduidade habitual</v>
      </c>
      <c r="H133" s="3" t="str">
        <f ca="1">IFERROR(__xludf.DUMMYFUNCTION("""COMPUTED_VALUE"""),"Apuração de faltas sucessivas superior a 10 dias")</f>
        <v>Apuração de faltas sucessivas superior a 10 dias</v>
      </c>
      <c r="I133" s="3"/>
      <c r="J133" s="5">
        <f ca="1">IFERROR(__xludf.DUMMYFUNCTION("""COMPUTED_VALUE"""),43468)</f>
        <v>43468</v>
      </c>
      <c r="K133" s="5">
        <f ca="1">IFERROR(__xludf.DUMMYFUNCTION("""COMPUTED_VALUE"""),43496)</f>
        <v>43496</v>
      </c>
      <c r="L133" s="5">
        <f ca="1">IFERROR(__xludf.DUMMYFUNCTION("""COMPUTED_VALUE"""),43676)</f>
        <v>43676</v>
      </c>
      <c r="M133" s="5">
        <f ca="1">IFERROR(__xludf.DUMMYFUNCTION("""COMPUTED_VALUE"""),43677)</f>
        <v>43677</v>
      </c>
      <c r="N133" s="3" t="str">
        <f ca="1">IFERROR(__xludf.DUMMYFUNCTION("""COMPUTED_VALUE"""),"Prazo expirado")</f>
        <v>Prazo expirado</v>
      </c>
      <c r="O133" s="5">
        <f ca="1">IFERROR(__xludf.DUMMYFUNCTION("""COMPUTED_VALUE"""),44408)</f>
        <v>44408</v>
      </c>
      <c r="P133" s="3">
        <f ca="1">IFERROR(__xludf.DUMMYFUNCTION("""COMPUTED_VALUE"""),-779)</f>
        <v>-779</v>
      </c>
      <c r="Q133" s="5">
        <f ca="1">IFERROR(__xludf.DUMMYFUNCTION("""COMPUTED_VALUE"""),45504)</f>
        <v>45504</v>
      </c>
      <c r="R133" s="3" t="str">
        <f ca="1">IFERROR(__xludf.DUMMYFUNCTION("""COMPUTED_VALUE"""),"Leonardo Rocha")</f>
        <v>Leonardo Rocha</v>
      </c>
      <c r="S133" s="3" t="str">
        <f ca="1">IFERROR(__xludf.DUMMYFUNCTION("""COMPUTED_VALUE"""),"Débora")</f>
        <v>Débora</v>
      </c>
      <c r="T133" s="3" t="str">
        <f ca="1">IFERROR(__xludf.DUMMYFUNCTION("""COMPUTED_VALUE"""),"Karolynne Rocha")</f>
        <v>Karolynne Rocha</v>
      </c>
      <c r="U133" s="3" t="str">
        <f ca="1">IFERROR(__xludf.DUMMYFUNCTION("""COMPUTED_VALUE"""),"Patrícia Glioche")</f>
        <v>Patrícia Glioche</v>
      </c>
      <c r="V133" s="3" t="str">
        <f ca="1">IFERROR(__xludf.DUMMYFUNCTION("""COMPUTED_VALUE"""),"Não")</f>
        <v>Não</v>
      </c>
      <c r="W133" s="3" t="str">
        <f ca="1">IFERROR(__xludf.DUMMYFUNCTION("""COMPUTED_VALUE"""),"E-26/007/3035/2018")</f>
        <v>E-26/007/3035/2018</v>
      </c>
      <c r="X133" s="3" t="str">
        <f ca="1">IFERROR(__xludf.DUMMYFUNCTION("""COMPUTED_VALUE"""),"4-  Concluso p/ RF")</f>
        <v>4-  Concluso p/ RF</v>
      </c>
    </row>
    <row r="134" spans="1:24" x14ac:dyDescent="0.2">
      <c r="A134" s="3" t="str">
        <f ca="1">IFERROR(__xludf.DUMMYFUNCTION("""COMPUTED_VALUE"""),"309/2019")</f>
        <v>309/2019</v>
      </c>
      <c r="B134" s="3" t="str">
        <f ca="1">IFERROR(__xludf.DUMMYFUNCTION("""COMPUTED_VALUE"""),"E-26/007/9531/2016")</f>
        <v>E-26/007/9531/2016</v>
      </c>
      <c r="C134" s="3" t="str">
        <f ca="1">IFERROR(__xludf.DUMMYFUNCTION("""COMPUTED_VALUE"""),"Afrânio da Silva Garcia, matrícula 32.414-5")</f>
        <v>Afrânio da Silva Garcia, matrícula 32.414-5</v>
      </c>
      <c r="D134" s="3" t="str">
        <f ca="1">IFERROR(__xludf.DUMMYFUNCTION("""COMPUTED_VALUE"""),"Infração Administrativa")</f>
        <v>Infração Administrativa</v>
      </c>
      <c r="E134" s="3"/>
      <c r="F134" s="3" t="str">
        <f ca="1">IFERROR(__xludf.DUMMYFUNCTION("""COMPUTED_VALUE"""),"Outros.")</f>
        <v>Outros.</v>
      </c>
      <c r="G134" s="3" t="str">
        <f ca="1">IFERROR(__xludf.DUMMYFUNCTION("""COMPUTED_VALUE"""),"Outros")</f>
        <v>Outros</v>
      </c>
      <c r="H134" s="3" t="str">
        <f ca="1">IFERROR(__xludf.DUMMYFUNCTION("""COMPUTED_VALUE"""),"Denúncia de irregularidade cometida por professor")</f>
        <v>Denúncia de irregularidade cometida por professor</v>
      </c>
      <c r="I134" s="3"/>
      <c r="J134" s="5">
        <f ca="1">IFERROR(__xludf.DUMMYFUNCTION("""COMPUTED_VALUE"""),43538)</f>
        <v>43538</v>
      </c>
      <c r="K134" s="5">
        <f ca="1">IFERROR(__xludf.DUMMYFUNCTION("""COMPUTED_VALUE"""),43543)</f>
        <v>43543</v>
      </c>
      <c r="L134" s="5">
        <f ca="1">IFERROR(__xludf.DUMMYFUNCTION("""COMPUTED_VALUE"""),43723)</f>
        <v>43723</v>
      </c>
      <c r="M134" s="5">
        <f ca="1">IFERROR(__xludf.DUMMYFUNCTION("""COMPUTED_VALUE"""),43724)</f>
        <v>43724</v>
      </c>
      <c r="N134" s="3" t="str">
        <f ca="1">IFERROR(__xludf.DUMMYFUNCTION("""COMPUTED_VALUE"""),"Prazo expirado")</f>
        <v>Prazo expirado</v>
      </c>
      <c r="O134" s="5">
        <f ca="1">IFERROR(__xludf.DUMMYFUNCTION("""COMPUTED_VALUE"""),44455)</f>
        <v>44455</v>
      </c>
      <c r="P134" s="3">
        <f ca="1">IFERROR(__xludf.DUMMYFUNCTION("""COMPUTED_VALUE"""),-732)</f>
        <v>-732</v>
      </c>
      <c r="Q134" s="5">
        <f ca="1">IFERROR(__xludf.DUMMYFUNCTION("""COMPUTED_VALUE"""),45551)</f>
        <v>45551</v>
      </c>
      <c r="R134" s="3" t="str">
        <f ca="1">IFERROR(__xludf.DUMMYFUNCTION("""COMPUTED_VALUE"""),"Leonardo Rocha")</f>
        <v>Leonardo Rocha</v>
      </c>
      <c r="S134" s="3" t="str">
        <f ca="1">IFERROR(__xludf.DUMMYFUNCTION("""COMPUTED_VALUE"""),"Débora")</f>
        <v>Débora</v>
      </c>
      <c r="T134" s="3" t="str">
        <f ca="1">IFERROR(__xludf.DUMMYFUNCTION("""COMPUTED_VALUE"""),"Ariane Serpa")</f>
        <v>Ariane Serpa</v>
      </c>
      <c r="U134" s="3" t="str">
        <f ca="1">IFERROR(__xludf.DUMMYFUNCTION("""COMPUTED_VALUE"""),"Patrícia Glioche")</f>
        <v>Patrícia Glioche</v>
      </c>
      <c r="V134" s="3" t="str">
        <f ca="1">IFERROR(__xludf.DUMMYFUNCTION("""COMPUTED_VALUE"""),"Não")</f>
        <v>Não</v>
      </c>
      <c r="W134" s="3" t="str">
        <f ca="1">IFERROR(__xludf.DUMMYFUNCTION("""COMPUTED_VALUE"""),"E-26/007/9531/2016")</f>
        <v>E-26/007/9531/2016</v>
      </c>
      <c r="X134" s="3" t="str">
        <f ca="1">IFERROR(__xludf.DUMMYFUNCTION("""COMPUTED_VALUE"""),"4-  Concluso p/ RF")</f>
        <v>4-  Concluso p/ RF</v>
      </c>
    </row>
    <row r="135" spans="1:24" x14ac:dyDescent="0.2">
      <c r="A135" s="3" t="str">
        <f ca="1">IFERROR(__xludf.DUMMYFUNCTION("""COMPUTED_VALUE"""),"310/2019")</f>
        <v>310/2019</v>
      </c>
      <c r="B135" s="3" t="str">
        <f ca="1">IFERROR(__xludf.DUMMYFUNCTION("""COMPUTED_VALUE"""),"E-26/007/100256/2018")</f>
        <v>E-26/007/100256/2018</v>
      </c>
      <c r="C135" s="3" t="str">
        <f ca="1">IFERROR(__xludf.DUMMYFUNCTION("""COMPUTED_VALUE"""),"Monica Cristina Lima Brandão, matr. 32.606-6, Maria Regina da Silva Monteiro, matr. 30.911-2 e Maria Cristina Callado de Souza, matr. 32.206-5.")</f>
        <v>Monica Cristina Lima Brandão, matr. 32.606-6, Maria Regina da Silva Monteiro, matr. 30.911-2 e Maria Cristina Callado de Souza, matr. 32.206-5.</v>
      </c>
      <c r="D135" s="3" t="str">
        <f ca="1">IFERROR(__xludf.DUMMYFUNCTION("""COMPUTED_VALUE"""),"Desvio de conduta")</f>
        <v>Desvio de conduta</v>
      </c>
      <c r="E135" s="3" t="str">
        <f ca="1">IFERROR(__xludf.DUMMYFUNCTION("""COMPUTED_VALUE"""),"Desvio de conduta")</f>
        <v>Desvio de conduta</v>
      </c>
      <c r="F135" s="3" t="str">
        <f ca="1">IFERROR(__xludf.DUMMYFUNCTION("""COMPUTED_VALUE"""),"Outros.")</f>
        <v>Outros.</v>
      </c>
      <c r="G135" s="3" t="str">
        <f ca="1">IFERROR(__xludf.DUMMYFUNCTION("""COMPUTED_VALUE"""),"Outros")</f>
        <v>Outros</v>
      </c>
      <c r="H135" s="3" t="str">
        <f ca="1">IFERROR(__xludf.DUMMYFUNCTION("""COMPUTED_VALUE"""),"Atos de vandalismo ocorridos no campus Ilha Grande")</f>
        <v>Atos de vandalismo ocorridos no campus Ilha Grande</v>
      </c>
      <c r="I135" s="3"/>
      <c r="J135" s="5">
        <f ca="1">IFERROR(__xludf.DUMMYFUNCTION("""COMPUTED_VALUE"""),43566)</f>
        <v>43566</v>
      </c>
      <c r="K135" s="5">
        <f ca="1">IFERROR(__xludf.DUMMYFUNCTION("""COMPUTED_VALUE"""),43571)</f>
        <v>43571</v>
      </c>
      <c r="L135" s="5">
        <f ca="1">IFERROR(__xludf.DUMMYFUNCTION("""COMPUTED_VALUE"""),43751)</f>
        <v>43751</v>
      </c>
      <c r="M135" s="5">
        <f ca="1">IFERROR(__xludf.DUMMYFUNCTION("""COMPUTED_VALUE"""),43752)</f>
        <v>43752</v>
      </c>
      <c r="N135" s="3" t="str">
        <f ca="1">IFERROR(__xludf.DUMMYFUNCTION("""COMPUTED_VALUE"""),"Prazo expirado")</f>
        <v>Prazo expirado</v>
      </c>
      <c r="O135" s="5">
        <f ca="1">IFERROR(__xludf.DUMMYFUNCTION("""COMPUTED_VALUE"""),44483)</f>
        <v>44483</v>
      </c>
      <c r="P135" s="3">
        <f ca="1">IFERROR(__xludf.DUMMYFUNCTION("""COMPUTED_VALUE"""),-704)</f>
        <v>-704</v>
      </c>
      <c r="Q135" s="5">
        <f ca="1">IFERROR(__xludf.DUMMYFUNCTION("""COMPUTED_VALUE"""),45579)</f>
        <v>45579</v>
      </c>
      <c r="R135" s="3" t="str">
        <f ca="1">IFERROR(__xludf.DUMMYFUNCTION("""COMPUTED_VALUE"""),"Leonardo Rocha")</f>
        <v>Leonardo Rocha</v>
      </c>
      <c r="S135" s="3" t="str">
        <f ca="1">IFERROR(__xludf.DUMMYFUNCTION("""COMPUTED_VALUE"""),"Patrícia")</f>
        <v>Patrícia</v>
      </c>
      <c r="T135" s="3" t="str">
        <f ca="1">IFERROR(__xludf.DUMMYFUNCTION("""COMPUTED_VALUE"""),"Ariane Serpa")</f>
        <v>Ariane Serpa</v>
      </c>
      <c r="U135" s="3" t="str">
        <f ca="1">IFERROR(__xludf.DUMMYFUNCTION("""COMPUTED_VALUE"""),"Karolynne Rocha")</f>
        <v>Karolynne Rocha</v>
      </c>
      <c r="V135" s="3" t="str">
        <f ca="1">IFERROR(__xludf.DUMMYFUNCTION("""COMPUTED_VALUE"""),"Não")</f>
        <v>Não</v>
      </c>
      <c r="W135" s="3" t="str">
        <f ca="1">IFERROR(__xludf.DUMMYFUNCTION("""COMPUTED_VALUE"""),"E-26/007/100256/2018")</f>
        <v>E-26/007/100256/2018</v>
      </c>
      <c r="X135" s="3" t="str">
        <f ca="1">IFERROR(__xludf.DUMMYFUNCTION("""COMPUTED_VALUE"""),"3-  Concluso p/ Indiciação")</f>
        <v>3-  Concluso p/ Indiciação</v>
      </c>
    </row>
    <row r="136" spans="1:24" x14ac:dyDescent="0.2">
      <c r="A136" s="3" t="str">
        <f ca="1">IFERROR(__xludf.DUMMYFUNCTION("""COMPUTED_VALUE"""),"316/2019")</f>
        <v>316/2019</v>
      </c>
      <c r="B136" s="3" t="str">
        <f ca="1">IFERROR(__xludf.DUMMYFUNCTION("""COMPUTED_VALUE"""),"E-26/007/1607/2018")</f>
        <v>E-26/007/1607/2018</v>
      </c>
      <c r="C136" s="3" t="str">
        <f ca="1">IFERROR(__xludf.DUMMYFUNCTION("""COMPUTED_VALUE"""),"Marcus Portugal Feital, matr. 05.501-2.")</f>
        <v>Marcus Portugal Feital, matr. 05.501-2.</v>
      </c>
      <c r="D136" s="3" t="str">
        <f ca="1">IFERROR(__xludf.DUMMYFUNCTION("""COMPUTED_VALUE"""),"Desvio de conduta")</f>
        <v>Desvio de conduta</v>
      </c>
      <c r="E136" s="3" t="str">
        <f ca="1">IFERROR(__xludf.DUMMYFUNCTION("""COMPUTED_VALUE"""),"Desvio de conduta")</f>
        <v>Desvio de conduta</v>
      </c>
      <c r="F136" s="3" t="str">
        <f ca="1">IFERROR(__xludf.DUMMYFUNCTION("""COMPUTED_VALUE"""),"Outros.")</f>
        <v>Outros.</v>
      </c>
      <c r="G136" s="3" t="str">
        <f ca="1">IFERROR(__xludf.DUMMYFUNCTION("""COMPUTED_VALUE"""),"Outros")</f>
        <v>Outros</v>
      </c>
      <c r="H136" s="3" t="str">
        <f ca="1">IFERROR(__xludf.DUMMYFUNCTION("""COMPUTED_VALUE"""),"Desaparecimento de bens do Centro de Produção da UERJ, sob guarda do Centro de Tecnologia Educacional")</f>
        <v>Desaparecimento de bens do Centro de Produção da UERJ, sob guarda do Centro de Tecnologia Educacional</v>
      </c>
      <c r="I136" s="3"/>
      <c r="J136" s="5">
        <f ca="1">IFERROR(__xludf.DUMMYFUNCTION("""COMPUTED_VALUE"""),43615)</f>
        <v>43615</v>
      </c>
      <c r="K136" s="5">
        <f ca="1">IFERROR(__xludf.DUMMYFUNCTION("""COMPUTED_VALUE"""),43624)</f>
        <v>43624</v>
      </c>
      <c r="L136" s="5">
        <f ca="1">IFERROR(__xludf.DUMMYFUNCTION("""COMPUTED_VALUE"""),43804)</f>
        <v>43804</v>
      </c>
      <c r="M136" s="5">
        <f ca="1">IFERROR(__xludf.DUMMYFUNCTION("""COMPUTED_VALUE"""),43805)</f>
        <v>43805</v>
      </c>
      <c r="N136" s="3" t="str">
        <f ca="1">IFERROR(__xludf.DUMMYFUNCTION("""COMPUTED_VALUE"""),"Prazo expirado")</f>
        <v>Prazo expirado</v>
      </c>
      <c r="O136" s="5">
        <f ca="1">IFERROR(__xludf.DUMMYFUNCTION("""COMPUTED_VALUE"""),44536)</f>
        <v>44536</v>
      </c>
      <c r="P136" s="3">
        <f ca="1">IFERROR(__xludf.DUMMYFUNCTION("""COMPUTED_VALUE"""),-651)</f>
        <v>-651</v>
      </c>
      <c r="Q136" s="5">
        <f ca="1">IFERROR(__xludf.DUMMYFUNCTION("""COMPUTED_VALUE"""),45632)</f>
        <v>45632</v>
      </c>
      <c r="R136" s="3" t="str">
        <f ca="1">IFERROR(__xludf.DUMMYFUNCTION("""COMPUTED_VALUE"""),"Alessandra Abelheira")</f>
        <v>Alessandra Abelheira</v>
      </c>
      <c r="S136" s="3" t="str">
        <f ca="1">IFERROR(__xludf.DUMMYFUNCTION("""COMPUTED_VALUE"""),"Micheline")</f>
        <v>Micheline</v>
      </c>
      <c r="T136" s="3" t="str">
        <f ca="1">IFERROR(__xludf.DUMMYFUNCTION("""COMPUTED_VALUE"""),"Ariane Serpa")</f>
        <v>Ariane Serpa</v>
      </c>
      <c r="U136" s="3" t="str">
        <f ca="1">IFERROR(__xludf.DUMMYFUNCTION("""COMPUTED_VALUE"""),"Teresa Jardin")</f>
        <v>Teresa Jardin</v>
      </c>
      <c r="V136" s="3" t="str">
        <f ca="1">IFERROR(__xludf.DUMMYFUNCTION("""COMPUTED_VALUE"""),"Não")</f>
        <v>Não</v>
      </c>
      <c r="W136" s="3" t="str">
        <f ca="1">IFERROR(__xludf.DUMMYFUNCTION("""COMPUTED_VALUE"""),"E-26/007/4310/2017")</f>
        <v>E-26/007/4310/2017</v>
      </c>
      <c r="X136" s="3" t="str">
        <f ca="1">IFERROR(__xludf.DUMMYFUNCTION("""COMPUTED_VALUE"""),"3-  Concluso p/ Indiciação")</f>
        <v>3-  Concluso p/ Indiciação</v>
      </c>
    </row>
    <row r="137" spans="1:24" x14ac:dyDescent="0.2">
      <c r="A137" s="3" t="str">
        <f ca="1">IFERROR(__xludf.DUMMYFUNCTION("""COMPUTED_VALUE"""),"327/2021")</f>
        <v>327/2021</v>
      </c>
      <c r="B137" s="3" t="str">
        <f ca="1">IFERROR(__xludf.DUMMYFUNCTION("""COMPUTED_VALUE"""),"SEI-260007/004642/2021")</f>
        <v>SEI-260007/004642/2021</v>
      </c>
      <c r="C137" s="3" t="str">
        <f ca="1">IFERROR(__xludf.DUMMYFUNCTION("""COMPUTED_VALUE"""),"Anderson Luiz dos Santos Ribeiro, matrícula nº 37.076-7.")</f>
        <v>Anderson Luiz dos Santos Ribeiro, matrícula nº 37.076-7.</v>
      </c>
      <c r="D137" s="3" t="str">
        <f ca="1">IFERROR(__xludf.DUMMYFUNCTION("""COMPUTED_VALUE"""),"Desvio de conduta")</f>
        <v>Desvio de conduta</v>
      </c>
      <c r="E137" s="3" t="str">
        <f ca="1">IFERROR(__xludf.DUMMYFUNCTION("""COMPUTED_VALUE"""),"Desvio de conduta")</f>
        <v>Desvio de conduta</v>
      </c>
      <c r="F137" s="3" t="str">
        <f ca="1">IFERROR(__xludf.DUMMYFUNCTION("""COMPUTED_VALUE"""),"Outros.")</f>
        <v>Outros.</v>
      </c>
      <c r="G137" s="3" t="str">
        <f ca="1">IFERROR(__xludf.DUMMYFUNCTION("""COMPUTED_VALUE"""),"Outros")</f>
        <v>Outros</v>
      </c>
      <c r="H137" s="3" t="str">
        <f ca="1">IFERROR(__xludf.DUMMYFUNCTION("""COMPUTED_VALUE"""),"Infrações disciplinares")</f>
        <v>Infrações disciplinares</v>
      </c>
      <c r="I137" s="3"/>
      <c r="J137" s="5">
        <f ca="1">IFERROR(__xludf.DUMMYFUNCTION("""COMPUTED_VALUE"""),44238)</f>
        <v>44238</v>
      </c>
      <c r="K137" s="5">
        <f ca="1">IFERROR(__xludf.DUMMYFUNCTION("""COMPUTED_VALUE"""),44245)</f>
        <v>44245</v>
      </c>
      <c r="L137" s="5">
        <f ca="1">IFERROR(__xludf.DUMMYFUNCTION("""COMPUTED_VALUE"""),44425)</f>
        <v>44425</v>
      </c>
      <c r="M137" s="5">
        <f ca="1">IFERROR(__xludf.DUMMYFUNCTION("""COMPUTED_VALUE"""),44426)</f>
        <v>44426</v>
      </c>
      <c r="N137" s="3" t="str">
        <f ca="1">IFERROR(__xludf.DUMMYFUNCTION("""COMPUTED_VALUE"""),"Prazo expirado")</f>
        <v>Prazo expirado</v>
      </c>
      <c r="O137" s="5">
        <f ca="1">IFERROR(__xludf.DUMMYFUNCTION("""COMPUTED_VALUE"""),45156)</f>
        <v>45156</v>
      </c>
      <c r="P137" s="3">
        <f ca="1">IFERROR(__xludf.DUMMYFUNCTION("""COMPUTED_VALUE"""),-31)</f>
        <v>-31</v>
      </c>
      <c r="Q137" s="5">
        <f ca="1">IFERROR(__xludf.DUMMYFUNCTION("""COMPUTED_VALUE"""),46252)</f>
        <v>46252</v>
      </c>
      <c r="R137" s="3" t="str">
        <f ca="1">IFERROR(__xludf.DUMMYFUNCTION("""COMPUTED_VALUE"""),"Alessandra Abelheira")</f>
        <v>Alessandra Abelheira</v>
      </c>
      <c r="S137" s="3" t="str">
        <f ca="1">IFERROR(__xludf.DUMMYFUNCTION("""COMPUTED_VALUE"""),"Franciane")</f>
        <v>Franciane</v>
      </c>
      <c r="T137" s="3" t="str">
        <f ca="1">IFERROR(__xludf.DUMMYFUNCTION("""COMPUTED_VALUE"""),"Ariane Serpa")</f>
        <v>Ariane Serpa</v>
      </c>
      <c r="U137" s="3" t="str">
        <f ca="1">IFERROR(__xludf.DUMMYFUNCTION("""COMPUTED_VALUE"""),"Karolynne Rocha")</f>
        <v>Karolynne Rocha</v>
      </c>
      <c r="V137" s="3" t="str">
        <f ca="1">IFERROR(__xludf.DUMMYFUNCTION("""COMPUTED_VALUE"""),"Não")</f>
        <v>Não</v>
      </c>
      <c r="W137" s="3" t="str">
        <f ca="1">IFERROR(__xludf.DUMMYFUNCTION("""COMPUTED_VALUE"""),"E-26/007/10703/2019")</f>
        <v>E-26/007/10703/2019</v>
      </c>
      <c r="X137" s="3" t="str">
        <f ca="1">IFERROR(__xludf.DUMMYFUNCTION("""COMPUTED_VALUE"""),"3.5-  Concluso sem especificação")</f>
        <v>3.5-  Concluso sem especificação</v>
      </c>
    </row>
    <row r="138" spans="1:24" x14ac:dyDescent="0.2">
      <c r="A138" s="3" t="str">
        <f ca="1">IFERROR(__xludf.DUMMYFUNCTION("""COMPUTED_VALUE"""),"344/2022")</f>
        <v>344/2022</v>
      </c>
      <c r="B138" s="3" t="str">
        <f ca="1">IFERROR(__xludf.DUMMYFUNCTION("""COMPUTED_VALUE"""),"SEI-260007/002622/2022")</f>
        <v>SEI-260007/002622/2022</v>
      </c>
      <c r="C138" s="3" t="str">
        <f ca="1">IFERROR(__xludf.DUMMYFUNCTION("""COMPUTED_VALUE"""),"Anderson Luiz dos Santos Ribeiro, matrícula nº 37.076-7.")</f>
        <v>Anderson Luiz dos Santos Ribeiro, matrícula nº 37.076-7.</v>
      </c>
      <c r="D138" s="3" t="str">
        <f ca="1">IFERROR(__xludf.DUMMYFUNCTION("""COMPUTED_VALUE"""),"Desvio de conduta")</f>
        <v>Desvio de conduta</v>
      </c>
      <c r="E138" s="3" t="str">
        <f ca="1">IFERROR(__xludf.DUMMYFUNCTION("""COMPUTED_VALUE"""),"Desvio de conduta")</f>
        <v>Desvio de conduta</v>
      </c>
      <c r="F138" s="3" t="str">
        <f ca="1">IFERROR(__xludf.DUMMYFUNCTION("""COMPUTED_VALUE"""),"Outros.")</f>
        <v>Outros.</v>
      </c>
      <c r="G138" s="3" t="str">
        <f ca="1">IFERROR(__xludf.DUMMYFUNCTION("""COMPUTED_VALUE"""),"Outros")</f>
        <v>Outros</v>
      </c>
      <c r="H138" s="3" t="str">
        <f ca="1">IFERROR(__xludf.DUMMYFUNCTION("""COMPUTED_VALUE"""),"Violação do dever de urbanidade e à proibição de manifestação depreciativa em
detrimento de autoridade")</f>
        <v>Violação do dever de urbanidade e à proibição de manifestação depreciativa em
detrimento de autoridade</v>
      </c>
      <c r="I138" s="3"/>
      <c r="J138" s="5">
        <f ca="1">IFERROR(__xludf.DUMMYFUNCTION("""COMPUTED_VALUE"""),44505)</f>
        <v>44505</v>
      </c>
      <c r="K138" s="5">
        <f ca="1">IFERROR(__xludf.DUMMYFUNCTION("""COMPUTED_VALUE"""),44575)</f>
        <v>44575</v>
      </c>
      <c r="L138" s="5">
        <f ca="1">IFERROR(__xludf.DUMMYFUNCTION("""COMPUTED_VALUE"""),44755)</f>
        <v>44755</v>
      </c>
      <c r="M138" s="5">
        <f ca="1">IFERROR(__xludf.DUMMYFUNCTION("""COMPUTED_VALUE"""),44756)</f>
        <v>44756</v>
      </c>
      <c r="N138" s="3" t="str">
        <f ca="1">IFERROR(__xludf.DUMMYFUNCTION("""COMPUTED_VALUE"""),"Prazo expirado")</f>
        <v>Prazo expirado</v>
      </c>
      <c r="O138" s="5">
        <f ca="1">IFERROR(__xludf.DUMMYFUNCTION("""COMPUTED_VALUE"""),45487)</f>
        <v>45487</v>
      </c>
      <c r="P138" s="3">
        <f ca="1">IFERROR(__xludf.DUMMYFUNCTION("""COMPUTED_VALUE"""),299)</f>
        <v>299</v>
      </c>
      <c r="Q138" s="5">
        <f ca="1">IFERROR(__xludf.DUMMYFUNCTION("""COMPUTED_VALUE"""),46582)</f>
        <v>46582</v>
      </c>
      <c r="R138" s="3" t="str">
        <f ca="1">IFERROR(__xludf.DUMMYFUNCTION("""COMPUTED_VALUE"""),"Alessandra Abelheira")</f>
        <v>Alessandra Abelheira</v>
      </c>
      <c r="S138" s="3" t="str">
        <f ca="1">IFERROR(__xludf.DUMMYFUNCTION("""COMPUTED_VALUE"""),"Micheline")</f>
        <v>Micheline</v>
      </c>
      <c r="T138" s="3" t="str">
        <f ca="1">IFERROR(__xludf.DUMMYFUNCTION("""COMPUTED_VALUE"""),"Ariane Serpa")</f>
        <v>Ariane Serpa</v>
      </c>
      <c r="U138" s="3" t="str">
        <f ca="1">IFERROR(__xludf.DUMMYFUNCTION("""COMPUTED_VALUE"""),"Karolynne Rocha")</f>
        <v>Karolynne Rocha</v>
      </c>
      <c r="V138" s="3"/>
      <c r="W138" s="3" t="str">
        <f ca="1">IFERROR(__xludf.DUMMYFUNCTION("""COMPUTED_VALUE"""),"SEI-260007/016888/2021")</f>
        <v>SEI-260007/016888/2021</v>
      </c>
      <c r="X138" s="3" t="str">
        <f ca="1">IFERROR(__xludf.DUMMYFUNCTION("""COMPUTED_VALUE"""),"3-  Concluso p/ Indiciação")</f>
        <v>3-  Concluso p/ Indiciação</v>
      </c>
    </row>
    <row r="139" spans="1:24" x14ac:dyDescent="0.2">
      <c r="A139" s="3" t="str">
        <f ca="1">IFERROR(__xludf.DUMMYFUNCTION("""COMPUTED_VALUE"""),"375/2022")</f>
        <v>375/2022</v>
      </c>
      <c r="B139" s="3" t="str">
        <f ca="1">IFERROR(__xludf.DUMMYFUNCTION("""COMPUTED_VALUE"""),"SEI-260007/051294/2022")</f>
        <v>SEI-260007/051294/2022</v>
      </c>
      <c r="C139" s="3" t="str">
        <f ca="1">IFERROR(__xludf.DUMMYFUNCTION("""COMPUTED_VALUE"""),"Anderson Luiz dos Santos Ribeiro, matrícula nº 37.076-7.")</f>
        <v>Anderson Luiz dos Santos Ribeiro, matrícula nº 37.076-7.</v>
      </c>
      <c r="D139" s="3" t="str">
        <f ca="1">IFERROR(__xludf.DUMMYFUNCTION("""COMPUTED_VALUE"""),"Desvio de conduta")</f>
        <v>Desvio de conduta</v>
      </c>
      <c r="E139" s="3" t="str">
        <f ca="1">IFERROR(__xludf.DUMMYFUNCTION("""COMPUTED_VALUE"""),"Desvio de conduta")</f>
        <v>Desvio de conduta</v>
      </c>
      <c r="F139" s="3" t="str">
        <f ca="1">IFERROR(__xludf.DUMMYFUNCTION("""COMPUTED_VALUE"""),"Insubordinação.")</f>
        <v>Insubordinação.</v>
      </c>
      <c r="G139" s="3" t="str">
        <f ca="1">IFERROR(__xludf.DUMMYFUNCTION("""COMPUTED_VALUE"""),"Insubordinação")</f>
        <v>Insubordinação</v>
      </c>
      <c r="H139" s="3" t="str">
        <f ca="1">IFERROR(__xludf.DUMMYFUNCTION("""COMPUTED_VALUE"""),"Insubordinação grave em serviço")</f>
        <v>Insubordinação grave em serviço</v>
      </c>
      <c r="I139" s="3"/>
      <c r="J139" s="5">
        <f ca="1">IFERROR(__xludf.DUMMYFUNCTION("""COMPUTED_VALUE"""),44796)</f>
        <v>44796</v>
      </c>
      <c r="K139" s="5">
        <f ca="1">IFERROR(__xludf.DUMMYFUNCTION("""COMPUTED_VALUE"""),44860)</f>
        <v>44860</v>
      </c>
      <c r="L139" s="5">
        <f ca="1">IFERROR(__xludf.DUMMYFUNCTION("""COMPUTED_VALUE"""),45040)</f>
        <v>45040</v>
      </c>
      <c r="M139" s="5">
        <f ca="1">IFERROR(__xludf.DUMMYFUNCTION("""COMPUTED_VALUE"""),45041)</f>
        <v>45041</v>
      </c>
      <c r="N139" s="3" t="str">
        <f ca="1">IFERROR(__xludf.DUMMYFUNCTION("""COMPUTED_VALUE"""),"Prazo expirado")</f>
        <v>Prazo expirado</v>
      </c>
      <c r="O139" s="5">
        <f ca="1">IFERROR(__xludf.DUMMYFUNCTION("""COMPUTED_VALUE"""),45772)</f>
        <v>45772</v>
      </c>
      <c r="P139" s="3">
        <f ca="1">IFERROR(__xludf.DUMMYFUNCTION("""COMPUTED_VALUE"""),585)</f>
        <v>585</v>
      </c>
      <c r="Q139" s="5">
        <f ca="1">IFERROR(__xludf.DUMMYFUNCTION("""COMPUTED_VALUE"""),46868)</f>
        <v>46868</v>
      </c>
      <c r="R139" s="3" t="str">
        <f ca="1">IFERROR(__xludf.DUMMYFUNCTION("""COMPUTED_VALUE"""),"Marcelo Bento")</f>
        <v>Marcelo Bento</v>
      </c>
      <c r="S139" s="3" t="str">
        <f ca="1">IFERROR(__xludf.DUMMYFUNCTION("""COMPUTED_VALUE"""),"Micheline")</f>
        <v>Micheline</v>
      </c>
      <c r="T139" s="3" t="str">
        <f ca="1">IFERROR(__xludf.DUMMYFUNCTION("""COMPUTED_VALUE"""),"Thaís Muci")</f>
        <v>Thaís Muci</v>
      </c>
      <c r="U139" s="3" t="str">
        <f ca="1">IFERROR(__xludf.DUMMYFUNCTION("""COMPUTED_VALUE"""),"Marcelo Ferreira")</f>
        <v>Marcelo Ferreira</v>
      </c>
      <c r="V139" s="3" t="str">
        <f ca="1">IFERROR(__xludf.DUMMYFUNCTION("""COMPUTED_VALUE"""),"Sim")</f>
        <v>Sim</v>
      </c>
      <c r="W139" s="3" t="str">
        <f ca="1">IFERROR(__xludf.DUMMYFUNCTION("""COMPUTED_VALUE"""),"SEI-260007/002631/2022")</f>
        <v>SEI-260007/002631/2022</v>
      </c>
      <c r="X139" s="3" t="str">
        <f ca="1">IFERROR(__xludf.DUMMYFUNCTION("""COMPUTED_VALUE"""),"4-  Concluso p/ RF")</f>
        <v>4-  Concluso p/ RF</v>
      </c>
    </row>
    <row r="140" spans="1:24" x14ac:dyDescent="0.2">
      <c r="A140" s="3" t="str">
        <f ca="1">IFERROR(__xludf.DUMMYFUNCTION("""COMPUTED_VALUE"""),"381/2023")</f>
        <v>381/2023</v>
      </c>
      <c r="B140" s="3" t="str">
        <f ca="1">IFERROR(__xludf.DUMMYFUNCTION("""COMPUTED_VALUE"""),"SEI-260007/008962/2023")</f>
        <v>SEI-260007/008962/2023</v>
      </c>
      <c r="C140" s="3" t="str">
        <f ca="1">IFERROR(__xludf.DUMMYFUNCTION("""COMPUTED_VALUE"""),"SHIRLEI BARROS DO CANTO, matrícula 33.518-2")</f>
        <v>SHIRLEI BARROS DO CANTO, matrícula 33.518-2</v>
      </c>
      <c r="D140" s="3" t="str">
        <f ca="1">IFERROR(__xludf.DUMMYFUNCTION("""COMPUTED_VALUE"""),"Desvio de conduta")</f>
        <v>Desvio de conduta</v>
      </c>
      <c r="E140" s="3" t="str">
        <f ca="1">IFERROR(__xludf.DUMMYFUNCTION("""COMPUTED_VALUE"""),"Desvio de conduta")</f>
        <v>Desvio de conduta</v>
      </c>
      <c r="F140" s="3" t="str">
        <f ca="1">IFERROR(__xludf.DUMMYFUNCTION("""COMPUTED_VALUE"""),"Acumulação de cargos.")</f>
        <v>Acumulação de cargos.</v>
      </c>
      <c r="G140" s="3" t="str">
        <f ca="1">IFERROR(__xludf.DUMMYFUNCTION("""COMPUTED_VALUE"""),"Acumulação de cargos")</f>
        <v>Acumulação de cargos</v>
      </c>
      <c r="H140" s="3" t="str">
        <f ca="1">IFERROR(__xludf.DUMMYFUNCTION("""COMPUTED_VALUE"""),"Acumulação ilícita de cargos de servidora Técnica Administrativa no período de 02/02/2007 a 09/03/2020.")</f>
        <v>Acumulação ilícita de cargos de servidora Técnica Administrativa no período de 02/02/2007 a 09/03/2020.</v>
      </c>
      <c r="I140" s="3"/>
      <c r="J140" s="5">
        <f ca="1">IFERROR(__xludf.DUMMYFUNCTION("""COMPUTED_VALUE"""),44954)</f>
        <v>44954</v>
      </c>
      <c r="K140" s="5">
        <f ca="1">IFERROR(__xludf.DUMMYFUNCTION("""COMPUTED_VALUE"""),44964)</f>
        <v>44964</v>
      </c>
      <c r="L140" s="5">
        <f ca="1">IFERROR(__xludf.DUMMYFUNCTION("""COMPUTED_VALUE"""),45144)</f>
        <v>45144</v>
      </c>
      <c r="M140" s="5">
        <f ca="1">IFERROR(__xludf.DUMMYFUNCTION("""COMPUTED_VALUE"""),45145)</f>
        <v>45145</v>
      </c>
      <c r="N140" s="3" t="str">
        <f ca="1">IFERROR(__xludf.DUMMYFUNCTION("""COMPUTED_VALUE"""),"Prazo expirado")</f>
        <v>Prazo expirado</v>
      </c>
      <c r="O140" s="5">
        <f ca="1">IFERROR(__xludf.DUMMYFUNCTION("""COMPUTED_VALUE"""),45876)</f>
        <v>45876</v>
      </c>
      <c r="P140" s="3">
        <f ca="1">IFERROR(__xludf.DUMMYFUNCTION("""COMPUTED_VALUE"""),689)</f>
        <v>689</v>
      </c>
      <c r="Q140" s="5">
        <f ca="1">IFERROR(__xludf.DUMMYFUNCTION("""COMPUTED_VALUE"""),46972)</f>
        <v>46972</v>
      </c>
      <c r="R140" s="3" t="str">
        <f ca="1">IFERROR(__xludf.DUMMYFUNCTION("""COMPUTED_VALUE"""),"Thaís Muci")</f>
        <v>Thaís Muci</v>
      </c>
      <c r="S140" s="3" t="str">
        <f ca="1">IFERROR(__xludf.DUMMYFUNCTION("""COMPUTED_VALUE"""),"Franciane")</f>
        <v>Franciane</v>
      </c>
      <c r="T140" s="3" t="str">
        <f ca="1">IFERROR(__xludf.DUMMYFUNCTION("""COMPUTED_VALUE"""),"Felipe Perdigão")</f>
        <v>Felipe Perdigão</v>
      </c>
      <c r="U140" s="3" t="str">
        <f ca="1">IFERROR(__xludf.DUMMYFUNCTION("""COMPUTED_VALUE"""),"Vanessa Queiroz")</f>
        <v>Vanessa Queiroz</v>
      </c>
      <c r="V140" s="3" t="str">
        <f ca="1">IFERROR(__xludf.DUMMYFUNCTION("""COMPUTED_VALUE"""),"Não")</f>
        <v>Não</v>
      </c>
      <c r="W140" s="3" t="str">
        <f ca="1">IFERROR(__xludf.DUMMYFUNCTION("""COMPUTED_VALUE"""),"E-26/007/4438/2018")</f>
        <v>E-26/007/4438/2018</v>
      </c>
      <c r="X140" s="3" t="str">
        <f ca="1">IFERROR(__xludf.DUMMYFUNCTION("""COMPUTED_VALUE"""),"3-  Concluso p/ Indiciação")</f>
        <v>3-  Concluso p/ Indiciação</v>
      </c>
    </row>
    <row r="141" spans="1:24" x14ac:dyDescent="0.2">
      <c r="A141" s="3" t="str">
        <f ca="1">IFERROR(__xludf.DUMMYFUNCTION("""COMPUTED_VALUE"""),"384/2023")</f>
        <v>384/2023</v>
      </c>
      <c r="B141" s="3" t="str">
        <f ca="1">IFERROR(__xludf.DUMMYFUNCTION("""COMPUTED_VALUE"""),"SEI-260007/011959/2023")</f>
        <v>SEI-260007/011959/2023</v>
      </c>
      <c r="C141" s="3" t="str">
        <f ca="1">IFERROR(__xludf.DUMMYFUNCTION("""COMPUTED_VALUE"""),"Thiago Rodrigues Pereira, matrícula 38980-9 (ex-servidor)")</f>
        <v>Thiago Rodrigues Pereira, matrícula 38980-9 (ex-servidor)</v>
      </c>
      <c r="D141" s="3" t="str">
        <f ca="1">IFERROR(__xludf.DUMMYFUNCTION("""COMPUTED_VALUE"""),"Desvio de conduta")</f>
        <v>Desvio de conduta</v>
      </c>
      <c r="E141" s="3" t="str">
        <f ca="1">IFERROR(__xludf.DUMMYFUNCTION("""COMPUTED_VALUE"""),"Desvio de conduta")</f>
        <v>Desvio de conduta</v>
      </c>
      <c r="F141" s="3" t="str">
        <f ca="1">IFERROR(__xludf.DUMMYFUNCTION("""COMPUTED_VALUE"""),"Acumulação de cargos.")</f>
        <v>Acumulação de cargos.</v>
      </c>
      <c r="G141" s="3" t="str">
        <f ca="1">IFERROR(__xludf.DUMMYFUNCTION("""COMPUTED_VALUE"""),"Acumulação de cargos")</f>
        <v>Acumulação de cargos</v>
      </c>
      <c r="H141" s="3" t="str">
        <f ca="1">IFERROR(__xludf.DUMMYFUNCTION("""COMPUTED_VALUE"""),"Acumulação ilícita de cargos praticada por servidor ocupante de cargo de Professor Adjunto, matrícula 38.980-9 – UERJ e Professor Adjunto, matrícula 2004978 – Universidade Federal Fluminense, no período de 25/06/2015  a 29/02/2016.")</f>
        <v>Acumulação ilícita de cargos praticada por servidor ocupante de cargo de Professor Adjunto, matrícula 38.980-9 – UERJ e Professor Adjunto, matrícula 2004978 – Universidade Federal Fluminense, no período de 25/06/2015  a 29/02/2016.</v>
      </c>
      <c r="I141" s="3"/>
      <c r="J141" s="5">
        <f ca="1">IFERROR(__xludf.DUMMYFUNCTION("""COMPUTED_VALUE"""),44986)</f>
        <v>44986</v>
      </c>
      <c r="K141" s="5">
        <f ca="1">IFERROR(__xludf.DUMMYFUNCTION("""COMPUTED_VALUE"""),44992)</f>
        <v>44992</v>
      </c>
      <c r="L141" s="5">
        <f ca="1">IFERROR(__xludf.DUMMYFUNCTION("""COMPUTED_VALUE"""),45172)</f>
        <v>45172</v>
      </c>
      <c r="M141" s="5">
        <f ca="1">IFERROR(__xludf.DUMMYFUNCTION("""COMPUTED_VALUE"""),45173)</f>
        <v>45173</v>
      </c>
      <c r="N141" s="3" t="str">
        <f ca="1">IFERROR(__xludf.DUMMYFUNCTION("""COMPUTED_VALUE"""),"Prazo expirado")</f>
        <v>Prazo expirado</v>
      </c>
      <c r="O141" s="5">
        <f ca="1">IFERROR(__xludf.DUMMYFUNCTION("""COMPUTED_VALUE"""),45904)</f>
        <v>45904</v>
      </c>
      <c r="P141" s="3">
        <f ca="1">IFERROR(__xludf.DUMMYFUNCTION("""COMPUTED_VALUE"""),717)</f>
        <v>717</v>
      </c>
      <c r="Q141" s="5">
        <f ca="1">IFERROR(__xludf.DUMMYFUNCTION("""COMPUTED_VALUE"""),47000)</f>
        <v>47000</v>
      </c>
      <c r="R141" s="3" t="str">
        <f ca="1">IFERROR(__xludf.DUMMYFUNCTION("""COMPUTED_VALUE"""),"Marcelo Bento")</f>
        <v>Marcelo Bento</v>
      </c>
      <c r="S141" s="3" t="str">
        <f ca="1">IFERROR(__xludf.DUMMYFUNCTION("""COMPUTED_VALUE"""),"Patrícia")</f>
        <v>Patrícia</v>
      </c>
      <c r="T141" s="3" t="str">
        <f ca="1">IFERROR(__xludf.DUMMYFUNCTION("""COMPUTED_VALUE"""),"Patrícia Glioche")</f>
        <v>Patrícia Glioche</v>
      </c>
      <c r="U141" s="3" t="str">
        <f ca="1">IFERROR(__xludf.DUMMYFUNCTION("""COMPUTED_VALUE"""),"Vanessa Queiroz")</f>
        <v>Vanessa Queiroz</v>
      </c>
      <c r="V141" s="3" t="str">
        <f ca="1">IFERROR(__xludf.DUMMYFUNCTION("""COMPUTED_VALUE"""),"Não")</f>
        <v>Não</v>
      </c>
      <c r="W141" s="3" t="str">
        <f ca="1">IFERROR(__xludf.DUMMYFUNCTION("""COMPUTED_VALUE"""),"E-26/007/6361/2015")</f>
        <v>E-26/007/6361/2015</v>
      </c>
      <c r="X141" s="3" t="str">
        <f ca="1">IFERROR(__xludf.DUMMYFUNCTION("""COMPUTED_VALUE"""),"4-  Concluso p/ RF")</f>
        <v>4-  Concluso p/ RF</v>
      </c>
    </row>
    <row r="142" spans="1:24" x14ac:dyDescent="0.2">
      <c r="A142" s="3" t="str">
        <f ca="1">IFERROR(__xludf.DUMMYFUNCTION("""COMPUTED_VALUE"""),"385/2023")</f>
        <v>385/2023</v>
      </c>
      <c r="B142" s="3" t="str">
        <f ca="1">IFERROR(__xludf.DUMMYFUNCTION("""COMPUTED_VALUE"""),"SEI-260007/011974/2023")</f>
        <v>SEI-260007/011974/2023</v>
      </c>
      <c r="C142" s="3" t="str">
        <f ca="1">IFERROR(__xludf.DUMMYFUNCTION("""COMPUTED_VALUE"""),"Jeferson de Sales Oliveira, 39289-4")</f>
        <v>Jeferson de Sales Oliveira, 39289-4</v>
      </c>
      <c r="D142" s="3" t="str">
        <f ca="1">IFERROR(__xludf.DUMMYFUNCTION("""COMPUTED_VALUE"""),"Desvio de conduta")</f>
        <v>Desvio de conduta</v>
      </c>
      <c r="E142" s="3" t="str">
        <f ca="1">IFERROR(__xludf.DUMMYFUNCTION("""COMPUTED_VALUE"""),"Desvio de conduta")</f>
        <v>Desvio de conduta</v>
      </c>
      <c r="F142" s="3" t="str">
        <f ca="1">IFERROR(__xludf.DUMMYFUNCTION("""COMPUTED_VALUE"""),"Acumulação de cargos.")</f>
        <v>Acumulação de cargos.</v>
      </c>
      <c r="G142" s="3" t="str">
        <f ca="1">IFERROR(__xludf.DUMMYFUNCTION("""COMPUTED_VALUE"""),"Acumulação de cargos")</f>
        <v>Acumulação de cargos</v>
      </c>
      <c r="H142" s="3" t="str">
        <f ca="1">IFERROR(__xludf.DUMMYFUNCTION("""COMPUTED_VALUE"""),"Acumulação ilícita praticada por servidor ocupante de cargo de TUS/ Técnico de Laboratório com cargo de Técnico de Anatomia e Necrópsia junto à UNIRIO. ")</f>
        <v xml:space="preserve">Acumulação ilícita praticada por servidor ocupante de cargo de TUS/ Técnico de Laboratório com cargo de Técnico de Anatomia e Necrópsia junto à UNIRIO. </v>
      </c>
      <c r="I142" s="3"/>
      <c r="J142" s="5">
        <f ca="1">IFERROR(__xludf.DUMMYFUNCTION("""COMPUTED_VALUE"""),44991)</f>
        <v>44991</v>
      </c>
      <c r="K142" s="5">
        <f ca="1">IFERROR(__xludf.DUMMYFUNCTION("""COMPUTED_VALUE"""),44995)</f>
        <v>44995</v>
      </c>
      <c r="L142" s="5">
        <f ca="1">IFERROR(__xludf.DUMMYFUNCTION("""COMPUTED_VALUE"""),45175)</f>
        <v>45175</v>
      </c>
      <c r="M142" s="5">
        <f ca="1">IFERROR(__xludf.DUMMYFUNCTION("""COMPUTED_VALUE"""),45176)</f>
        <v>45176</v>
      </c>
      <c r="N142" s="3" t="str">
        <f ca="1">IFERROR(__xludf.DUMMYFUNCTION("""COMPUTED_VALUE"""),"Prazo expirado")</f>
        <v>Prazo expirado</v>
      </c>
      <c r="O142" s="5">
        <f ca="1">IFERROR(__xludf.DUMMYFUNCTION("""COMPUTED_VALUE"""),45907)</f>
        <v>45907</v>
      </c>
      <c r="P142" s="3">
        <f ca="1">IFERROR(__xludf.DUMMYFUNCTION("""COMPUTED_VALUE"""),720)</f>
        <v>720</v>
      </c>
      <c r="Q142" s="5">
        <f ca="1">IFERROR(__xludf.DUMMYFUNCTION("""COMPUTED_VALUE"""),47003)</f>
        <v>47003</v>
      </c>
      <c r="R142" s="3" t="str">
        <f ca="1">IFERROR(__xludf.DUMMYFUNCTION("""COMPUTED_VALUE"""),"Thaís Muci")</f>
        <v>Thaís Muci</v>
      </c>
      <c r="S142" s="3" t="str">
        <f ca="1">IFERROR(__xludf.DUMMYFUNCTION("""COMPUTED_VALUE"""),"Patrícia")</f>
        <v>Patrícia</v>
      </c>
      <c r="T142" s="3" t="str">
        <f ca="1">IFERROR(__xludf.DUMMYFUNCTION("""COMPUTED_VALUE"""),"Felipe Perdigão")</f>
        <v>Felipe Perdigão</v>
      </c>
      <c r="U142" s="3" t="str">
        <f ca="1">IFERROR(__xludf.DUMMYFUNCTION("""COMPUTED_VALUE"""),"Vanessa Queiroz")</f>
        <v>Vanessa Queiroz</v>
      </c>
      <c r="V142" s="3" t="str">
        <f ca="1">IFERROR(__xludf.DUMMYFUNCTION("""COMPUTED_VALUE"""),"Não")</f>
        <v>Não</v>
      </c>
      <c r="W142" s="3" t="str">
        <f ca="1">IFERROR(__xludf.DUMMYFUNCTION("""COMPUTED_VALUE"""),"E-26/007/1345/2017")</f>
        <v>E-26/007/1345/2017</v>
      </c>
      <c r="X142" s="3" t="str">
        <f ca="1">IFERROR(__xludf.DUMMYFUNCTION("""COMPUTED_VALUE"""),"4-  Concluso p/ RF")</f>
        <v>4-  Concluso p/ RF</v>
      </c>
    </row>
    <row r="143" spans="1:24" x14ac:dyDescent="0.2">
      <c r="A143" s="3" t="str">
        <f ca="1">IFERROR(__xludf.DUMMYFUNCTION("""COMPUTED_VALUE"""),"386/2023")</f>
        <v>386/2023</v>
      </c>
      <c r="B143" s="3" t="str">
        <f ca="1">IFERROR(__xludf.DUMMYFUNCTION("""COMPUTED_VALUE"""),"SEI-260007/012504/2023")</f>
        <v>SEI-260007/012504/2023</v>
      </c>
      <c r="C143" s="3" t="str">
        <f ca="1">IFERROR(__xludf.DUMMYFUNCTION("""COMPUTED_VALUE"""),"Simone Grandini de Souza,382796")</f>
        <v>Simone Grandini de Souza,382796</v>
      </c>
      <c r="D143" s="3" t="str">
        <f ca="1">IFERROR(__xludf.DUMMYFUNCTION("""COMPUTED_VALUE"""),"Desvio de conduta")</f>
        <v>Desvio de conduta</v>
      </c>
      <c r="E143" s="3" t="str">
        <f ca="1">IFERROR(__xludf.DUMMYFUNCTION("""COMPUTED_VALUE"""),"Desvio de conduta")</f>
        <v>Desvio de conduta</v>
      </c>
      <c r="F143" s="3" t="str">
        <f ca="1">IFERROR(__xludf.DUMMYFUNCTION("""COMPUTED_VALUE"""),"Abandono de cargo/ Inassiduidade habitual.")</f>
        <v>Abandono de cargo/ Inassiduidade habitual.</v>
      </c>
      <c r="G143" s="3" t="str">
        <f ca="1">IFERROR(__xludf.DUMMYFUNCTION("""COMPUTED_VALUE"""),"Abandono de cargo/ Inassiduidade habitual")</f>
        <v>Abandono de cargo/ Inassiduidade habitual</v>
      </c>
      <c r="H143" s="3" t="str">
        <f ca="1">IFERROR(__xludf.DUMMYFUNCTION("""COMPUTED_VALUE"""),"Apuração de faltas de servidora ocupante de cargo de Técnico Universitário superior/Bibliotecário, lotada na Rede Sirius CEH-D, desde 01/12 a 17/12/2021, 03/01 a 10/01/2022 e de 01/02/2022 a 28/02/2022.")</f>
        <v>Apuração de faltas de servidora ocupante de cargo de Técnico Universitário superior/Bibliotecário, lotada na Rede Sirius CEH-D, desde 01/12 a 17/12/2021, 03/01 a 10/01/2022 e de 01/02/2022 a 28/02/2022.</v>
      </c>
      <c r="I143" s="3"/>
      <c r="J143" s="5">
        <f ca="1">IFERROR(__xludf.DUMMYFUNCTION("""COMPUTED_VALUE"""),44965)</f>
        <v>44965</v>
      </c>
      <c r="K143" s="5">
        <f ca="1">IFERROR(__xludf.DUMMYFUNCTION("""COMPUTED_VALUE"""),44984)</f>
        <v>44984</v>
      </c>
      <c r="L143" s="5">
        <f ca="1">IFERROR(__xludf.DUMMYFUNCTION("""COMPUTED_VALUE"""),45164)</f>
        <v>45164</v>
      </c>
      <c r="M143" s="5">
        <f ca="1">IFERROR(__xludf.DUMMYFUNCTION("""COMPUTED_VALUE"""),45165)</f>
        <v>45165</v>
      </c>
      <c r="N143" s="3" t="str">
        <f ca="1">IFERROR(__xludf.DUMMYFUNCTION("""COMPUTED_VALUE"""),"Prazo expirado")</f>
        <v>Prazo expirado</v>
      </c>
      <c r="O143" s="5">
        <f ca="1">IFERROR(__xludf.DUMMYFUNCTION("""COMPUTED_VALUE"""),45896)</f>
        <v>45896</v>
      </c>
      <c r="P143" s="3">
        <f ca="1">IFERROR(__xludf.DUMMYFUNCTION("""COMPUTED_VALUE"""),709)</f>
        <v>709</v>
      </c>
      <c r="Q143" s="5">
        <f ca="1">IFERROR(__xludf.DUMMYFUNCTION("""COMPUTED_VALUE"""),46992)</f>
        <v>46992</v>
      </c>
      <c r="R143" s="3" t="str">
        <f ca="1">IFERROR(__xludf.DUMMYFUNCTION("""COMPUTED_VALUE"""),"Thaís Muci")</f>
        <v>Thaís Muci</v>
      </c>
      <c r="S143" s="3" t="str">
        <f ca="1">IFERROR(__xludf.DUMMYFUNCTION("""COMPUTED_VALUE"""),"Micheline")</f>
        <v>Micheline</v>
      </c>
      <c r="T143" s="3" t="str">
        <f ca="1">IFERROR(__xludf.DUMMYFUNCTION("""COMPUTED_VALUE"""),"Karolynne Rocha")</f>
        <v>Karolynne Rocha</v>
      </c>
      <c r="U143" s="3" t="str">
        <f ca="1">IFERROR(__xludf.DUMMYFUNCTION("""COMPUTED_VALUE"""),"Leonardo Rocha")</f>
        <v>Leonardo Rocha</v>
      </c>
      <c r="V143" s="3"/>
      <c r="W143" s="3" t="str">
        <f ca="1">IFERROR(__xludf.DUMMYFUNCTION("""COMPUTED_VALUE"""),"SEI-260007/004963/2022")</f>
        <v>SEI-260007/004963/2022</v>
      </c>
      <c r="X143" s="3" t="str">
        <f ca="1">IFERROR(__xludf.DUMMYFUNCTION("""COMPUTED_VALUE"""),"3-  Concluso p/ Indiciação")</f>
        <v>3-  Concluso p/ Indiciação</v>
      </c>
    </row>
    <row r="144" spans="1:24" x14ac:dyDescent="0.2">
      <c r="A144" s="3" t="str">
        <f ca="1">IFERROR(__xludf.DUMMYFUNCTION("""COMPUTED_VALUE"""),"391/2023")</f>
        <v>391/2023</v>
      </c>
      <c r="B144" s="3" t="str">
        <f ca="1">IFERROR(__xludf.DUMMYFUNCTION("""COMPUTED_VALUE"""),"SEI-260007/015538/2023")</f>
        <v>SEI-260007/015538/2023</v>
      </c>
      <c r="C144" s="3" t="str">
        <f ca="1">IFERROR(__xludf.DUMMYFUNCTION("""COMPUTED_VALUE"""),"DANIELLE BASTOS LOPES, 385039 
")</f>
        <v xml:space="preserve">DANIELLE BASTOS LOPES, 385039 
</v>
      </c>
      <c r="D144" s="3" t="str">
        <f ca="1">IFERROR(__xludf.DUMMYFUNCTION("""COMPUTED_VALUE"""),"Desvio de conduta")</f>
        <v>Desvio de conduta</v>
      </c>
      <c r="E144" s="3" t="str">
        <f ca="1">IFERROR(__xludf.DUMMYFUNCTION("""COMPUTED_VALUE"""),"Desvio de conduta")</f>
        <v>Desvio de conduta</v>
      </c>
      <c r="F144" s="3" t="str">
        <f ca="1">IFERROR(__xludf.DUMMYFUNCTION("""COMPUTED_VALUE"""),"Outros.")</f>
        <v>Outros.</v>
      </c>
      <c r="G144" s="3" t="str">
        <f ca="1">IFERROR(__xludf.DUMMYFUNCTION("""COMPUTED_VALUE"""),"Outros")</f>
        <v>Outros</v>
      </c>
      <c r="H144" s="3" t="str">
        <f ca="1">IFERROR(__xludf.DUMMYFUNCTION("""COMPUTED_VALUE"""),"Conduta ameaçadora/constrangedora para com seus pares (assédio moral horizontal e vertical, além do descumprimento de obrigações como docente )")</f>
        <v>Conduta ameaçadora/constrangedora para com seus pares (assédio moral horizontal e vertical, além do descumprimento de obrigações como docente )</v>
      </c>
      <c r="I144" s="3" t="str">
        <f ca="1">IFERROR(__xludf.DUMMYFUNCTION("""COMPUTED_VALUE"""),"DOERJ de 20/06/2024
RATIFICO o despacho (46270747) do ex-Reitor determinando a  (...) a suspensão cautelar da servidora, nos termos do art. 43 da Lei nº 5.427/2009, com a manutenção de seus vencimentos e todos os demais direitos
-------------------------
"&amp;"DOERJ 04/04 
PROCESSO Nº SEI-260007/022603/2022 - ACOLHO a recomenda ção daCGUERJ consubstanciada na informação da CINQA.DETERMINO a manutenção da medida cautelar de suspensão preventiva, até a conclusão do PAD, da servidora Danielle Bastos Lopes, matr.
 "&amp;"nº 38503-9.")</f>
        <v>DOERJ de 20/06/2024
RATIFICO o despacho (46270747) do ex-Reitor determinando a  (...) a suspensão cautelar da servidora, nos termos do art. 43 da Lei nº 5.427/2009, com a manutenção de seus vencimentos e todos os demais direitos
-------------------------
DOERJ 04/04 
PROCESSO Nº SEI-260007/022603/2022 - ACOLHO a recomenda ção daCGUERJ consubstanciada na informação da CINQA.DETERMINO a manutenção da medida cautelar de suspensão preventiva, até a conclusão do PAD, da servidora Danielle Bastos Lopes, matr.
 nº 38503-9.</v>
      </c>
      <c r="J144" s="5">
        <f ca="1">IFERROR(__xludf.DUMMYFUNCTION("""COMPUTED_VALUE"""),44957)</f>
        <v>44957</v>
      </c>
      <c r="K144" s="5">
        <f ca="1">IFERROR(__xludf.DUMMYFUNCTION("""COMPUTED_VALUE"""),44995)</f>
        <v>44995</v>
      </c>
      <c r="L144" s="5">
        <f ca="1">IFERROR(__xludf.DUMMYFUNCTION("""COMPUTED_VALUE"""),45175)</f>
        <v>45175</v>
      </c>
      <c r="M144" s="5">
        <f ca="1">IFERROR(__xludf.DUMMYFUNCTION("""COMPUTED_VALUE"""),45176)</f>
        <v>45176</v>
      </c>
      <c r="N144" s="3" t="str">
        <f ca="1">IFERROR(__xludf.DUMMYFUNCTION("""COMPUTED_VALUE"""),"Prazo expirado")</f>
        <v>Prazo expirado</v>
      </c>
      <c r="O144" s="5">
        <f ca="1">IFERROR(__xludf.DUMMYFUNCTION("""COMPUTED_VALUE"""),45907)</f>
        <v>45907</v>
      </c>
      <c r="P144" s="3">
        <f ca="1">IFERROR(__xludf.DUMMYFUNCTION("""COMPUTED_VALUE"""),720)</f>
        <v>720</v>
      </c>
      <c r="Q144" s="5">
        <f ca="1">IFERROR(__xludf.DUMMYFUNCTION("""COMPUTED_VALUE"""),47003)</f>
        <v>47003</v>
      </c>
      <c r="R144" s="3" t="str">
        <f ca="1">IFERROR(__xludf.DUMMYFUNCTION("""COMPUTED_VALUE"""),"Thaís Muci")</f>
        <v>Thaís Muci</v>
      </c>
      <c r="S144" s="3" t="str">
        <f ca="1">IFERROR(__xludf.DUMMYFUNCTION("""COMPUTED_VALUE"""),"Franciane")</f>
        <v>Franciane</v>
      </c>
      <c r="T144" s="3" t="str">
        <f ca="1">IFERROR(__xludf.DUMMYFUNCTION("""COMPUTED_VALUE"""),"Karolynne Rocha")</f>
        <v>Karolynne Rocha</v>
      </c>
      <c r="U144" s="3" t="str">
        <f ca="1">IFERROR(__xludf.DUMMYFUNCTION("""COMPUTED_VALUE"""),"Patrícia Glioche")</f>
        <v>Patrícia Glioche</v>
      </c>
      <c r="V144" s="3" t="str">
        <f ca="1">IFERROR(__xludf.DUMMYFUNCTION("""COMPUTED_VALUE"""),"Não")</f>
        <v>Não</v>
      </c>
      <c r="W144" s="3" t="str">
        <f ca="1">IFERROR(__xludf.DUMMYFUNCTION("""COMPUTED_VALUE"""),"SEI-260007/022603/2022")</f>
        <v>SEI-260007/022603/2022</v>
      </c>
      <c r="X144" s="3" t="str">
        <f ca="1">IFERROR(__xludf.DUMMYFUNCTION("""COMPUTED_VALUE"""),"3.1- Indiciação/citação enviados")</f>
        <v>3.1- Indiciação/citação enviados</v>
      </c>
    </row>
    <row r="145" spans="1:24" x14ac:dyDescent="0.2">
      <c r="A145" s="3" t="str">
        <f ca="1">IFERROR(__xludf.DUMMYFUNCTION("""COMPUTED_VALUE"""),"392/2023")</f>
        <v>392/2023</v>
      </c>
      <c r="B145" s="3" t="str">
        <f ca="1">IFERROR(__xludf.DUMMYFUNCTION("""COMPUTED_VALUE"""),"SEI-260007/016084/2023")</f>
        <v>SEI-260007/016084/2023</v>
      </c>
      <c r="C145" s="3" t="str">
        <f ca="1">IFERROR(__xludf.DUMMYFUNCTION("""COMPUTED_VALUE"""),"Renata Schnoor Hartfelder, 375600")</f>
        <v>Renata Schnoor Hartfelder, 375600</v>
      </c>
      <c r="D145" s="3" t="str">
        <f ca="1">IFERROR(__xludf.DUMMYFUNCTION("""COMPUTED_VALUE"""),"Conflito de interesses")</f>
        <v>Conflito de interesses</v>
      </c>
      <c r="E145" s="3" t="str">
        <f ca="1">IFERROR(__xludf.DUMMYFUNCTION("""COMPUTED_VALUE"""),"Conflito de interesses")</f>
        <v>Conflito de interesses</v>
      </c>
      <c r="F145" s="3" t="str">
        <f ca="1">IFERROR(__xludf.DUMMYFUNCTION("""COMPUTED_VALUE"""),"Outros.")</f>
        <v>Outros.</v>
      </c>
      <c r="G145" s="3" t="str">
        <f ca="1">IFERROR(__xludf.DUMMYFUNCTION("""COMPUTED_VALUE"""),"Outros")</f>
        <v>Outros</v>
      </c>
      <c r="H145" s="3" t="str">
        <f ca="1">IFERROR(__xludf.DUMMYFUNCTION("""COMPUTED_VALUE"""),"Omissão no dever de comunicar impedimento em comissão de sindicância")</f>
        <v>Omissão no dever de comunicar impedimento em comissão de sindicância</v>
      </c>
      <c r="I145" s="3"/>
      <c r="J145" s="5">
        <f ca="1">IFERROR(__xludf.DUMMYFUNCTION("""COMPUTED_VALUE"""),45020)</f>
        <v>45020</v>
      </c>
      <c r="K145" s="5">
        <f ca="1">IFERROR(__xludf.DUMMYFUNCTION("""COMPUTED_VALUE"""),45027)</f>
        <v>45027</v>
      </c>
      <c r="L145" s="5">
        <f ca="1">IFERROR(__xludf.DUMMYFUNCTION("""COMPUTED_VALUE"""),45207)</f>
        <v>45207</v>
      </c>
      <c r="M145" s="5">
        <f ca="1">IFERROR(__xludf.DUMMYFUNCTION("""COMPUTED_VALUE"""),45208)</f>
        <v>45208</v>
      </c>
      <c r="N145" s="3" t="str">
        <f ca="1">IFERROR(__xludf.DUMMYFUNCTION("""COMPUTED_VALUE"""),"Prazo expirado")</f>
        <v>Prazo expirado</v>
      </c>
      <c r="O145" s="5">
        <f ca="1">IFERROR(__xludf.DUMMYFUNCTION("""COMPUTED_VALUE"""),45939)</f>
        <v>45939</v>
      </c>
      <c r="P145" s="3">
        <f ca="1">IFERROR(__xludf.DUMMYFUNCTION("""COMPUTED_VALUE"""),752)</f>
        <v>752</v>
      </c>
      <c r="Q145" s="5">
        <f ca="1">IFERROR(__xludf.DUMMYFUNCTION("""COMPUTED_VALUE"""),47035)</f>
        <v>47035</v>
      </c>
      <c r="R145" s="3" t="str">
        <f ca="1">IFERROR(__xludf.DUMMYFUNCTION("""COMPUTED_VALUE"""),"Marcelo Bento")</f>
        <v>Marcelo Bento</v>
      </c>
      <c r="S145" s="3" t="str">
        <f ca="1">IFERROR(__xludf.DUMMYFUNCTION("""COMPUTED_VALUE"""),"Patrícia")</f>
        <v>Patrícia</v>
      </c>
      <c r="T145" s="3" t="str">
        <f ca="1">IFERROR(__xludf.DUMMYFUNCTION("""COMPUTED_VALUE"""),"Jeanny Passigatte")</f>
        <v>Jeanny Passigatte</v>
      </c>
      <c r="U145" s="3" t="str">
        <f ca="1">IFERROR(__xludf.DUMMYFUNCTION("""COMPUTED_VALUE"""),"Débora Ribeiro")</f>
        <v>Débora Ribeiro</v>
      </c>
      <c r="V145" s="3" t="str">
        <f ca="1">IFERROR(__xludf.DUMMYFUNCTION("""COMPUTED_VALUE"""),"Não")</f>
        <v>Não</v>
      </c>
      <c r="W145" s="3" t="str">
        <f ca="1">IFERROR(__xludf.DUMMYFUNCTION("""COMPUTED_VALUE"""),"SEI-260007/042714/2022")</f>
        <v>SEI-260007/042714/2022</v>
      </c>
      <c r="X145" s="3" t="str">
        <f ca="1">IFERROR(__xludf.DUMMYFUNCTION("""COMPUTED_VALUE"""),"3.5-  Concluso sem especificação")</f>
        <v>3.5-  Concluso sem especificação</v>
      </c>
    </row>
    <row r="146" spans="1:24" x14ac:dyDescent="0.2">
      <c r="A146" s="3" t="str">
        <f ca="1">IFERROR(__xludf.DUMMYFUNCTION("""COMPUTED_VALUE"""),"397/2023")</f>
        <v>397/2023</v>
      </c>
      <c r="B146" s="3" t="str">
        <f ca="1">IFERROR(__xludf.DUMMYFUNCTION("""COMPUTED_VALUE"""),"SEI-260007/017515/2023")</f>
        <v>SEI-260007/017515/2023</v>
      </c>
      <c r="C146" s="3" t="str">
        <f ca="1">IFERROR(__xludf.DUMMYFUNCTION("""COMPUTED_VALUE"""),"FÁBIO ANTUNES DE OLIVEIRA GAMA, matrícula no 40.534-0")</f>
        <v>FÁBIO ANTUNES DE OLIVEIRA GAMA, matrícula no 40.534-0</v>
      </c>
      <c r="D146" s="3" t="str">
        <f ca="1">IFERROR(__xludf.DUMMYFUNCTION("""COMPUTED_VALUE"""),"Desvio de conduta")</f>
        <v>Desvio de conduta</v>
      </c>
      <c r="E146" s="3" t="str">
        <f ca="1">IFERROR(__xludf.DUMMYFUNCTION("""COMPUTED_VALUE"""),"Desvio de conduta")</f>
        <v>Desvio de conduta</v>
      </c>
      <c r="F146" s="3" t="str">
        <f ca="1">IFERROR(__xludf.DUMMYFUNCTION("""COMPUTED_VALUE"""),"Abandono de cargo/ Inassiduidade habitual.")</f>
        <v>Abandono de cargo/ Inassiduidade habitual.</v>
      </c>
      <c r="G146" s="3" t="str">
        <f ca="1">IFERROR(__xludf.DUMMYFUNCTION("""COMPUTED_VALUE"""),"Abandono de cargo/ Inassiduidade habitual")</f>
        <v>Abandono de cargo/ Inassiduidade habitual</v>
      </c>
      <c r="H146" s="3" t="str">
        <f ca="1">IFERROR(__xludf.DUMMYFUNCTION("""COMPUTED_VALUE"""),"Faltas injustificadas nos seguintes períodos: 14/07/2022 a 17/07/2022,  27/07/2022 a 28/08/2022, 06/09/2022 a 07/09/2022, 09/09/2022 a 11/09/2022 e 14/09/2022 a 30/09/2022")</f>
        <v>Faltas injustificadas nos seguintes períodos: 14/07/2022 a 17/07/2022,  27/07/2022 a 28/08/2022, 06/09/2022 a 07/09/2022, 09/09/2022 a 11/09/2022 e 14/09/2022 a 30/09/2022</v>
      </c>
      <c r="I146" s="3"/>
      <c r="J146" s="5">
        <f ca="1">IFERROR(__xludf.DUMMYFUNCTION("""COMPUTED_VALUE"""),45021)</f>
        <v>45021</v>
      </c>
      <c r="K146" s="5">
        <f ca="1">IFERROR(__xludf.DUMMYFUNCTION("""COMPUTED_VALUE"""),45027)</f>
        <v>45027</v>
      </c>
      <c r="L146" s="5">
        <f ca="1">IFERROR(__xludf.DUMMYFUNCTION("""COMPUTED_VALUE"""),45207)</f>
        <v>45207</v>
      </c>
      <c r="M146" s="5">
        <f ca="1">IFERROR(__xludf.DUMMYFUNCTION("""COMPUTED_VALUE"""),45208)</f>
        <v>45208</v>
      </c>
      <c r="N146" s="3" t="str">
        <f ca="1">IFERROR(__xludf.DUMMYFUNCTION("""COMPUTED_VALUE"""),"Prazo expirado")</f>
        <v>Prazo expirado</v>
      </c>
      <c r="O146" s="5">
        <f ca="1">IFERROR(__xludf.DUMMYFUNCTION("""COMPUTED_VALUE"""),45939)</f>
        <v>45939</v>
      </c>
      <c r="P146" s="3">
        <f ca="1">IFERROR(__xludf.DUMMYFUNCTION("""COMPUTED_VALUE"""),752)</f>
        <v>752</v>
      </c>
      <c r="Q146" s="5">
        <f ca="1">IFERROR(__xludf.DUMMYFUNCTION("""COMPUTED_VALUE"""),47035)</f>
        <v>47035</v>
      </c>
      <c r="R146" s="3" t="str">
        <f ca="1">IFERROR(__xludf.DUMMYFUNCTION("""COMPUTED_VALUE"""),"Thaís Muci")</f>
        <v>Thaís Muci</v>
      </c>
      <c r="S146" s="3" t="str">
        <f ca="1">IFERROR(__xludf.DUMMYFUNCTION("""COMPUTED_VALUE"""),"Patrícia")</f>
        <v>Patrícia</v>
      </c>
      <c r="T146" s="3" t="str">
        <f ca="1">IFERROR(__xludf.DUMMYFUNCTION("""COMPUTED_VALUE"""),"Karolynne Rocha")</f>
        <v>Karolynne Rocha</v>
      </c>
      <c r="U146" s="3" t="str">
        <f ca="1">IFERROR(__xludf.DUMMYFUNCTION("""COMPUTED_VALUE"""),"Vanessa Queiroz")</f>
        <v>Vanessa Queiroz</v>
      </c>
      <c r="V146" s="3" t="str">
        <f ca="1">IFERROR(__xludf.DUMMYFUNCTION("""COMPUTED_VALUE"""),"Não")</f>
        <v>Não</v>
      </c>
      <c r="W146" s="3" t="str">
        <f ca="1">IFERROR(__xludf.DUMMYFUNCTION("""COMPUTED_VALUE"""),"SEI-260007/043147/2022")</f>
        <v>SEI-260007/043147/2022</v>
      </c>
      <c r="X146" s="3" t="str">
        <f ca="1">IFERROR(__xludf.DUMMYFUNCTION("""COMPUTED_VALUE"""),"3-  Concluso p/ Indiciação")</f>
        <v>3-  Concluso p/ Indiciação</v>
      </c>
    </row>
    <row r="147" spans="1:24" x14ac:dyDescent="0.2">
      <c r="A147" s="3" t="str">
        <f ca="1">IFERROR(__xludf.DUMMYFUNCTION("""COMPUTED_VALUE"""),"399/2023")</f>
        <v>399/2023</v>
      </c>
      <c r="B147" s="3" t="str">
        <f ca="1">IFERROR(__xludf.DUMMYFUNCTION("""COMPUTED_VALUE"""),"SEI-260007/025534/2023")</f>
        <v>SEI-260007/025534/2023</v>
      </c>
      <c r="C147" s="3" t="str">
        <f ca="1">IFERROR(__xludf.DUMMYFUNCTION("""COMPUTED_VALUE"""),"SORAYA BARCELLOS IZAR, 34662-7")</f>
        <v>SORAYA BARCELLOS IZAR, 34662-7</v>
      </c>
      <c r="D147" s="3" t="str">
        <f ca="1">IFERROR(__xludf.DUMMYFUNCTION("""COMPUTED_VALUE"""),"Desvio de conduta")</f>
        <v>Desvio de conduta</v>
      </c>
      <c r="E147" s="3" t="str">
        <f ca="1">IFERROR(__xludf.DUMMYFUNCTION("""COMPUTED_VALUE"""),"Desvio de conduta")</f>
        <v>Desvio de conduta</v>
      </c>
      <c r="F147" s="3" t="str">
        <f ca="1">IFERROR(__xludf.DUMMYFUNCTION("""COMPUTED_VALUE"""),"Acumulação de cargos.")</f>
        <v>Acumulação de cargos.</v>
      </c>
      <c r="G147" s="3" t="str">
        <f ca="1">IFERROR(__xludf.DUMMYFUNCTION("""COMPUTED_VALUE"""),"Acumulação de cargos")</f>
        <v>Acumulação de cargos</v>
      </c>
      <c r="H147" s="3" t="str">
        <f ca="1">IFERROR(__xludf.DUMMYFUNCTION("""COMPUTED_VALUE"""),"Atividade desempenhada no Grupo de Pesquisa LEDEN, concomitante com a exercida no CAP-UERJ, haja vista a incompatibilidade de horários, bem como da tríplice acumulação de cargos no período de 18/02/2008 a 01/08/2013, referente aos cargos de docente junto "&amp;"ao CAp-UERJ, ao Colégio Pedro II e à FAETEC (matrícula n° 0223696-6).")</f>
        <v>Atividade desempenhada no Grupo de Pesquisa LEDEN, concomitante com a exercida no CAP-UERJ, haja vista a incompatibilidade de horários, bem como da tríplice acumulação de cargos no período de 18/02/2008 a 01/08/2013, referente aos cargos de docente junto ao CAp-UERJ, ao Colégio Pedro II e à FAETEC (matrícula n° 0223696-6).</v>
      </c>
      <c r="I147" s="3"/>
      <c r="J147" s="5">
        <f ca="1">IFERROR(__xludf.DUMMYFUNCTION("""COMPUTED_VALUE"""),45062)</f>
        <v>45062</v>
      </c>
      <c r="K147" s="5">
        <f ca="1">IFERROR(__xludf.DUMMYFUNCTION("""COMPUTED_VALUE"""),45064)</f>
        <v>45064</v>
      </c>
      <c r="L147" s="5">
        <f ca="1">IFERROR(__xludf.DUMMYFUNCTION("""COMPUTED_VALUE"""),45244)</f>
        <v>45244</v>
      </c>
      <c r="M147" s="5">
        <f ca="1">IFERROR(__xludf.DUMMYFUNCTION("""COMPUTED_VALUE"""),45245)</f>
        <v>45245</v>
      </c>
      <c r="N147" s="3" t="str">
        <f ca="1">IFERROR(__xludf.DUMMYFUNCTION("""COMPUTED_VALUE"""),"Prazo expirado")</f>
        <v>Prazo expirado</v>
      </c>
      <c r="O147" s="5">
        <f ca="1">IFERROR(__xludf.DUMMYFUNCTION("""COMPUTED_VALUE"""),45976)</f>
        <v>45976</v>
      </c>
      <c r="P147" s="3">
        <f ca="1">IFERROR(__xludf.DUMMYFUNCTION("""COMPUTED_VALUE"""),789)</f>
        <v>789</v>
      </c>
      <c r="Q147" s="5">
        <f ca="1">IFERROR(__xludf.DUMMYFUNCTION("""COMPUTED_VALUE"""),47072)</f>
        <v>47072</v>
      </c>
      <c r="R147" s="3" t="str">
        <f ca="1">IFERROR(__xludf.DUMMYFUNCTION("""COMPUTED_VALUE"""),"Thaís Muci")</f>
        <v>Thaís Muci</v>
      </c>
      <c r="S147" s="3" t="str">
        <f ca="1">IFERROR(__xludf.DUMMYFUNCTION("""COMPUTED_VALUE"""),"Débora")</f>
        <v>Débora</v>
      </c>
      <c r="T147" s="3" t="str">
        <f ca="1">IFERROR(__xludf.DUMMYFUNCTION("""COMPUTED_VALUE"""),"Felipe Perdigão")</f>
        <v>Felipe Perdigão</v>
      </c>
      <c r="U147" s="3" t="str">
        <f ca="1">IFERROR(__xludf.DUMMYFUNCTION("""COMPUTED_VALUE"""),"Patrícia Glioche")</f>
        <v>Patrícia Glioche</v>
      </c>
      <c r="V147" s="3" t="str">
        <f ca="1">IFERROR(__xludf.DUMMYFUNCTION("""COMPUTED_VALUE"""),"Não")</f>
        <v>Não</v>
      </c>
      <c r="W147" s="3" t="str">
        <f ca="1">IFERROR(__xludf.DUMMYFUNCTION("""COMPUTED_VALUE"""),"UERJ 2917/2006")</f>
        <v>UERJ 2917/2006</v>
      </c>
      <c r="X147" s="3" t="str">
        <f ca="1">IFERROR(__xludf.DUMMYFUNCTION("""COMPUTED_VALUE"""),"4-  Concluso p/ RF")</f>
        <v>4-  Concluso p/ RF</v>
      </c>
    </row>
    <row r="148" spans="1:24" x14ac:dyDescent="0.2">
      <c r="A148" s="3" t="str">
        <f ca="1">IFERROR(__xludf.DUMMYFUNCTION("""COMPUTED_VALUE"""),"400/2023")</f>
        <v>400/2023</v>
      </c>
      <c r="B148" s="3" t="str">
        <f ca="1">IFERROR(__xludf.DUMMYFUNCTION("""COMPUTED_VALUE"""),"SEI-260007/025613/2023")</f>
        <v>SEI-260007/025613/2023</v>
      </c>
      <c r="C148" s="3" t="str">
        <f ca="1">IFERROR(__xludf.DUMMYFUNCTION("""COMPUTED_VALUE"""),"FRANCISCO RENATO VIEIRA DA COSTA FERREIRA, mat 35616-2")</f>
        <v>FRANCISCO RENATO VIEIRA DA COSTA FERREIRA, mat 35616-2</v>
      </c>
      <c r="D148" s="3" t="str">
        <f ca="1">IFERROR(__xludf.DUMMYFUNCTION("""COMPUTED_VALUE"""),"Desvio de conduta")</f>
        <v>Desvio de conduta</v>
      </c>
      <c r="E148" s="3" t="str">
        <f ca="1">IFERROR(__xludf.DUMMYFUNCTION("""COMPUTED_VALUE"""),"Desvio de conduta")</f>
        <v>Desvio de conduta</v>
      </c>
      <c r="F148" s="3" t="str">
        <f ca="1">IFERROR(__xludf.DUMMYFUNCTION("""COMPUTED_VALUE"""),"Abandono de cargo/ Inassiduidade habitual.")</f>
        <v>Abandono de cargo/ Inassiduidade habitual.</v>
      </c>
      <c r="G148" s="3" t="str">
        <f ca="1">IFERROR(__xludf.DUMMYFUNCTION("""COMPUTED_VALUE"""),"Abandono de cargo/ Inassiduidade habitual")</f>
        <v>Abandono de cargo/ Inassiduidade habitual</v>
      </c>
      <c r="H148" s="3" t="str">
        <f ca="1">IFERROR(__xludf.DUMMYFUNCTION("""COMPUTED_VALUE"""),"Faltas injustificadas de servidor ocupante do cargo de Técnico Universitário II/ Assistente Administrativo,
lotado(a) no(a) CEED no período de 01/12/2021 a 31/12/2021")</f>
        <v>Faltas injustificadas de servidor ocupante do cargo de Técnico Universitário II/ Assistente Administrativo,
lotado(a) no(a) CEED no período de 01/12/2021 a 31/12/2021</v>
      </c>
      <c r="I148" s="3"/>
      <c r="J148" s="5">
        <f ca="1">IFERROR(__xludf.DUMMYFUNCTION("""COMPUTED_VALUE"""),45058)</f>
        <v>45058</v>
      </c>
      <c r="K148" s="5">
        <f ca="1">IFERROR(__xludf.DUMMYFUNCTION("""COMPUTED_VALUE"""),45063)</f>
        <v>45063</v>
      </c>
      <c r="L148" s="5">
        <f ca="1">IFERROR(__xludf.DUMMYFUNCTION("""COMPUTED_VALUE"""),45243)</f>
        <v>45243</v>
      </c>
      <c r="M148" s="5">
        <f ca="1">IFERROR(__xludf.DUMMYFUNCTION("""COMPUTED_VALUE"""),45244)</f>
        <v>45244</v>
      </c>
      <c r="N148" s="3" t="str">
        <f ca="1">IFERROR(__xludf.DUMMYFUNCTION("""COMPUTED_VALUE"""),"Prazo expirado")</f>
        <v>Prazo expirado</v>
      </c>
      <c r="O148" s="5">
        <f ca="1">IFERROR(__xludf.DUMMYFUNCTION("""COMPUTED_VALUE"""),45975)</f>
        <v>45975</v>
      </c>
      <c r="P148" s="3">
        <f ca="1">IFERROR(__xludf.DUMMYFUNCTION("""COMPUTED_VALUE"""),788)</f>
        <v>788</v>
      </c>
      <c r="Q148" s="5">
        <f ca="1">IFERROR(__xludf.DUMMYFUNCTION("""COMPUTED_VALUE"""),47071)</f>
        <v>47071</v>
      </c>
      <c r="R148" s="3" t="str">
        <f ca="1">IFERROR(__xludf.DUMMYFUNCTION("""COMPUTED_VALUE"""),"Thaís Muci")</f>
        <v>Thaís Muci</v>
      </c>
      <c r="S148" s="3" t="str">
        <f ca="1">IFERROR(__xludf.DUMMYFUNCTION("""COMPUTED_VALUE"""),"Débora")</f>
        <v>Débora</v>
      </c>
      <c r="T148" s="3" t="str">
        <f ca="1">IFERROR(__xludf.DUMMYFUNCTION("""COMPUTED_VALUE"""),"Karolynne Rocha")</f>
        <v>Karolynne Rocha</v>
      </c>
      <c r="U148" s="3" t="str">
        <f ca="1">IFERROR(__xludf.DUMMYFUNCTION("""COMPUTED_VALUE"""),"Vanessa Queiroz")</f>
        <v>Vanessa Queiroz</v>
      </c>
      <c r="V148" s="3" t="str">
        <f ca="1">IFERROR(__xludf.DUMMYFUNCTION("""COMPUTED_VALUE"""),"Arthur Cezar Alves de Melo")</f>
        <v>Arthur Cezar Alves de Melo</v>
      </c>
      <c r="W148" s="3" t="str">
        <f ca="1">IFERROR(__xludf.DUMMYFUNCTION("""COMPUTED_VALUE"""),"SEI-260007/004946/2022")</f>
        <v>SEI-260007/004946/2022</v>
      </c>
      <c r="X148" s="3" t="str">
        <f ca="1">IFERROR(__xludf.DUMMYFUNCTION("""COMPUTED_VALUE"""),"4-  Concluso p/ RF")</f>
        <v>4-  Concluso p/ RF</v>
      </c>
    </row>
    <row r="149" spans="1:24" x14ac:dyDescent="0.2">
      <c r="A149" s="3" t="str">
        <f ca="1">IFERROR(__xludf.DUMMYFUNCTION("""COMPUTED_VALUE"""),"414/2023")</f>
        <v>414/2023</v>
      </c>
      <c r="B149" s="3" t="str">
        <f ca="1">IFERROR(__xludf.DUMMYFUNCTION("""COMPUTED_VALUE"""),"SEI-260007/037918/2023")</f>
        <v>SEI-260007/037918/2023</v>
      </c>
      <c r="C149" s="3" t="str">
        <f ca="1">IFERROR(__xludf.DUMMYFUNCTION("""COMPUTED_VALUE"""),"Francisco Antônio Reis Filho, mat. 39671-3")</f>
        <v>Francisco Antônio Reis Filho, mat. 39671-3</v>
      </c>
      <c r="D149" s="3" t="str">
        <f ca="1">IFERROR(__xludf.DUMMYFUNCTION("""COMPUTED_VALUE"""),"Desvio de conduta")</f>
        <v>Desvio de conduta</v>
      </c>
      <c r="E149" s="3" t="str">
        <f ca="1">IFERROR(__xludf.DUMMYFUNCTION("""COMPUTED_VALUE"""),"Desvio de conduta")</f>
        <v>Desvio de conduta</v>
      </c>
      <c r="F149" s="3" t="str">
        <f ca="1">IFERROR(__xludf.DUMMYFUNCTION("""COMPUTED_VALUE"""),"Abandono de cargo/ Inassiduidade habitual.")</f>
        <v>Abandono de cargo/ Inassiduidade habitual.</v>
      </c>
      <c r="G149" s="3" t="str">
        <f ca="1">IFERROR(__xludf.DUMMYFUNCTION("""COMPUTED_VALUE"""),"Abandono de cargo/ Inassiduidade habitual")</f>
        <v>Abandono de cargo/ Inassiduidade habitual</v>
      </c>
      <c r="H149" s="3" t="str">
        <f ca="1">IFERROR(__xludf.DUMMYFUNCTION("""COMPUTED_VALUE"""),"Apuração de faltas injustificadas de servidor ocupante de cargo de Docente no período de 06/09/2022 a 18/09/2022.")</f>
        <v>Apuração de faltas injustificadas de servidor ocupante de cargo de Docente no período de 06/09/2022 a 18/09/2022.</v>
      </c>
      <c r="I149" s="3"/>
      <c r="J149" s="5">
        <f ca="1">IFERROR(__xludf.DUMMYFUNCTION("""COMPUTED_VALUE"""),45127)</f>
        <v>45127</v>
      </c>
      <c r="K149" s="5">
        <f ca="1">IFERROR(__xludf.DUMMYFUNCTION("""COMPUTED_VALUE"""),45128)</f>
        <v>45128</v>
      </c>
      <c r="L149" s="5">
        <f ca="1">IFERROR(__xludf.DUMMYFUNCTION("""COMPUTED_VALUE"""),45308)</f>
        <v>45308</v>
      </c>
      <c r="M149" s="5">
        <f ca="1">IFERROR(__xludf.DUMMYFUNCTION("""COMPUTED_VALUE"""),45309)</f>
        <v>45309</v>
      </c>
      <c r="N149" s="3" t="str">
        <f ca="1">IFERROR(__xludf.DUMMYFUNCTION("""COMPUTED_VALUE"""),"Prazo expirado")</f>
        <v>Prazo expirado</v>
      </c>
      <c r="O149" s="5">
        <f ca="1">IFERROR(__xludf.DUMMYFUNCTION("""COMPUTED_VALUE"""),46040)</f>
        <v>46040</v>
      </c>
      <c r="P149" s="3">
        <f ca="1">IFERROR(__xludf.DUMMYFUNCTION("""COMPUTED_VALUE"""),853)</f>
        <v>853</v>
      </c>
      <c r="Q149" s="5">
        <f ca="1">IFERROR(__xludf.DUMMYFUNCTION("""COMPUTED_VALUE"""),47136)</f>
        <v>47136</v>
      </c>
      <c r="R149" s="3" t="str">
        <f ca="1">IFERROR(__xludf.DUMMYFUNCTION("""COMPUTED_VALUE"""),"Thaís Muci")</f>
        <v>Thaís Muci</v>
      </c>
      <c r="S149" s="3" t="str">
        <f ca="1">IFERROR(__xludf.DUMMYFUNCTION("""COMPUTED_VALUE"""),"Franciane")</f>
        <v>Franciane</v>
      </c>
      <c r="T149" s="3" t="str">
        <f ca="1">IFERROR(__xludf.DUMMYFUNCTION("""COMPUTED_VALUE"""),"Felipe Perdigão")</f>
        <v>Felipe Perdigão</v>
      </c>
      <c r="U149" s="3" t="str">
        <f ca="1">IFERROR(__xludf.DUMMYFUNCTION("""COMPUTED_VALUE"""),"Patrícia Glioche")</f>
        <v>Patrícia Glioche</v>
      </c>
      <c r="V149" s="3" t="str">
        <f ca="1">IFERROR(__xludf.DUMMYFUNCTION("""COMPUTED_VALUE"""),"Não")</f>
        <v>Não</v>
      </c>
      <c r="W149" s="3" t="str">
        <f ca="1">IFERROR(__xludf.DUMMYFUNCTION("""COMPUTED_VALUE"""),"SEI-260007/045308/2022")</f>
        <v>SEI-260007/045308/2022</v>
      </c>
      <c r="X149" s="3" t="str">
        <f ca="1">IFERROR(__xludf.DUMMYFUNCTION("""COMPUTED_VALUE"""),"4-  Concluso p/ RF")</f>
        <v>4-  Concluso p/ RF</v>
      </c>
    </row>
    <row r="150" spans="1:24" x14ac:dyDescent="0.2">
      <c r="A150" s="3" t="str">
        <f ca="1">IFERROR(__xludf.DUMMYFUNCTION("""COMPUTED_VALUE"""),"417/2023")</f>
        <v>417/2023</v>
      </c>
      <c r="B150" s="3" t="str">
        <f ca="1">IFERROR(__xludf.DUMMYFUNCTION("""COMPUTED_VALUE"""),"SEI-260007/048689/2023")</f>
        <v>SEI-260007/048689/2023</v>
      </c>
      <c r="C150" s="3" t="str">
        <f ca="1">IFERROR(__xludf.DUMMYFUNCTION("""COMPUTED_VALUE"""),"Joel Luiz de Oliveira, matr. nº 31.883-2.")</f>
        <v>Joel Luiz de Oliveira, matr. nº 31.883-2.</v>
      </c>
      <c r="D150" s="3" t="str">
        <f ca="1">IFERROR(__xludf.DUMMYFUNCTION("""COMPUTED_VALUE"""),"Desvio de conduta")</f>
        <v>Desvio de conduta</v>
      </c>
      <c r="E150" s="3" t="str">
        <f ca="1">IFERROR(__xludf.DUMMYFUNCTION("""COMPUTED_VALUE"""),"Desvio de conduta")</f>
        <v>Desvio de conduta</v>
      </c>
      <c r="F150" s="3" t="str">
        <f ca="1">IFERROR(__xludf.DUMMYFUNCTION("""COMPUTED_VALUE"""),"Abandono de cargo/ Inassiduidade habitual.")</f>
        <v>Abandono de cargo/ Inassiduidade habitual.</v>
      </c>
      <c r="G150" s="3" t="str">
        <f ca="1">IFERROR(__xludf.DUMMYFUNCTION("""COMPUTED_VALUE"""),"Abandono de cargo/ Inassiduidade habitual")</f>
        <v>Abandono de cargo/ Inassiduidade habitual</v>
      </c>
      <c r="H150" s="3" t="str">
        <f ca="1">IFERROR(__xludf.DUMMYFUNCTION("""COMPUTED_VALUE"""),"Faltas injustificadas no período de 18/06/2021 a 30/06/2021.")</f>
        <v>Faltas injustificadas no período de 18/06/2021 a 30/06/2021.</v>
      </c>
      <c r="I150" s="3"/>
      <c r="J150" s="5">
        <f ca="1">IFERROR(__xludf.DUMMYFUNCTION("""COMPUTED_VALUE"""),45128)</f>
        <v>45128</v>
      </c>
      <c r="K150" s="5">
        <f ca="1">IFERROR(__xludf.DUMMYFUNCTION("""COMPUTED_VALUE"""),45132)</f>
        <v>45132</v>
      </c>
      <c r="L150" s="5">
        <f ca="1">IFERROR(__xludf.DUMMYFUNCTION("""COMPUTED_VALUE"""),45312)</f>
        <v>45312</v>
      </c>
      <c r="M150" s="5">
        <f ca="1">IFERROR(__xludf.DUMMYFUNCTION("""COMPUTED_VALUE"""),45313)</f>
        <v>45313</v>
      </c>
      <c r="N150" s="3" t="str">
        <f ca="1">IFERROR(__xludf.DUMMYFUNCTION("""COMPUTED_VALUE"""),"Prazo expirado")</f>
        <v>Prazo expirado</v>
      </c>
      <c r="O150" s="5">
        <f ca="1">IFERROR(__xludf.DUMMYFUNCTION("""COMPUTED_VALUE"""),46044)</f>
        <v>46044</v>
      </c>
      <c r="P150" s="3">
        <f ca="1">IFERROR(__xludf.DUMMYFUNCTION("""COMPUTED_VALUE"""),857)</f>
        <v>857</v>
      </c>
      <c r="Q150" s="5">
        <f ca="1">IFERROR(__xludf.DUMMYFUNCTION("""COMPUTED_VALUE"""),47140)</f>
        <v>47140</v>
      </c>
      <c r="R150" s="3" t="str">
        <f ca="1">IFERROR(__xludf.DUMMYFUNCTION("""COMPUTED_VALUE"""),"Alessandra Abelheira")</f>
        <v>Alessandra Abelheira</v>
      </c>
      <c r="S150" s="3" t="str">
        <f ca="1">IFERROR(__xludf.DUMMYFUNCTION("""COMPUTED_VALUE"""),"Patrícia")</f>
        <v>Patrícia</v>
      </c>
      <c r="T150" s="3" t="str">
        <f ca="1">IFERROR(__xludf.DUMMYFUNCTION("""COMPUTED_VALUE"""),"Ariane Serpa")</f>
        <v>Ariane Serpa</v>
      </c>
      <c r="U150" s="3" t="str">
        <f ca="1">IFERROR(__xludf.DUMMYFUNCTION("""COMPUTED_VALUE"""),"Felipe Perdigão")</f>
        <v>Felipe Perdigão</v>
      </c>
      <c r="V150" s="3" t="str">
        <f ca="1">IFERROR(__xludf.DUMMYFUNCTION("""COMPUTED_VALUE"""),"Alan Luis Nogueira Pinto")</f>
        <v>Alan Luis Nogueira Pinto</v>
      </c>
      <c r="W150" s="3" t="str">
        <f ca="1">IFERROR(__xludf.DUMMYFUNCTION("""COMPUTED_VALUE"""),"SEI-260007/016753/2021")</f>
        <v>SEI-260007/016753/2021</v>
      </c>
      <c r="X150" s="3" t="str">
        <f ca="1">IFERROR(__xludf.DUMMYFUNCTION("""COMPUTED_VALUE"""),"2- Instrução")</f>
        <v>2- Instrução</v>
      </c>
    </row>
    <row r="151" spans="1:24" x14ac:dyDescent="0.2">
      <c r="A151" s="3" t="str">
        <f ca="1">IFERROR(__xludf.DUMMYFUNCTION("""COMPUTED_VALUE"""),"421/2023")</f>
        <v>421/2023</v>
      </c>
      <c r="B151" s="3" t="str">
        <f ca="1">IFERROR(__xludf.DUMMYFUNCTION("""COMPUTED_VALUE"""),"SEI-260007/066075/2023")</f>
        <v>SEI-260007/066075/2023</v>
      </c>
      <c r="C151" s="3" t="str">
        <f ca="1">IFERROR(__xludf.DUMMYFUNCTION("""COMPUTED_VALUE"""),"Marco Combat Nogueira, matr. nº 41.389-8.")</f>
        <v>Marco Combat Nogueira, matr. nº 41.389-8.</v>
      </c>
      <c r="D151" s="3" t="str">
        <f ca="1">IFERROR(__xludf.DUMMYFUNCTION("""COMPUTED_VALUE"""),"Desvio de conduta")</f>
        <v>Desvio de conduta</v>
      </c>
      <c r="E151" s="3" t="str">
        <f ca="1">IFERROR(__xludf.DUMMYFUNCTION("""COMPUTED_VALUE"""),"Desvio de conduta")</f>
        <v>Desvio de conduta</v>
      </c>
      <c r="F151" s="3" t="str">
        <f ca="1">IFERROR(__xludf.DUMMYFUNCTION("""COMPUTED_VALUE"""),"Abandono de cargo/ Inassiduidade habitual.")</f>
        <v>Abandono de cargo/ Inassiduidade habitual.</v>
      </c>
      <c r="G151" s="3" t="str">
        <f ca="1">IFERROR(__xludf.DUMMYFUNCTION("""COMPUTED_VALUE"""),"Abandono de cargo/ Inassiduidade habitual")</f>
        <v>Abandono de cargo/ Inassiduidade habitual</v>
      </c>
      <c r="H151" s="3" t="str">
        <f ca="1">IFERROR(__xludf.DUMMYFUNCTION("""COMPUTED_VALUE"""),"faltas injustificadas nos dias 18, 30 e 31/01/2023 e nos períodos de 03 a 05/02/2023 e 09/02 a 30/04/2023. com vistas a apurar a infração de abandono de cargo.")</f>
        <v>faltas injustificadas nos dias 18, 30 e 31/01/2023 e nos períodos de 03 a 05/02/2023 e 09/02 a 30/04/2023. com vistas a apurar a infração de abandono de cargo.</v>
      </c>
      <c r="I151" s="3"/>
      <c r="J151" s="7">
        <f ca="1">IFERROR(__xludf.DUMMYFUNCTION("""COMPUTED_VALUE"""),45271)</f>
        <v>45271</v>
      </c>
      <c r="K151" s="5">
        <f ca="1">IFERROR(__xludf.DUMMYFUNCTION("""COMPUTED_VALUE"""),45273)</f>
        <v>45273</v>
      </c>
      <c r="L151" s="5">
        <f ca="1">IFERROR(__xludf.DUMMYFUNCTION("""COMPUTED_VALUE"""),45453)</f>
        <v>45453</v>
      </c>
      <c r="M151" s="5">
        <f ca="1">IFERROR(__xludf.DUMMYFUNCTION("""COMPUTED_VALUE"""),45454)</f>
        <v>45454</v>
      </c>
      <c r="N151" s="3" t="str">
        <f ca="1">IFERROR(__xludf.DUMMYFUNCTION("""COMPUTED_VALUE"""),"Prazo expirado")</f>
        <v>Prazo expirado</v>
      </c>
      <c r="O151" s="5">
        <f ca="1">IFERROR(__xludf.DUMMYFUNCTION("""COMPUTED_VALUE"""),46184)</f>
        <v>46184</v>
      </c>
      <c r="P151" s="3">
        <f ca="1">IFERROR(__xludf.DUMMYFUNCTION("""COMPUTED_VALUE"""),997)</f>
        <v>997</v>
      </c>
      <c r="Q151" s="5">
        <f ca="1">IFERROR(__xludf.DUMMYFUNCTION("""COMPUTED_VALUE"""),47280)</f>
        <v>47280</v>
      </c>
      <c r="R151" s="3" t="str">
        <f ca="1">IFERROR(__xludf.DUMMYFUNCTION("""COMPUTED_VALUE"""),"Marcelo Bento")</f>
        <v>Marcelo Bento</v>
      </c>
      <c r="S151" s="3" t="str">
        <f ca="1">IFERROR(__xludf.DUMMYFUNCTION("""COMPUTED_VALUE"""),"Isadora")</f>
        <v>Isadora</v>
      </c>
      <c r="T151" s="3" t="str">
        <f ca="1">IFERROR(__xludf.DUMMYFUNCTION("""COMPUTED_VALUE"""),"Karolynne Rocha")</f>
        <v>Karolynne Rocha</v>
      </c>
      <c r="U151" s="3" t="str">
        <f ca="1">IFERROR(__xludf.DUMMYFUNCTION("""COMPUTED_VALUE"""),"Jeanny Passigatte")</f>
        <v>Jeanny Passigatte</v>
      </c>
      <c r="V151" s="3" t="str">
        <f ca="1">IFERROR(__xludf.DUMMYFUNCTION("""COMPUTED_VALUE"""),"Não")</f>
        <v>Não</v>
      </c>
      <c r="W151" s="3" t="str">
        <f ca="1">IFERROR(__xludf.DUMMYFUNCTION("""COMPUTED_VALUE"""),"SEI-260007/013832/2023")</f>
        <v>SEI-260007/013832/2023</v>
      </c>
      <c r="X151" s="3" t="str">
        <f ca="1">IFERROR(__xludf.DUMMYFUNCTION("""COMPUTED_VALUE"""),"3.1- Indiciação/citação enviados")</f>
        <v>3.1- Indiciação/citação enviados</v>
      </c>
    </row>
    <row r="152" spans="1:24" x14ac:dyDescent="0.2">
      <c r="A152" s="3" t="str">
        <f ca="1">IFERROR(__xludf.DUMMYFUNCTION("""COMPUTED_VALUE"""),"422/2023")</f>
        <v>422/2023</v>
      </c>
      <c r="B152" s="3" t="str">
        <f ca="1">IFERROR(__xludf.DUMMYFUNCTION("""COMPUTED_VALUE"""),"SEI-260007/066079/2023")</f>
        <v>SEI-260007/066079/2023</v>
      </c>
      <c r="C152" s="3" t="str">
        <f ca="1">IFERROR(__xludf.DUMMYFUNCTION("""COMPUTED_VALUE"""),"Joel Luiz de Oliveira, matr. nº 31.883-2.")</f>
        <v>Joel Luiz de Oliveira, matr. nº 31.883-2.</v>
      </c>
      <c r="D152" s="3" t="str">
        <f ca="1">IFERROR(__xludf.DUMMYFUNCTION("""COMPUTED_VALUE"""),"Desvio de conduta")</f>
        <v>Desvio de conduta</v>
      </c>
      <c r="E152" s="3" t="str">
        <f ca="1">IFERROR(__xludf.DUMMYFUNCTION("""COMPUTED_VALUE"""),"Desvio de conduta")</f>
        <v>Desvio de conduta</v>
      </c>
      <c r="F152" s="3" t="str">
        <f ca="1">IFERROR(__xludf.DUMMYFUNCTION("""COMPUTED_VALUE"""),"Abandono de cargo/ Inassiduidade habitual.")</f>
        <v>Abandono de cargo/ Inassiduidade habitual.</v>
      </c>
      <c r="G152" s="3" t="str">
        <f ca="1">IFERROR(__xludf.DUMMYFUNCTION("""COMPUTED_VALUE"""),"Abandono de cargo/ Inassiduidade habitual")</f>
        <v>Abandono de cargo/ Inassiduidade habitual</v>
      </c>
      <c r="H152" s="3" t="str">
        <f ca="1">IFERROR(__xludf.DUMMYFUNCTION("""COMPUTED_VALUE"""),"Faltas injustificadas nos dias 19, 26 e 31/10/2022, e nos períodos de 01/03/2023 a 12/03/2023, 14/03/2023 a 26/03/2023 e 28/03/2023 a 30/03/2023.
(anexado ao PAD SEI-260007/048689/2023)")</f>
        <v>Faltas injustificadas nos dias 19, 26 e 31/10/2022, e nos períodos de 01/03/2023 a 12/03/2023, 14/03/2023 a 26/03/2023 e 28/03/2023 a 30/03/2023.
(anexado ao PAD SEI-260007/048689/2023)</v>
      </c>
      <c r="I152" s="3"/>
      <c r="J152" s="5">
        <f ca="1">IFERROR(__xludf.DUMMYFUNCTION("""COMPUTED_VALUE"""),45269)</f>
        <v>45269</v>
      </c>
      <c r="K152" s="5">
        <f ca="1">IFERROR(__xludf.DUMMYFUNCTION("""COMPUTED_VALUE"""),45273)</f>
        <v>45273</v>
      </c>
      <c r="L152" s="5">
        <f ca="1">IFERROR(__xludf.DUMMYFUNCTION("""COMPUTED_VALUE"""),45453)</f>
        <v>45453</v>
      </c>
      <c r="M152" s="5">
        <f ca="1">IFERROR(__xludf.DUMMYFUNCTION("""COMPUTED_VALUE"""),45454)</f>
        <v>45454</v>
      </c>
      <c r="N152" s="3" t="str">
        <f ca="1">IFERROR(__xludf.DUMMYFUNCTION("""COMPUTED_VALUE"""),"Prazo expirado")</f>
        <v>Prazo expirado</v>
      </c>
      <c r="O152" s="5">
        <f ca="1">IFERROR(__xludf.DUMMYFUNCTION("""COMPUTED_VALUE"""),46184)</f>
        <v>46184</v>
      </c>
      <c r="P152" s="3">
        <f ca="1">IFERROR(__xludf.DUMMYFUNCTION("""COMPUTED_VALUE"""),997)</f>
        <v>997</v>
      </c>
      <c r="Q152" s="5">
        <f ca="1">IFERROR(__xludf.DUMMYFUNCTION("""COMPUTED_VALUE"""),47280)</f>
        <v>47280</v>
      </c>
      <c r="R152" s="3" t="str">
        <f ca="1">IFERROR(__xludf.DUMMYFUNCTION("""COMPUTED_VALUE"""),"Alessandra Abelheira")</f>
        <v>Alessandra Abelheira</v>
      </c>
      <c r="S152" s="3"/>
      <c r="T152" s="3" t="str">
        <f ca="1">IFERROR(__xludf.DUMMYFUNCTION("""COMPUTED_VALUE"""),"Ariane Serpa")</f>
        <v>Ariane Serpa</v>
      </c>
      <c r="U152" s="3" t="str">
        <f ca="1">IFERROR(__xludf.DUMMYFUNCTION("""COMPUTED_VALUE"""),"Teresa Jardin")</f>
        <v>Teresa Jardin</v>
      </c>
      <c r="V152" s="3"/>
      <c r="W152" s="3" t="str">
        <f ca="1">IFERROR(__xludf.DUMMYFUNCTION("""COMPUTED_VALUE"""),"SEI-260007/019965/2023")</f>
        <v>SEI-260007/019965/2023</v>
      </c>
      <c r="X152" s="3" t="str">
        <f ca="1">IFERROR(__xludf.DUMMYFUNCTION("""COMPUTED_VALUE"""),"Apensado em outro PAD")</f>
        <v>Apensado em outro PAD</v>
      </c>
    </row>
    <row r="153" spans="1:24" x14ac:dyDescent="0.2">
      <c r="A153" s="3" t="str">
        <f ca="1">IFERROR(__xludf.DUMMYFUNCTION("""COMPUTED_VALUE"""),"423/2024")</f>
        <v>423/2024</v>
      </c>
      <c r="B153" s="3" t="str">
        <f ca="1">IFERROR(__xludf.DUMMYFUNCTION("""COMPUTED_VALUE"""),"SEI-260007/000394/2024")</f>
        <v>SEI-260007/000394/2024</v>
      </c>
      <c r="C153" s="3" t="str">
        <f ca="1">IFERROR(__xludf.DUMMYFUNCTION("""COMPUTED_VALUE"""),"Vinicius de Lemos Silva, matr. nº 34.569-4.")</f>
        <v>Vinicius de Lemos Silva, matr. nº 34.569-4.</v>
      </c>
      <c r="D153" s="3" t="str">
        <f ca="1">IFERROR(__xludf.DUMMYFUNCTION("""COMPUTED_VALUE"""),"Desvio de conduta")</f>
        <v>Desvio de conduta</v>
      </c>
      <c r="E153" s="3" t="str">
        <f ca="1">IFERROR(__xludf.DUMMYFUNCTION("""COMPUTED_VALUE"""),"Desvio de conduta")</f>
        <v>Desvio de conduta</v>
      </c>
      <c r="F153" s="3" t="str">
        <f ca="1">IFERROR(__xludf.DUMMYFUNCTION("""COMPUTED_VALUE"""),"Abandono de cargo/ Inassiduidade habitual.")</f>
        <v>Abandono de cargo/ Inassiduidade habitual.</v>
      </c>
      <c r="G153" s="3" t="str">
        <f ca="1">IFERROR(__xludf.DUMMYFUNCTION("""COMPUTED_VALUE"""),"Abandono de cargo/ Inassiduidade habitual")</f>
        <v>Abandono de cargo/ Inassiduidade habitual</v>
      </c>
      <c r="H153" s="3" t="str">
        <f ca="1">IFERROR(__xludf.DUMMYFUNCTION("""COMPUTED_VALUE"""),"Apuração de faltas injustificadas no período de 30/04 a 04/12/2019.")</f>
        <v>Apuração de faltas injustificadas no período de 30/04 a 04/12/2019.</v>
      </c>
      <c r="I153" s="3"/>
      <c r="J153" s="5">
        <f ca="1">IFERROR(__xludf.DUMMYFUNCTION("""COMPUTED_VALUE"""),45269)</f>
        <v>45269</v>
      </c>
      <c r="K153" s="5">
        <f ca="1">IFERROR(__xludf.DUMMYFUNCTION("""COMPUTED_VALUE"""),45273)</f>
        <v>45273</v>
      </c>
      <c r="L153" s="5">
        <f ca="1">IFERROR(__xludf.DUMMYFUNCTION("""COMPUTED_VALUE"""),45453)</f>
        <v>45453</v>
      </c>
      <c r="M153" s="5">
        <f ca="1">IFERROR(__xludf.DUMMYFUNCTION("""COMPUTED_VALUE"""),45454)</f>
        <v>45454</v>
      </c>
      <c r="N153" s="3" t="str">
        <f ca="1">IFERROR(__xludf.DUMMYFUNCTION("""COMPUTED_VALUE"""),"Prazo expirado")</f>
        <v>Prazo expirado</v>
      </c>
      <c r="O153" s="5">
        <f ca="1">IFERROR(__xludf.DUMMYFUNCTION("""COMPUTED_VALUE"""),46184)</f>
        <v>46184</v>
      </c>
      <c r="P153" s="3">
        <f ca="1">IFERROR(__xludf.DUMMYFUNCTION("""COMPUTED_VALUE"""),997)</f>
        <v>997</v>
      </c>
      <c r="Q153" s="5">
        <f ca="1">IFERROR(__xludf.DUMMYFUNCTION("""COMPUTED_VALUE"""),47280)</f>
        <v>47280</v>
      </c>
      <c r="R153" s="3" t="str">
        <f ca="1">IFERROR(__xludf.DUMMYFUNCTION("""COMPUTED_VALUE"""),"Marcelo Bento")</f>
        <v>Marcelo Bento</v>
      </c>
      <c r="S153" s="3" t="str">
        <f ca="1">IFERROR(__xludf.DUMMYFUNCTION("""COMPUTED_VALUE"""),"Débora")</f>
        <v>Débora</v>
      </c>
      <c r="T153" s="3" t="str">
        <f ca="1">IFERROR(__xludf.DUMMYFUNCTION("""COMPUTED_VALUE"""),"Marcelo Ferreira")</f>
        <v>Marcelo Ferreira</v>
      </c>
      <c r="U153" s="3" t="str">
        <f ca="1">IFERROR(__xludf.DUMMYFUNCTION("""COMPUTED_VALUE"""),"Patrícia Glioche")</f>
        <v>Patrícia Glioche</v>
      </c>
      <c r="V153" s="3" t="str">
        <f ca="1">IFERROR(__xludf.DUMMYFUNCTION("""COMPUTED_VALUE"""),"Cintia Torres Santos")</f>
        <v>Cintia Torres Santos</v>
      </c>
      <c r="W153" s="3" t="str">
        <f ca="1">IFERROR(__xludf.DUMMYFUNCTION("""COMPUTED_VALUE"""),"SEI-260007/035016/2022
")</f>
        <v xml:space="preserve">SEI-260007/035016/2022
</v>
      </c>
      <c r="X153" s="3" t="str">
        <f ca="1">IFERROR(__xludf.DUMMYFUNCTION("""COMPUTED_VALUE"""),"4-  Concluso p/ RF")</f>
        <v>4-  Concluso p/ RF</v>
      </c>
    </row>
    <row r="154" spans="1:24" x14ac:dyDescent="0.2">
      <c r="A154" s="3" t="str">
        <f ca="1">IFERROR(__xludf.DUMMYFUNCTION("""COMPUTED_VALUE"""),"425/2024")</f>
        <v>425/2024</v>
      </c>
      <c r="B154" s="3" t="str">
        <f ca="1">IFERROR(__xludf.DUMMYFUNCTION("""COMPUTED_VALUE"""),"SEI-260007/000453/2024")</f>
        <v>SEI-260007/000453/2024</v>
      </c>
      <c r="C154" s="3" t="str">
        <f ca="1">IFERROR(__xludf.DUMMYFUNCTION("""COMPUTED_VALUE"""),"ARIANE INNECO PEREIRA DE CARVALHO, matrícula nº 38.179-8")</f>
        <v>ARIANE INNECO PEREIRA DE CARVALHO, matrícula nº 38.179-8</v>
      </c>
      <c r="D154" s="3" t="str">
        <f ca="1">IFERROR(__xludf.DUMMYFUNCTION("""COMPUTED_VALUE"""),"Desvio de conduta")</f>
        <v>Desvio de conduta</v>
      </c>
      <c r="E154" s="3" t="str">
        <f ca="1">IFERROR(__xludf.DUMMYFUNCTION("""COMPUTED_VALUE"""),"Desvio de conduta")</f>
        <v>Desvio de conduta</v>
      </c>
      <c r="F154" s="3" t="str">
        <f ca="1">IFERROR(__xludf.DUMMYFUNCTION("""COMPUTED_VALUE"""),"Acumulação de cargos.")</f>
        <v>Acumulação de cargos.</v>
      </c>
      <c r="G154" s="3" t="str">
        <f ca="1">IFERROR(__xludf.DUMMYFUNCTION("""COMPUTED_VALUE"""),"Acumulação de cargos")</f>
        <v>Acumulação de cargos</v>
      </c>
      <c r="H154" s="3" t="str">
        <f ca="1">IFERROR(__xludf.DUMMYFUNCTION("""COMPUTED_VALUE"""),"tríplice acumulação de cargos no período de 20/10/2015 até 14/09/2017.")</f>
        <v>tríplice acumulação de cargos no período de 20/10/2015 até 14/09/2017.</v>
      </c>
      <c r="I154" s="3"/>
      <c r="J154" s="7">
        <f ca="1">IFERROR(__xludf.DUMMYFUNCTION("""COMPUTED_VALUE"""),45279)</f>
        <v>45279</v>
      </c>
      <c r="K154" s="5">
        <f ca="1">IFERROR(__xludf.DUMMYFUNCTION("""COMPUTED_VALUE"""),45281)</f>
        <v>45281</v>
      </c>
      <c r="L154" s="5">
        <f ca="1">IFERROR(__xludf.DUMMYFUNCTION("""COMPUTED_VALUE"""),45461)</f>
        <v>45461</v>
      </c>
      <c r="M154" s="5">
        <f ca="1">IFERROR(__xludf.DUMMYFUNCTION("""COMPUTED_VALUE"""),45462)</f>
        <v>45462</v>
      </c>
      <c r="N154" s="3" t="str">
        <f ca="1">IFERROR(__xludf.DUMMYFUNCTION("""COMPUTED_VALUE"""),"Prazo expirado")</f>
        <v>Prazo expirado</v>
      </c>
      <c r="O154" s="5">
        <f ca="1">IFERROR(__xludf.DUMMYFUNCTION("""COMPUTED_VALUE"""),46192)</f>
        <v>46192</v>
      </c>
      <c r="P154" s="3">
        <f ca="1">IFERROR(__xludf.DUMMYFUNCTION("""COMPUTED_VALUE"""),1005)</f>
        <v>1005</v>
      </c>
      <c r="Q154" s="5">
        <f ca="1">IFERROR(__xludf.DUMMYFUNCTION("""COMPUTED_VALUE"""),47288)</f>
        <v>47288</v>
      </c>
      <c r="R154" s="3" t="str">
        <f ca="1">IFERROR(__xludf.DUMMYFUNCTION("""COMPUTED_VALUE"""),"Marcelo Bento")</f>
        <v>Marcelo Bento</v>
      </c>
      <c r="S154" s="3" t="str">
        <f ca="1">IFERROR(__xludf.DUMMYFUNCTION("""COMPUTED_VALUE"""),"Micheline")</f>
        <v>Micheline</v>
      </c>
      <c r="T154" s="3" t="str">
        <f ca="1">IFERROR(__xludf.DUMMYFUNCTION("""COMPUTED_VALUE"""),"Marcelo Ferreira")</f>
        <v>Marcelo Ferreira</v>
      </c>
      <c r="U154" s="3" t="str">
        <f ca="1">IFERROR(__xludf.DUMMYFUNCTION("""COMPUTED_VALUE"""),"Alessandra Abelheira")</f>
        <v>Alessandra Abelheira</v>
      </c>
      <c r="V154" s="3"/>
      <c r="W154" s="3" t="str">
        <f ca="1">IFERROR(__xludf.DUMMYFUNCTION("""COMPUTED_VALUE"""),"E-26/007/13756/2014")</f>
        <v>E-26/007/13756/2014</v>
      </c>
      <c r="X154" s="3" t="str">
        <f ca="1">IFERROR(__xludf.DUMMYFUNCTION("""COMPUTED_VALUE"""),"4-  Concluso p/ RF")</f>
        <v>4-  Concluso p/ RF</v>
      </c>
    </row>
    <row r="155" spans="1:24" x14ac:dyDescent="0.2">
      <c r="A155" s="3" t="str">
        <f ca="1">IFERROR(__xludf.DUMMYFUNCTION("""COMPUTED_VALUE"""),"427/2024")</f>
        <v>427/2024</v>
      </c>
      <c r="B155" s="3" t="str">
        <f ca="1">IFERROR(__xludf.DUMMYFUNCTION("""COMPUTED_VALUE"""),"SEI-260007/001412/2024")</f>
        <v>SEI-260007/001412/2024</v>
      </c>
      <c r="C155" s="3" t="str">
        <f ca="1">IFERROR(__xludf.DUMMYFUNCTION("""COMPUTED_VALUE"""),"LECIANE LOPES MUNIZ VIANA, matrícula nº 35.531-3")</f>
        <v>LECIANE LOPES MUNIZ VIANA, matrícula nº 35.531-3</v>
      </c>
      <c r="D155" s="3" t="str">
        <f ca="1">IFERROR(__xludf.DUMMYFUNCTION("""COMPUTED_VALUE"""),"Desvio de conduta")</f>
        <v>Desvio de conduta</v>
      </c>
      <c r="E155" s="3" t="str">
        <f ca="1">IFERROR(__xludf.DUMMYFUNCTION("""COMPUTED_VALUE"""),"Desvio de conduta")</f>
        <v>Desvio de conduta</v>
      </c>
      <c r="F155" s="3" t="str">
        <f ca="1">IFERROR(__xludf.DUMMYFUNCTION("""COMPUTED_VALUE"""),"Acumulação de cargos.")</f>
        <v>Acumulação de cargos.</v>
      </c>
      <c r="G155" s="3" t="str">
        <f ca="1">IFERROR(__xludf.DUMMYFUNCTION("""COMPUTED_VALUE"""),"Acumulação de cargos")</f>
        <v>Acumulação de cargos</v>
      </c>
      <c r="H155" s="3" t="str">
        <f ca="1">IFERROR(__xludf.DUMMYFUNCTION("""COMPUTED_VALUE"""),"Tríplice acumulação pretérita ocupante do cargo de TUII/Técnico em Enfermagem, com carga horária de 30 (trinta) horas semanais, que acumulou com o cargo de Auxiliar de Enfermagem junto ao Ministério da Saúde, com carga horária de 40 (quarenta) horas seman"&amp;"ais, que posteriormente foi reduzida para 20 (vinte) horas semanais, e com o cargo de Técnico de Enfermagem, junto ao Ministério da Saúde, com carga horária de 40 (quarenta) horas semanais, no período de 08/11/2010 a 17/01/2019. ")</f>
        <v xml:space="preserve">Tríplice acumulação pretérita ocupante do cargo de TUII/Técnico em Enfermagem, com carga horária de 30 (trinta) horas semanais, que acumulou com o cargo de Auxiliar de Enfermagem junto ao Ministério da Saúde, com carga horária de 40 (quarenta) horas semanais, que posteriormente foi reduzida para 20 (vinte) horas semanais, e com o cargo de Técnico de Enfermagem, junto ao Ministério da Saúde, com carga horária de 40 (quarenta) horas semanais, no período de 08/11/2010 a 17/01/2019. </v>
      </c>
      <c r="I155" s="3"/>
      <c r="J155" s="7">
        <f ca="1">IFERROR(__xludf.DUMMYFUNCTION("""COMPUTED_VALUE"""),45277)</f>
        <v>45277</v>
      </c>
      <c r="K155" s="5">
        <f ca="1">IFERROR(__xludf.DUMMYFUNCTION("""COMPUTED_VALUE"""),45281)</f>
        <v>45281</v>
      </c>
      <c r="L155" s="5">
        <f ca="1">IFERROR(__xludf.DUMMYFUNCTION("""COMPUTED_VALUE"""),45461)</f>
        <v>45461</v>
      </c>
      <c r="M155" s="5">
        <f ca="1">IFERROR(__xludf.DUMMYFUNCTION("""COMPUTED_VALUE"""),45462)</f>
        <v>45462</v>
      </c>
      <c r="N155" s="3" t="str">
        <f ca="1">IFERROR(__xludf.DUMMYFUNCTION("""COMPUTED_VALUE"""),"Prazo expirado")</f>
        <v>Prazo expirado</v>
      </c>
      <c r="O155" s="5">
        <f ca="1">IFERROR(__xludf.DUMMYFUNCTION("""COMPUTED_VALUE"""),46192)</f>
        <v>46192</v>
      </c>
      <c r="P155" s="3">
        <f ca="1">IFERROR(__xludf.DUMMYFUNCTION("""COMPUTED_VALUE"""),1005)</f>
        <v>1005</v>
      </c>
      <c r="Q155" s="5">
        <f ca="1">IFERROR(__xludf.DUMMYFUNCTION("""COMPUTED_VALUE"""),47288)</f>
        <v>47288</v>
      </c>
      <c r="R155" s="3" t="str">
        <f ca="1">IFERROR(__xludf.DUMMYFUNCTION("""COMPUTED_VALUE"""),"Thaís Muci")</f>
        <v>Thaís Muci</v>
      </c>
      <c r="S155" s="3" t="str">
        <f ca="1">IFERROR(__xludf.DUMMYFUNCTION("""COMPUTED_VALUE"""),"Débora")</f>
        <v>Débora</v>
      </c>
      <c r="T155" s="3" t="str">
        <f ca="1">IFERROR(__xludf.DUMMYFUNCTION("""COMPUTED_VALUE"""),"Alessandra Abelheira")</f>
        <v>Alessandra Abelheira</v>
      </c>
      <c r="U155" s="3" t="str">
        <f ca="1">IFERROR(__xludf.DUMMYFUNCTION("""COMPUTED_VALUE"""),"Teresa Jardin")</f>
        <v>Teresa Jardin</v>
      </c>
      <c r="V155" s="3" t="str">
        <f ca="1">IFERROR(__xludf.DUMMYFUNCTION("""COMPUTED_VALUE"""),"Não")</f>
        <v>Não</v>
      </c>
      <c r="W155" s="3" t="str">
        <f ca="1">IFERROR(__xludf.DUMMYFUNCTION("""COMPUTED_VALUE"""),"UERJ/10470/2011")</f>
        <v>UERJ/10470/2011</v>
      </c>
      <c r="X155" s="3" t="str">
        <f ca="1">IFERROR(__xludf.DUMMYFUNCTION("""COMPUTED_VALUE"""),"3-  Concluso p/ Indiciação")</f>
        <v>3-  Concluso p/ Indiciação</v>
      </c>
    </row>
    <row r="156" spans="1:24" x14ac:dyDescent="0.2">
      <c r="A156" s="3" t="str">
        <f ca="1">IFERROR(__xludf.DUMMYFUNCTION("""COMPUTED_VALUE"""),"428/2024")</f>
        <v>428/2024</v>
      </c>
      <c r="B156" s="3" t="str">
        <f ca="1">IFERROR(__xludf.DUMMYFUNCTION("""COMPUTED_VALUE"""),"SEI-260007/002208/2024")</f>
        <v>SEI-260007/002208/2024</v>
      </c>
      <c r="C156" s="3" t="str">
        <f ca="1">IFERROR(__xludf.DUMMYFUNCTION("""COMPUTED_VALUE"""),"Francismar Alex Lopes de Carvalho, matr. nº 39.568-1.")</f>
        <v>Francismar Alex Lopes de Carvalho, matr. nº 39.568-1.</v>
      </c>
      <c r="D156" s="3" t="str">
        <f ca="1">IFERROR(__xludf.DUMMYFUNCTION("""COMPUTED_VALUE""")," cometer a pessoa estranha ao servido do estado")</f>
        <v xml:space="preserve"> cometer a pessoa estranha ao servido do estado</v>
      </c>
      <c r="E156" s="3"/>
      <c r="F156" s="3" t="str">
        <f ca="1">IFERROR(__xludf.DUMMYFUNCTION("""COMPUTED_VALUE"""),"Violação dedicação exclusiva")</f>
        <v>Violação dedicação exclusiva</v>
      </c>
      <c r="G156" s="3" t="str">
        <f ca="1">IFERROR(__xludf.DUMMYFUNCTION("""COMPUTED_VALUE"""),"Outros, Violação dedicação exclusiva")</f>
        <v>Outros, Violação dedicação exclusiva</v>
      </c>
      <c r="H156" s="3" t="str">
        <f ca="1">IFERROR(__xludf.DUMMYFUNCTION("""COMPUTED_VALUE"""),"indícios de infrações disciplinares cometer a pessoa estranha ao servido do estado, salvo nos casos previstos em lei, o desempenho de encargo que lhe competir ou a seus subordinados"" e ""violação ao Regime de Dedicação Exclusiva"".e natureza grave, quais"&amp;" sejam """)</f>
        <v>indícios de infrações disciplinares cometer a pessoa estranha ao servido do estado, salvo nos casos previstos em lei, o desempenho de encargo que lhe competir ou a seus subordinados" e "violação ao Regime de Dedicação Exclusiva".e natureza grave, quais sejam "</v>
      </c>
      <c r="I156" s="3"/>
      <c r="J156" s="7">
        <f ca="1">IFERROR(__xludf.DUMMYFUNCTION("""COMPUTED_VALUE"""),45271)</f>
        <v>45271</v>
      </c>
      <c r="K156" s="5">
        <f ca="1">IFERROR(__xludf.DUMMYFUNCTION("""COMPUTED_VALUE"""),45273)</f>
        <v>45273</v>
      </c>
      <c r="L156" s="5">
        <f ca="1">IFERROR(__xludf.DUMMYFUNCTION("""COMPUTED_VALUE"""),45453)</f>
        <v>45453</v>
      </c>
      <c r="M156" s="5">
        <f ca="1">IFERROR(__xludf.DUMMYFUNCTION("""COMPUTED_VALUE"""),45454)</f>
        <v>45454</v>
      </c>
      <c r="N156" s="3" t="str">
        <f ca="1">IFERROR(__xludf.DUMMYFUNCTION("""COMPUTED_VALUE"""),"Prazo expirado")</f>
        <v>Prazo expirado</v>
      </c>
      <c r="O156" s="5">
        <f ca="1">IFERROR(__xludf.DUMMYFUNCTION("""COMPUTED_VALUE"""),46184)</f>
        <v>46184</v>
      </c>
      <c r="P156" s="3">
        <f ca="1">IFERROR(__xludf.DUMMYFUNCTION("""COMPUTED_VALUE"""),997)</f>
        <v>997</v>
      </c>
      <c r="Q156" s="5">
        <f ca="1">IFERROR(__xludf.DUMMYFUNCTION("""COMPUTED_VALUE"""),47280)</f>
        <v>47280</v>
      </c>
      <c r="R156" s="3" t="str">
        <f ca="1">IFERROR(__xludf.DUMMYFUNCTION("""COMPUTED_VALUE"""),"Marcelo Bento")</f>
        <v>Marcelo Bento</v>
      </c>
      <c r="S156" s="3" t="str">
        <f ca="1">IFERROR(__xludf.DUMMYFUNCTION("""COMPUTED_VALUE"""),"Franciane")</f>
        <v>Franciane</v>
      </c>
      <c r="T156" s="3" t="str">
        <f ca="1">IFERROR(__xludf.DUMMYFUNCTION("""COMPUTED_VALUE"""),"Thaís Muci")</f>
        <v>Thaís Muci</v>
      </c>
      <c r="U156" s="3" t="str">
        <f ca="1">IFERROR(__xludf.DUMMYFUNCTION("""COMPUTED_VALUE"""),"Patrícia Glioche")</f>
        <v>Patrícia Glioche</v>
      </c>
      <c r="V156" s="3" t="str">
        <f ca="1">IFERROR(__xludf.DUMMYFUNCTION("""COMPUTED_VALUE"""),"Não")</f>
        <v>Não</v>
      </c>
      <c r="W156" s="3" t="str">
        <f ca="1">IFERROR(__xludf.DUMMYFUNCTION("""COMPUTED_VALUE"""),"SEI-260007/019787/2023")</f>
        <v>SEI-260007/019787/2023</v>
      </c>
      <c r="X156" s="3" t="str">
        <f ca="1">IFERROR(__xludf.DUMMYFUNCTION("""COMPUTED_VALUE"""),"2- Instrução")</f>
        <v>2- Instrução</v>
      </c>
    </row>
    <row r="157" spans="1:24" x14ac:dyDescent="0.2">
      <c r="A157" s="3" t="str">
        <f ca="1">IFERROR(__xludf.DUMMYFUNCTION("""COMPUTED_VALUE"""),"429/2024")</f>
        <v>429/2024</v>
      </c>
      <c r="B157" s="3" t="str">
        <f ca="1">IFERROR(__xludf.DUMMYFUNCTION("""COMPUTED_VALUE"""),"SEI-260006/004073/2024")</f>
        <v>SEI-260006/004073/2024</v>
      </c>
      <c r="C157" s="3" t="str">
        <f ca="1">IFERROR(__xludf.DUMMYFUNCTION("""COMPUTED_VALUE"""),"Luciano Reis Abreu, matrícula 37323-3")</f>
        <v>Luciano Reis Abreu, matrícula 37323-3</v>
      </c>
      <c r="D157" s="3" t="str">
        <f ca="1">IFERROR(__xludf.DUMMYFUNCTION("""COMPUTED_VALUE"""),"Abandono do Cargo")</f>
        <v>Abandono do Cargo</v>
      </c>
      <c r="E157" s="3"/>
      <c r="F157" s="3" t="str">
        <f ca="1">IFERROR(__xludf.DUMMYFUNCTION("""COMPUTED_VALUE"""),"Abandono de cargo/ Inassiduidade habitual.")</f>
        <v>Abandono de cargo/ Inassiduidade habitual.</v>
      </c>
      <c r="G157" s="3" t="str">
        <f ca="1">IFERROR(__xludf.DUMMYFUNCTION("""COMPUTED_VALUE"""),"Abandono de cargo/ Inassiduidade habitual")</f>
        <v>Abandono de cargo/ Inassiduidade habitual</v>
      </c>
      <c r="H157" s="3" t="str">
        <f ca="1">IFERROR(__xludf.DUMMYFUNCTION("""COMPUTED_VALUE"""),"faltas injustificadas de 01/06/2022 a 31/05/2023.")</f>
        <v>faltas injustificadas de 01/06/2022 a 31/05/2023.</v>
      </c>
      <c r="I157" s="3"/>
      <c r="J157" s="5">
        <f ca="1">IFERROR(__xludf.DUMMYFUNCTION("""COMPUTED_VALUE"""),45269)</f>
        <v>45269</v>
      </c>
      <c r="K157" s="5">
        <f ca="1">IFERROR(__xludf.DUMMYFUNCTION("""COMPUTED_VALUE"""),45302)</f>
        <v>45302</v>
      </c>
      <c r="L157" s="5">
        <f ca="1">IFERROR(__xludf.DUMMYFUNCTION("""COMPUTED_VALUE"""),45482)</f>
        <v>45482</v>
      </c>
      <c r="M157" s="5">
        <f ca="1">IFERROR(__xludf.DUMMYFUNCTION("""COMPUTED_VALUE"""),45483)</f>
        <v>45483</v>
      </c>
      <c r="N157" s="3" t="str">
        <f ca="1">IFERROR(__xludf.DUMMYFUNCTION("""COMPUTED_VALUE"""),"Prazo expirado")</f>
        <v>Prazo expirado</v>
      </c>
      <c r="O157" s="5">
        <f ca="1">IFERROR(__xludf.DUMMYFUNCTION("""COMPUTED_VALUE"""),46213)</f>
        <v>46213</v>
      </c>
      <c r="P157" s="3">
        <f ca="1">IFERROR(__xludf.DUMMYFUNCTION("""COMPUTED_VALUE"""),1026)</f>
        <v>1026</v>
      </c>
      <c r="Q157" s="5">
        <f ca="1">IFERROR(__xludf.DUMMYFUNCTION("""COMPUTED_VALUE"""),47309)</f>
        <v>47309</v>
      </c>
      <c r="R157" s="3" t="str">
        <f ca="1">IFERROR(__xludf.DUMMYFUNCTION("""COMPUTED_VALUE"""),"Alessandra Abelheira")</f>
        <v>Alessandra Abelheira</v>
      </c>
      <c r="S157" s="3" t="str">
        <f ca="1">IFERROR(__xludf.DUMMYFUNCTION("""COMPUTED_VALUE"""),"Franciane")</f>
        <v>Franciane</v>
      </c>
      <c r="T157" s="3" t="str">
        <f ca="1">IFERROR(__xludf.DUMMYFUNCTION("""COMPUTED_VALUE"""),"Jeanny Passigatte")</f>
        <v>Jeanny Passigatte</v>
      </c>
      <c r="U157" s="3" t="str">
        <f ca="1">IFERROR(__xludf.DUMMYFUNCTION("""COMPUTED_VALUE"""),"Gustavo Mozart")</f>
        <v>Gustavo Mozart</v>
      </c>
      <c r="V157" s="3" t="str">
        <f ca="1">IFERROR(__xludf.DUMMYFUNCTION("""COMPUTED_VALUE"""),"Isabella Carvalho de Sousa")</f>
        <v>Isabella Carvalho de Sousa</v>
      </c>
      <c r="W157" s="3" t="str">
        <f ca="1">IFERROR(__xludf.DUMMYFUNCTION("""COMPUTED_VALUE"""),"SEI-260007/008187/2022")</f>
        <v>SEI-260007/008187/2022</v>
      </c>
      <c r="X157" s="3" t="str">
        <f ca="1">IFERROR(__xludf.DUMMYFUNCTION("""COMPUTED_VALUE"""),"2- Instrução")</f>
        <v>2- Instrução</v>
      </c>
    </row>
    <row r="158" spans="1:24" x14ac:dyDescent="0.2">
      <c r="A158" s="3" t="str">
        <f ca="1">IFERROR(__xludf.DUMMYFUNCTION("""COMPUTED_VALUE"""),"431/2024")</f>
        <v>431/2024</v>
      </c>
      <c r="B158" s="3" t="str">
        <f ca="1">IFERROR(__xludf.DUMMYFUNCTION("""COMPUTED_VALUE"""),"SEI-260006/003949/2024")</f>
        <v>SEI-260006/003949/2024</v>
      </c>
      <c r="C158" s="3" t="str">
        <f ca="1">IFERROR(__xludf.DUMMYFUNCTION("""COMPUTED_VALUE"""),"Orlando Lima de Saboya Barros, matrícula nº 7233-0.")</f>
        <v>Orlando Lima de Saboya Barros, matrícula nº 7233-0.</v>
      </c>
      <c r="D158" s="3" t="str">
        <f ca="1">IFERROR(__xludf.DUMMYFUNCTION("""COMPUTED_VALUE"""),"Infração Administrativa")</f>
        <v>Infração Administrativa</v>
      </c>
      <c r="E158" s="3" t="str">
        <f ca="1">IFERROR(__xludf.DUMMYFUNCTION("""COMPUTED_VALUE"""),"Indício de improbidade")</f>
        <v>Indício de improbidade</v>
      </c>
      <c r="F158" s="3" t="str">
        <f ca="1">IFERROR(__xludf.DUMMYFUNCTION("""COMPUTED_VALUE"""),"Outros.")</f>
        <v>Outros.</v>
      </c>
      <c r="G158" s="3" t="str">
        <f ca="1">IFERROR(__xludf.DUMMYFUNCTION("""COMPUTED_VALUE"""),"Outros")</f>
        <v>Outros</v>
      </c>
      <c r="H158" s="3" t="str">
        <f ca="1">IFERROR(__xludf.DUMMYFUNCTION("""COMPUTED_VALUE"""),"Possível violação ao dever de observância das normas legais e regulamentares, podendo até configurar a prática de improbidade administrativa (cf. arts. 10 e 11 da Lei federal no 8.429/1992) e crime (cf. arts. 337-E e 337-H do Código Penal brasileiro).")</f>
        <v>Possível violação ao dever de observância das normas legais e regulamentares, podendo até configurar a prática de improbidade administrativa (cf. arts. 10 e 11 da Lei federal no 8.429/1992) e crime (cf. arts. 337-E e 337-H do Código Penal brasileiro).</v>
      </c>
      <c r="I158" s="3"/>
      <c r="J158" s="5">
        <f ca="1">IFERROR(__xludf.DUMMYFUNCTION("""COMPUTED_VALUE"""),45269)</f>
        <v>45269</v>
      </c>
      <c r="K158" s="5">
        <f ca="1">IFERROR(__xludf.DUMMYFUNCTION("""COMPUTED_VALUE"""),45280)</f>
        <v>45280</v>
      </c>
      <c r="L158" s="5">
        <f ca="1">IFERROR(__xludf.DUMMYFUNCTION("""COMPUTED_VALUE"""),45460)</f>
        <v>45460</v>
      </c>
      <c r="M158" s="5">
        <f ca="1">IFERROR(__xludf.DUMMYFUNCTION("""COMPUTED_VALUE"""),45461)</f>
        <v>45461</v>
      </c>
      <c r="N158" s="3" t="str">
        <f ca="1">IFERROR(__xludf.DUMMYFUNCTION("""COMPUTED_VALUE"""),"Prazo expirado")</f>
        <v>Prazo expirado</v>
      </c>
      <c r="O158" s="5">
        <f ca="1">IFERROR(__xludf.DUMMYFUNCTION("""COMPUTED_VALUE"""),46191)</f>
        <v>46191</v>
      </c>
      <c r="P158" s="3">
        <f ca="1">IFERROR(__xludf.DUMMYFUNCTION("""COMPUTED_VALUE"""),1004)</f>
        <v>1004</v>
      </c>
      <c r="Q158" s="5">
        <f ca="1">IFERROR(__xludf.DUMMYFUNCTION("""COMPUTED_VALUE"""),47287)</f>
        <v>47287</v>
      </c>
      <c r="R158" s="3" t="str">
        <f ca="1">IFERROR(__xludf.DUMMYFUNCTION("""COMPUTED_VALUE"""),"Leonardo Rocha")</f>
        <v>Leonardo Rocha</v>
      </c>
      <c r="S158" s="3" t="str">
        <f ca="1">IFERROR(__xludf.DUMMYFUNCTION("""COMPUTED_VALUE"""),"Isadora")</f>
        <v>Isadora</v>
      </c>
      <c r="T158" s="3" t="str">
        <f ca="1">IFERROR(__xludf.DUMMYFUNCTION("""COMPUTED_VALUE"""),"Jeanny Passigatte")</f>
        <v>Jeanny Passigatte</v>
      </c>
      <c r="U158" s="3" t="str">
        <f ca="1">IFERROR(__xludf.DUMMYFUNCTION("""COMPUTED_VALUE"""),"Felipe Perdigão")</f>
        <v>Felipe Perdigão</v>
      </c>
      <c r="V158" s="3" t="str">
        <f ca="1">IFERROR(__xludf.DUMMYFUNCTION("""COMPUTED_VALUE"""),"Não")</f>
        <v>Não</v>
      </c>
      <c r="W158" s="3" t="str">
        <f ca="1">IFERROR(__xludf.DUMMYFUNCTION("""COMPUTED_VALUE"""),"SEI-260008/000243/2021")</f>
        <v>SEI-260008/000243/2021</v>
      </c>
      <c r="X158" s="3" t="str">
        <f ca="1">IFERROR(__xludf.DUMMYFUNCTION("""COMPUTED_VALUE"""),"3-  Concluso p/ Indiciação")</f>
        <v>3-  Concluso p/ Indiciação</v>
      </c>
    </row>
    <row r="159" spans="1:24" x14ac:dyDescent="0.2">
      <c r="A159" s="3" t="str">
        <f ca="1">IFERROR(__xludf.DUMMYFUNCTION("""COMPUTED_VALUE"""),"433/2024")</f>
        <v>433/2024</v>
      </c>
      <c r="B159" s="3" t="str">
        <f ca="1">IFERROR(__xludf.DUMMYFUNCTION("""COMPUTED_VALUE"""),"SEI-260006/009258/2024")</f>
        <v>SEI-260006/009258/2024</v>
      </c>
      <c r="C159" s="3" t="str">
        <f ca="1">IFERROR(__xludf.DUMMYFUNCTION("""COMPUTED_VALUE"""),"Romulo Custodio dos Santos, 37.522-0.")</f>
        <v>Romulo Custodio dos Santos, 37.522-0.</v>
      </c>
      <c r="D159" s="3" t="str">
        <f ca="1">IFERROR(__xludf.DUMMYFUNCTION("""COMPUTED_VALUE"""),"Acumulação Ilegal")</f>
        <v>Acumulação Ilegal</v>
      </c>
      <c r="E159" s="3"/>
      <c r="F159" s="3" t="str">
        <f ca="1">IFERROR(__xludf.DUMMYFUNCTION("""COMPUTED_VALUE"""),"Acumulação de cargos.")</f>
        <v>Acumulação de cargos.</v>
      </c>
      <c r="G159" s="3" t="str">
        <f ca="1">IFERROR(__xludf.DUMMYFUNCTION("""COMPUTED_VALUE"""),"Acumulação de cargos")</f>
        <v>Acumulação de cargos</v>
      </c>
      <c r="H159" s="3" t="str">
        <f ca="1">IFERROR(__xludf.DUMMYFUNCTION("""COMPUTED_VALUE"""),"Acumulação ilegal de cargos na UERJ, na FIOCRUZ e na Prefeitura do Rio de Janeiro, no período de 05/10/2017 a 02/09/2019")</f>
        <v>Acumulação ilegal de cargos na UERJ, na FIOCRUZ e na Prefeitura do Rio de Janeiro, no período de 05/10/2017 a 02/09/2019</v>
      </c>
      <c r="I159" s="3" t="str">
        <f ca="1">IFERROR(__xludf.DUMMYFUNCTION("""COMPUTED_VALUE"""),"Não")</f>
        <v>Não</v>
      </c>
      <c r="J159" s="7">
        <f ca="1">IFERROR(__xludf.DUMMYFUNCTION("""COMPUTED_VALUE"""),45350)</f>
        <v>45350</v>
      </c>
      <c r="K159" s="5">
        <f ca="1">IFERROR(__xludf.DUMMYFUNCTION("""COMPUTED_VALUE"""),45363)</f>
        <v>45363</v>
      </c>
      <c r="L159" s="5">
        <f ca="1">IFERROR(__xludf.DUMMYFUNCTION("""COMPUTED_VALUE"""),45543)</f>
        <v>45543</v>
      </c>
      <c r="M159" s="5">
        <f ca="1">IFERROR(__xludf.DUMMYFUNCTION("""COMPUTED_VALUE"""),45544)</f>
        <v>45544</v>
      </c>
      <c r="N159" s="3" t="str">
        <f ca="1">IFERROR(__xludf.DUMMYFUNCTION("""COMPUTED_VALUE"""),"Prazo expirado")</f>
        <v>Prazo expirado</v>
      </c>
      <c r="O159" s="5">
        <f ca="1">IFERROR(__xludf.DUMMYFUNCTION("""COMPUTED_VALUE"""),46274)</f>
        <v>46274</v>
      </c>
      <c r="P159" s="3">
        <f ca="1">IFERROR(__xludf.DUMMYFUNCTION("""COMPUTED_VALUE"""),1087)</f>
        <v>1087</v>
      </c>
      <c r="Q159" s="5">
        <f ca="1">IFERROR(__xludf.DUMMYFUNCTION("""COMPUTED_VALUE"""),47370)</f>
        <v>47370</v>
      </c>
      <c r="R159" s="3" t="str">
        <f ca="1">IFERROR(__xludf.DUMMYFUNCTION("""COMPUTED_VALUE"""),"Thaís Muci")</f>
        <v>Thaís Muci</v>
      </c>
      <c r="S159" s="3" t="str">
        <f ca="1">IFERROR(__xludf.DUMMYFUNCTION("""COMPUTED_VALUE"""),"Isadora")</f>
        <v>Isadora</v>
      </c>
      <c r="T159" s="3" t="str">
        <f ca="1">IFERROR(__xludf.DUMMYFUNCTION("""COMPUTED_VALUE"""),"Felipe Perdigão")</f>
        <v>Felipe Perdigão</v>
      </c>
      <c r="U159" s="3" t="str">
        <f ca="1">IFERROR(__xludf.DUMMYFUNCTION("""COMPUTED_VALUE"""),"Ariane Serpa")</f>
        <v>Ariane Serpa</v>
      </c>
      <c r="V159" s="3" t="str">
        <f ca="1">IFERROR(__xludf.DUMMYFUNCTION("""COMPUTED_VALUE"""),"Não")</f>
        <v>Não</v>
      </c>
      <c r="W159" s="3" t="str">
        <f ca="1">IFERROR(__xludf.DUMMYFUNCTION("""COMPUTED_VALUE"""),"E-26/007/5845/2014")</f>
        <v>E-26/007/5845/2014</v>
      </c>
      <c r="X159" s="3" t="str">
        <f ca="1">IFERROR(__xludf.DUMMYFUNCTION("""COMPUTED_VALUE"""),"3.1- Indiciação/citação enviados")</f>
        <v>3.1- Indiciação/citação enviados</v>
      </c>
    </row>
    <row r="160" spans="1:24" x14ac:dyDescent="0.2">
      <c r="A160" s="3" t="str">
        <f ca="1">IFERROR(__xludf.DUMMYFUNCTION("""COMPUTED_VALUE"""),"435/2024")</f>
        <v>435/2024</v>
      </c>
      <c r="B160" s="3" t="str">
        <f ca="1">IFERROR(__xludf.DUMMYFUNCTION("""COMPUTED_VALUE"""),"SEI-260006/011025/2024")</f>
        <v>SEI-260006/011025/2024</v>
      </c>
      <c r="C160" s="3" t="str">
        <f ca="1">IFERROR(__xludf.DUMMYFUNCTION("""COMPUTED_VALUE"""),"Gustavo Albino Pinto Magalhães, mat 34.552-0")</f>
        <v>Gustavo Albino Pinto Magalhães, mat 34.552-0</v>
      </c>
      <c r="D160" s="3" t="str">
        <f ca="1">IFERROR(__xludf.DUMMYFUNCTION("""COMPUTED_VALUE"""),"Abandono do Cargo")</f>
        <v>Abandono do Cargo</v>
      </c>
      <c r="E160" s="3"/>
      <c r="F160" s="3" t="str">
        <f ca="1">IFERROR(__xludf.DUMMYFUNCTION("""COMPUTED_VALUE"""),"Abandono de cargo/ Inassiduidade habitual.")</f>
        <v>Abandono de cargo/ Inassiduidade habitual.</v>
      </c>
      <c r="G160" s="3" t="str">
        <f ca="1">IFERROR(__xludf.DUMMYFUNCTION("""COMPUTED_VALUE"""),"Abandono de cargo/ Inassiduidade habitual")</f>
        <v>Abandono de cargo/ Inassiduidade habitual</v>
      </c>
      <c r="H160" s="3" t="str">
        <f ca="1">IFERROR(__xludf.DUMMYFUNCTION("""COMPUTED_VALUE"""),"Faltas injustificadas no período de 25/05/2023 a 31/07/2023.")</f>
        <v>Faltas injustificadas no período de 25/05/2023 a 31/07/2023.</v>
      </c>
      <c r="I160" s="3"/>
      <c r="J160" s="5">
        <f ca="1">IFERROR(__xludf.DUMMYFUNCTION("""COMPUTED_VALUE"""),45371)</f>
        <v>45371</v>
      </c>
      <c r="K160" s="5">
        <f ca="1">IFERROR(__xludf.DUMMYFUNCTION("""COMPUTED_VALUE"""),45385)</f>
        <v>45385</v>
      </c>
      <c r="L160" s="5">
        <f ca="1">IFERROR(__xludf.DUMMYFUNCTION("""COMPUTED_VALUE"""),45565)</f>
        <v>45565</v>
      </c>
      <c r="M160" s="5">
        <f ca="1">IFERROR(__xludf.DUMMYFUNCTION("""COMPUTED_VALUE"""),45566)</f>
        <v>45566</v>
      </c>
      <c r="N160" s="3">
        <f ca="1">IFERROR(__xludf.DUMMYFUNCTION("""COMPUTED_VALUE"""),13)</f>
        <v>13</v>
      </c>
      <c r="O160" s="5">
        <f ca="1">IFERROR(__xludf.DUMMYFUNCTION("""COMPUTED_VALUE"""),46296)</f>
        <v>46296</v>
      </c>
      <c r="P160" s="3">
        <f ca="1">IFERROR(__xludf.DUMMYFUNCTION("""COMPUTED_VALUE"""),1109)</f>
        <v>1109</v>
      </c>
      <c r="Q160" s="5">
        <f ca="1">IFERROR(__xludf.DUMMYFUNCTION("""COMPUTED_VALUE"""),47392)</f>
        <v>47392</v>
      </c>
      <c r="R160" s="3" t="str">
        <f ca="1">IFERROR(__xludf.DUMMYFUNCTION("""COMPUTED_VALUE"""),"Thaís Muci")</f>
        <v>Thaís Muci</v>
      </c>
      <c r="S160" s="3" t="str">
        <f ca="1">IFERROR(__xludf.DUMMYFUNCTION("""COMPUTED_VALUE"""),"Patrícia")</f>
        <v>Patrícia</v>
      </c>
      <c r="T160" s="3" t="str">
        <f ca="1">IFERROR(__xludf.DUMMYFUNCTION("""COMPUTED_VALUE"""),"Marcelo Ferreira")</f>
        <v>Marcelo Ferreira</v>
      </c>
      <c r="U160" s="3" t="str">
        <f ca="1">IFERROR(__xludf.DUMMYFUNCTION("""COMPUTED_VALUE"""),"Patrícia Glioche")</f>
        <v>Patrícia Glioche</v>
      </c>
      <c r="V160" s="3" t="str">
        <f ca="1">IFERROR(__xludf.DUMMYFUNCTION("""COMPUTED_VALUE"""),"Não")</f>
        <v>Não</v>
      </c>
      <c r="W160" s="3" t="str">
        <f ca="1">IFERROR(__xludf.DUMMYFUNCTION("""COMPUTED_VALUE"""),"SEI-260007/042569/2023")</f>
        <v>SEI-260007/042569/2023</v>
      </c>
      <c r="X160" s="3" t="str">
        <f ca="1">IFERROR(__xludf.DUMMYFUNCTION("""COMPUTED_VALUE"""),"3-  Concluso p/ Indiciação")</f>
        <v>3-  Concluso p/ Indiciação</v>
      </c>
    </row>
    <row r="161" spans="1:24" x14ac:dyDescent="0.2">
      <c r="A161" s="3" t="str">
        <f ca="1">IFERROR(__xludf.DUMMYFUNCTION("""COMPUTED_VALUE"""),"373/2022")</f>
        <v>373/2022</v>
      </c>
      <c r="B161" s="3" t="str">
        <f ca="1">IFERROR(__xludf.DUMMYFUNCTION("""COMPUTED_VALUE"""),"SEI-260007/045197/2022")</f>
        <v>SEI-260007/045197/2022</v>
      </c>
      <c r="C161" s="3" t="str">
        <f ca="1">IFERROR(__xludf.DUMMYFUNCTION("""COMPUTED_VALUE"""),"VICTOR ALBUQUERQUE BORGES QUARESMA , 394346")</f>
        <v>VICTOR ALBUQUERQUE BORGES QUARESMA , 394346</v>
      </c>
      <c r="D161" s="3" t="str">
        <f ca="1">IFERROR(__xludf.DUMMYFUNCTION("""COMPUTED_VALUE"""),"Assédio moral/sexual/discriminação.")</f>
        <v>Assédio moral/sexual/discriminação.</v>
      </c>
      <c r="E161" s="3" t="str">
        <f ca="1">IFERROR(__xludf.DUMMYFUNCTION("""COMPUTED_VALUE"""),"Assédio moral/sexual/discriminação.")</f>
        <v>Assédio moral/sexual/discriminação.</v>
      </c>
      <c r="F161" s="3" t="str">
        <f ca="1">IFERROR(__xludf.DUMMYFUNCTION("""COMPUTED_VALUE"""),"Assédio moral/sexual/discriminação.")</f>
        <v>Assédio moral/sexual/discriminação.</v>
      </c>
      <c r="G161" s="3" t="str">
        <f ca="1">IFERROR(__xludf.DUMMYFUNCTION("""COMPUTED_VALUE"""),"Assédio moral/sexual/discriminação")</f>
        <v>Assédio moral/sexual/discriminação</v>
      </c>
      <c r="H161" s="3" t="str">
        <f ca="1">IFERROR(__xludf.DUMMYFUNCTION("""COMPUTED_VALUE""")," DENÚNCIAS DE SUPOSTO ASSÉDIO DE CUNHO MORAL E SEXUAL")</f>
        <v xml:space="preserve"> DENÚNCIAS DE SUPOSTO ASSÉDIO DE CUNHO MORAL E SEXUAL</v>
      </c>
      <c r="I161" s="3"/>
      <c r="J161" s="7">
        <f ca="1">IFERROR(__xludf.DUMMYFUNCTION("""COMPUTED_VALUE"""),44851)</f>
        <v>44851</v>
      </c>
      <c r="K161" s="5">
        <f ca="1">IFERROR(__xludf.DUMMYFUNCTION("""COMPUTED_VALUE"""),44853)</f>
        <v>44853</v>
      </c>
      <c r="L161" s="5">
        <f ca="1">IFERROR(__xludf.DUMMYFUNCTION("""COMPUTED_VALUE"""),45033)</f>
        <v>45033</v>
      </c>
      <c r="M161" s="5">
        <f ca="1">IFERROR(__xludf.DUMMYFUNCTION("""COMPUTED_VALUE"""),45034)</f>
        <v>45034</v>
      </c>
      <c r="N161" s="3" t="str">
        <f ca="1">IFERROR(__xludf.DUMMYFUNCTION("""COMPUTED_VALUE"""),"Prazo expirado")</f>
        <v>Prazo expirado</v>
      </c>
      <c r="O161" s="5">
        <f ca="1">IFERROR(__xludf.DUMMYFUNCTION("""COMPUTED_VALUE"""),45765)</f>
        <v>45765</v>
      </c>
      <c r="P161" s="3">
        <f ca="1">IFERROR(__xludf.DUMMYFUNCTION("""COMPUTED_VALUE"""),578)</f>
        <v>578</v>
      </c>
      <c r="Q161" s="5">
        <f ca="1">IFERROR(__xludf.DUMMYFUNCTION("""COMPUTED_VALUE"""),46861)</f>
        <v>46861</v>
      </c>
      <c r="R161" s="3" t="str">
        <f ca="1">IFERROR(__xludf.DUMMYFUNCTION("""COMPUTED_VALUE"""),"Vanessa Queiroz")</f>
        <v>Vanessa Queiroz</v>
      </c>
      <c r="S161" s="3" t="str">
        <f ca="1">IFERROR(__xludf.DUMMYFUNCTION("""COMPUTED_VALUE"""),"Micheline")</f>
        <v>Micheline</v>
      </c>
      <c r="T161" s="3" t="str">
        <f ca="1">IFERROR(__xludf.DUMMYFUNCTION("""COMPUTED_VALUE"""),"Karolynne Rocha")</f>
        <v>Karolynne Rocha</v>
      </c>
      <c r="U161" s="3" t="str">
        <f ca="1">IFERROR(__xludf.DUMMYFUNCTION("""COMPUTED_VALUE"""),"Marcelo Ferreira")</f>
        <v>Marcelo Ferreira</v>
      </c>
      <c r="V161" s="3" t="str">
        <f ca="1">IFERROR(__xludf.DUMMYFUNCTION("""COMPUTED_VALUE"""),"Não")</f>
        <v>Não</v>
      </c>
      <c r="W161" s="3" t="str">
        <f ca="1">IFERROR(__xludf.DUMMYFUNCTION("""COMPUTED_VALUE"""),"SEI-260007/041334/2022")</f>
        <v>SEI-260007/041334/2022</v>
      </c>
      <c r="X161" s="3" t="str">
        <f ca="1">IFERROR(__xludf.DUMMYFUNCTION("""COMPUTED_VALUE"""),"2- Instrução")</f>
        <v>2- Instrução</v>
      </c>
    </row>
    <row r="162" spans="1:24" x14ac:dyDescent="0.2">
      <c r="A162" s="3" t="str">
        <f ca="1">IFERROR(__xludf.DUMMYFUNCTION("""COMPUTED_VALUE"""),"437/2024")</f>
        <v>437/2024</v>
      </c>
      <c r="B162" s="3" t="str">
        <f ca="1">IFERROR(__xludf.DUMMYFUNCTION("""COMPUTED_VALUE"""),"SEI-260006/020608/2024")</f>
        <v>SEI-260006/020608/2024</v>
      </c>
      <c r="C162" s="3" t="str">
        <f ca="1">IFERROR(__xludf.DUMMYFUNCTION("""COMPUTED_VALUE"""),"Anderson Luiz dos Santos Ribeiro, matrícula nº 37.076-7.")</f>
        <v>Anderson Luiz dos Santos Ribeiro, matrícula nº 37.076-7.</v>
      </c>
      <c r="D162" s="3" t="str">
        <f ca="1">IFERROR(__xludf.DUMMYFUNCTION("""COMPUTED_VALUE"""),"Desvio de conduta")</f>
        <v>Desvio de conduta</v>
      </c>
      <c r="E162" s="3"/>
      <c r="F162" s="3" t="str">
        <f ca="1">IFERROR(__xludf.DUMMYFUNCTION("""COMPUTED_VALUE"""),"Ofensa física")</f>
        <v>Ofensa física</v>
      </c>
      <c r="G162" s="3" t="str">
        <f ca="1">IFERROR(__xludf.DUMMYFUNCTION("""COMPUTED_VALUE"""),"Ofensa física")</f>
        <v>Ofensa física</v>
      </c>
      <c r="H162" s="3" t="str">
        <f ca="1">IFERROR(__xludf.DUMMYFUNCTION("""COMPUTED_VALUE"""),"Ofensas físicas ao Procurador Henrique Couto da Nóbrega.")</f>
        <v>Ofensas físicas ao Procurador Henrique Couto da Nóbrega.</v>
      </c>
      <c r="I162" s="3" t="str">
        <f ca="1">IFERROR(__xludf.DUMMYFUNCTION("""COMPUTED_VALUE"""),"Registro do afastamento cautelar: 15/03/2024 a 12/06/2024 (despacho 76216466)
Podendo ser modificado conforme decisão da reitoria.
89823018 - manutenção da medida
90769741 - Publicação suspensão - finaliza somente no final do PAD 20608")</f>
        <v>Registro do afastamento cautelar: 15/03/2024 a 12/06/2024 (despacho 76216466)
Podendo ser modificado conforme decisão da reitoria.
89823018 - manutenção da medida
90769741 - Publicação suspensão - finaliza somente no final do PAD 20608</v>
      </c>
      <c r="J162" s="5">
        <f ca="1">IFERROR(__xludf.DUMMYFUNCTION("""COMPUTED_VALUE"""),45366)</f>
        <v>45366</v>
      </c>
      <c r="K162" s="5">
        <f ca="1">IFERROR(__xludf.DUMMYFUNCTION("""COMPUTED_VALUE"""),45397)</f>
        <v>45397</v>
      </c>
      <c r="L162" s="5">
        <f ca="1">IFERROR(__xludf.DUMMYFUNCTION("""COMPUTED_VALUE"""),45577)</f>
        <v>45577</v>
      </c>
      <c r="M162" s="5">
        <f ca="1">IFERROR(__xludf.DUMMYFUNCTION("""COMPUTED_VALUE"""),45578)</f>
        <v>45578</v>
      </c>
      <c r="N162" s="3">
        <f ca="1">IFERROR(__xludf.DUMMYFUNCTION("""COMPUTED_VALUE"""),25)</f>
        <v>25</v>
      </c>
      <c r="O162" s="5">
        <f ca="1">IFERROR(__xludf.DUMMYFUNCTION("""COMPUTED_VALUE"""),46308)</f>
        <v>46308</v>
      </c>
      <c r="P162" s="3">
        <f ca="1">IFERROR(__xludf.DUMMYFUNCTION("""COMPUTED_VALUE"""),1121)</f>
        <v>1121</v>
      </c>
      <c r="Q162" s="5">
        <f ca="1">IFERROR(__xludf.DUMMYFUNCTION("""COMPUTED_VALUE"""),47404)</f>
        <v>47404</v>
      </c>
      <c r="R162" s="3" t="str">
        <f ca="1">IFERROR(__xludf.DUMMYFUNCTION("""COMPUTED_VALUE"""),"Patrícia Glioche")</f>
        <v>Patrícia Glioche</v>
      </c>
      <c r="S162" s="3" t="str">
        <f ca="1">IFERROR(__xludf.DUMMYFUNCTION("""COMPUTED_VALUE"""),"Patrícia")</f>
        <v>Patrícia</v>
      </c>
      <c r="T162" s="3" t="str">
        <f ca="1">IFERROR(__xludf.DUMMYFUNCTION("""COMPUTED_VALUE"""),"Jeanny Passigatte")</f>
        <v>Jeanny Passigatte</v>
      </c>
      <c r="U162" s="3" t="str">
        <f ca="1">IFERROR(__xludf.DUMMYFUNCTION("""COMPUTED_VALUE"""),"Celso Luiz Pieroni")</f>
        <v>Celso Luiz Pieroni</v>
      </c>
      <c r="V162" s="3" t="str">
        <f ca="1">IFERROR(__xludf.DUMMYFUNCTION("""COMPUTED_VALUE"""),"Não")</f>
        <v>Não</v>
      </c>
      <c r="W162" s="3" t="str">
        <f ca="1">IFERROR(__xludf.DUMMYFUNCTION("""COMPUTED_VALUE"""),"SEI-260006/009037/2024")</f>
        <v>SEI-260006/009037/2024</v>
      </c>
      <c r="X162" s="3" t="str">
        <f ca="1">IFERROR(__xludf.DUMMYFUNCTION("""COMPUTED_VALUE"""),"2- Instrução")</f>
        <v>2- Instrução</v>
      </c>
    </row>
    <row r="163" spans="1:24" x14ac:dyDescent="0.2">
      <c r="A163" s="3" t="str">
        <f ca="1">IFERROR(__xludf.DUMMYFUNCTION("""COMPUTED_VALUE"""),"438/2024")</f>
        <v>438/2024</v>
      </c>
      <c r="B163" s="3" t="str">
        <f ca="1">IFERROR(__xludf.DUMMYFUNCTION("""COMPUTED_VALUE"""),"SEI-260006/016885/2024")</f>
        <v>SEI-260006/016885/2024</v>
      </c>
      <c r="C163" s="3" t="str">
        <f ca="1">IFERROR(__xludf.DUMMYFUNCTION("""COMPUTED_VALUE"""),"Marcia Cristina dos Santos Lessa, matrícula nº 36992-6.")</f>
        <v>Marcia Cristina dos Santos Lessa, matrícula nº 36992-6.</v>
      </c>
      <c r="D163" s="3" t="str">
        <f ca="1">IFERROR(__xludf.DUMMYFUNCTION("""COMPUTED_VALUE"""),"Assédio moral/sexual/discriminação.")</f>
        <v>Assédio moral/sexual/discriminação.</v>
      </c>
      <c r="E163" s="3" t="str">
        <f ca="1">IFERROR(__xludf.DUMMYFUNCTION("""COMPUTED_VALUE"""),"Assédio/conduta escandalosa")</f>
        <v>Assédio/conduta escandalosa</v>
      </c>
      <c r="F163" s="3" t="str">
        <f ca="1">IFERROR(__xludf.DUMMYFUNCTION("""COMPUTED_VALUE"""),"Incontinência pública e escandalosa.")</f>
        <v>Incontinência pública e escandalosa.</v>
      </c>
      <c r="G163" s="3" t="str">
        <f ca="1">IFERROR(__xludf.DUMMYFUNCTION("""COMPUTED_VALUE"""),"Incontinência pública e escandalosa")</f>
        <v>Incontinência pública e escandalosa</v>
      </c>
      <c r="H163" s="3" t="str">
        <f ca="1">IFERROR(__xludf.DUMMYFUNCTION("""COMPUTED_VALUE"""),"Considerando a condenação por crime de estupro contra menor de idade, e a existência de fortes indícios da prática da infração disciplinar de incontinência pública e escandalosa, nos termos dos artigos 44 e 52, II do DL 220/75, a ensejar a penalidade de d"&amp;"emissão;")</f>
        <v>Considerando a condenação por crime de estupro contra menor de idade, e a existência de fortes indícios da prática da infração disciplinar de incontinência pública e escandalosa, nos termos dos artigos 44 e 52, II do DL 220/75, a ensejar a penalidade de demissão;</v>
      </c>
      <c r="I163" s="3"/>
      <c r="J163" s="5">
        <f ca="1">IFERROR(__xludf.DUMMYFUNCTION("""COMPUTED_VALUE"""),45359)</f>
        <v>45359</v>
      </c>
      <c r="K163" s="5">
        <f ca="1">IFERROR(__xludf.DUMMYFUNCTION("""COMPUTED_VALUE"""),45398)</f>
        <v>45398</v>
      </c>
      <c r="L163" s="5">
        <f ca="1">IFERROR(__xludf.DUMMYFUNCTION("""COMPUTED_VALUE"""),45578)</f>
        <v>45578</v>
      </c>
      <c r="M163" s="5">
        <f ca="1">IFERROR(__xludf.DUMMYFUNCTION("""COMPUTED_VALUE"""),45579)</f>
        <v>45579</v>
      </c>
      <c r="N163" s="3">
        <f ca="1">IFERROR(__xludf.DUMMYFUNCTION("""COMPUTED_VALUE"""),26)</f>
        <v>26</v>
      </c>
      <c r="O163" s="5">
        <f ca="1">IFERROR(__xludf.DUMMYFUNCTION("""COMPUTED_VALUE"""),46309)</f>
        <v>46309</v>
      </c>
      <c r="P163" s="3">
        <f ca="1">IFERROR(__xludf.DUMMYFUNCTION("""COMPUTED_VALUE"""),1122)</f>
        <v>1122</v>
      </c>
      <c r="Q163" s="5">
        <f ca="1">IFERROR(__xludf.DUMMYFUNCTION("""COMPUTED_VALUE"""),47405)</f>
        <v>47405</v>
      </c>
      <c r="R163" s="3" t="str">
        <f ca="1">IFERROR(__xludf.DUMMYFUNCTION("""COMPUTED_VALUE"""),"Thaís Muci")</f>
        <v>Thaís Muci</v>
      </c>
      <c r="S163" s="3" t="str">
        <f ca="1">IFERROR(__xludf.DUMMYFUNCTION("""COMPUTED_VALUE"""),"Débora")</f>
        <v>Débora</v>
      </c>
      <c r="T163" s="3" t="str">
        <f ca="1">IFERROR(__xludf.DUMMYFUNCTION("""COMPUTED_VALUE"""),"Karolynne Rocha")</f>
        <v>Karolynne Rocha</v>
      </c>
      <c r="U163" s="3" t="str">
        <f ca="1">IFERROR(__xludf.DUMMYFUNCTION("""COMPUTED_VALUE"""),"Jeanny Passigatte")</f>
        <v>Jeanny Passigatte</v>
      </c>
      <c r="V163" s="3" t="str">
        <f ca="1">IFERROR(__xludf.DUMMYFUNCTION("""COMPUTED_VALUE"""),"Débora da Silva Antônio")</f>
        <v>Débora da Silva Antônio</v>
      </c>
      <c r="W163" s="3" t="str">
        <f ca="1">IFERROR(__xludf.DUMMYFUNCTION("""COMPUTED_VALUE"""),"E-26/007/7717/2019 ")</f>
        <v xml:space="preserve">E-26/007/7717/2019 </v>
      </c>
      <c r="X163" s="3" t="str">
        <f ca="1">IFERROR(__xludf.DUMMYFUNCTION("""COMPUTED_VALUE"""),"2- Instrução")</f>
        <v>2- Instrução</v>
      </c>
    </row>
    <row r="164" spans="1:24" x14ac:dyDescent="0.2">
      <c r="A164" s="3" t="str">
        <f ca="1">IFERROR(__xludf.DUMMYFUNCTION("""COMPUTED_VALUE"""),"402/2023")</f>
        <v>402/2023</v>
      </c>
      <c r="B164" s="3" t="str">
        <f ca="1">IFERROR(__xludf.DUMMYFUNCTION("""COMPUTED_VALUE"""),"Apensado ao SEI-260007/029121/2023 - Inqto 402/2023")</f>
        <v>Apensado ao SEI-260007/029121/2023 - Inqto 402/2023</v>
      </c>
      <c r="C164" s="3" t="str">
        <f ca="1">IFERROR(__xludf.DUMMYFUNCTION("""COMPUTED_VALUE"""),"Renato Eduardo Ventura Freitas, matrícula nº 34.445-7")</f>
        <v>Renato Eduardo Ventura Freitas, matrícula nº 34.445-7</v>
      </c>
      <c r="D164" s="3" t="str">
        <f ca="1">IFERROR(__xludf.DUMMYFUNCTION("""COMPUTED_VALUE"""),"Desvio de conduta")</f>
        <v>Desvio de conduta</v>
      </c>
      <c r="E164" s="3" t="str">
        <f ca="1">IFERROR(__xludf.DUMMYFUNCTION("""COMPUTED_VALUE"""),"Desvio de conduta")</f>
        <v>Desvio de conduta</v>
      </c>
      <c r="F164" s="3" t="str">
        <f ca="1">IFERROR(__xludf.DUMMYFUNCTION("""COMPUTED_VALUE"""),"Outros.")</f>
        <v>Outros.</v>
      </c>
      <c r="G164" s="3" t="str">
        <f ca="1">IFERROR(__xludf.DUMMYFUNCTION("""COMPUTED_VALUE"""),"Outros")</f>
        <v>Outros</v>
      </c>
      <c r="H164" s="3" t="str">
        <f ca="1">IFERROR(__xludf.DUMMYFUNCTION("""COMPUTED_VALUE"""),"PROCESSO Nº SEI-260007/023774/2021 - ACOLHO o parecer 40 da PGUERJ-6 e as Manifestações 1471 e 1018 da PGUERJGAB. DETERMINO a instauração de processo administrativo disciplinar em face do servidor RENATO EDUARDO VENTURA FREITAS, matrícula nº 34445-7")</f>
        <v>PROCESSO Nº SEI-260007/023774/2021 - ACOLHO o parecer 40 da PGUERJ-6 e as Manifestações 1471 e 1018 da PGUERJGAB. DETERMINO a instauração de processo administrativo disciplinar em face do servidor RENATO EDUARDO VENTURA FREITAS, matrícula nº 34445-7</v>
      </c>
      <c r="I164" s="3"/>
      <c r="J164" s="5">
        <f ca="1">IFERROR(__xludf.DUMMYFUNCTION("""COMPUTED_VALUE"""),45156)</f>
        <v>45156</v>
      </c>
      <c r="K164" s="5">
        <f ca="1">IFERROR(__xludf.DUMMYFUNCTION("""COMPUTED_VALUE"""),45215)</f>
        <v>45215</v>
      </c>
      <c r="L164" s="5">
        <f ca="1">IFERROR(__xludf.DUMMYFUNCTION("""COMPUTED_VALUE"""),45395)</f>
        <v>45395</v>
      </c>
      <c r="M164" s="5">
        <f ca="1">IFERROR(__xludf.DUMMYFUNCTION("""COMPUTED_VALUE"""),45396)</f>
        <v>45396</v>
      </c>
      <c r="N164" s="3" t="str">
        <f ca="1">IFERROR(__xludf.DUMMYFUNCTION("""COMPUTED_VALUE"""),"Prazo expirado")</f>
        <v>Prazo expirado</v>
      </c>
      <c r="O164" s="5">
        <f ca="1">IFERROR(__xludf.DUMMYFUNCTION("""COMPUTED_VALUE"""),46126)</f>
        <v>46126</v>
      </c>
      <c r="P164" s="3">
        <f ca="1">IFERROR(__xludf.DUMMYFUNCTION("""COMPUTED_VALUE"""),939)</f>
        <v>939</v>
      </c>
      <c r="Q164" s="5">
        <f ca="1">IFERROR(__xludf.DUMMYFUNCTION("""COMPUTED_VALUE"""),47222)</f>
        <v>47222</v>
      </c>
      <c r="R164" s="3" t="str">
        <f ca="1">IFERROR(__xludf.DUMMYFUNCTION("""COMPUTED_VALUE"""),"Vanessa Queiroz")</f>
        <v>Vanessa Queiroz</v>
      </c>
      <c r="S164" s="3"/>
      <c r="T164" s="3" t="str">
        <f ca="1">IFERROR(__xludf.DUMMYFUNCTION("""COMPUTED_VALUE"""),"Celso Luiz Pieroni")</f>
        <v>Celso Luiz Pieroni</v>
      </c>
      <c r="U164" s="3" t="str">
        <f ca="1">IFERROR(__xludf.DUMMYFUNCTION("""COMPUTED_VALUE"""),"Jeanny Passigatte")</f>
        <v>Jeanny Passigatte</v>
      </c>
      <c r="V164" s="3"/>
      <c r="W164" s="3" t="str">
        <f ca="1">IFERROR(__xludf.DUMMYFUNCTION("""COMPUTED_VALUE"""),"SEI-260007/023774/2021")</f>
        <v>SEI-260007/023774/2021</v>
      </c>
      <c r="X164" s="3" t="str">
        <f ca="1">IFERROR(__xludf.DUMMYFUNCTION("""COMPUTED_VALUE"""),"Apensado em outro PAD")</f>
        <v>Apensado em outro PAD</v>
      </c>
    </row>
    <row r="165" spans="1:24" x14ac:dyDescent="0.2">
      <c r="A165" s="3" t="str">
        <f ca="1">IFERROR(__xludf.DUMMYFUNCTION("""COMPUTED_VALUE"""),"441/2024")</f>
        <v>441/2024</v>
      </c>
      <c r="B165" s="3" t="str">
        <f ca="1">IFERROR(__xludf.DUMMYFUNCTION("""COMPUTED_VALUE"""),"SEI-260006/017752/2024")</f>
        <v>SEI-260006/017752/2024</v>
      </c>
      <c r="C165" s="3" t="str">
        <f ca="1">IFERROR(__xludf.DUMMYFUNCTION("""COMPUTED_VALUE"""),"Micael Rosa Silva, matrícula nº 41.347-6")</f>
        <v>Micael Rosa Silva, matrícula nº 41.347-6</v>
      </c>
      <c r="D165" s="3" t="str">
        <f ca="1">IFERROR(__xludf.DUMMYFUNCTION("""COMPUTED_VALUE"""),"Acumulação Ilegal")</f>
        <v>Acumulação Ilegal</v>
      </c>
      <c r="E165" s="3"/>
      <c r="F165" s="3" t="str">
        <f ca="1">IFERROR(__xludf.DUMMYFUNCTION("""COMPUTED_VALUE"""),"Acumulação de cargos.")</f>
        <v>Acumulação de cargos.</v>
      </c>
      <c r="G165" s="3" t="str">
        <f ca="1">IFERROR(__xludf.DUMMYFUNCTION("""COMPUTED_VALUE"""),"Acumulação de cargos")</f>
        <v>Acumulação de cargos</v>
      </c>
      <c r="H165" s="3" t="str">
        <f ca="1">IFERROR(__xludf.DUMMYFUNCTION("""COMPUTED_VALUE"""),"Exerce um cargo na UERJ de 40 horas semanais, desde 23/01/2023, e um cargo de Professor no Instituto Federal do Paraná, de 40 horas semanais em regime de dedicação exclusiva (não informado), desde 04/07/2022.")</f>
        <v>Exerce um cargo na UERJ de 40 horas semanais, desde 23/01/2023, e um cargo de Professor no Instituto Federal do Paraná, de 40 horas semanais em regime de dedicação exclusiva (não informado), desde 04/07/2022.</v>
      </c>
      <c r="I165" s="3"/>
      <c r="J165" s="5">
        <f ca="1">IFERROR(__xludf.DUMMYFUNCTION("""COMPUTED_VALUE"""),45391)</f>
        <v>45391</v>
      </c>
      <c r="K165" s="5">
        <f ca="1">IFERROR(__xludf.DUMMYFUNCTION("""COMPUTED_VALUE"""),45406)</f>
        <v>45406</v>
      </c>
      <c r="L165" s="5">
        <f ca="1">IFERROR(__xludf.DUMMYFUNCTION("""COMPUTED_VALUE"""),45586)</f>
        <v>45586</v>
      </c>
      <c r="M165" s="5">
        <f ca="1">IFERROR(__xludf.DUMMYFUNCTION("""COMPUTED_VALUE"""),45587)</f>
        <v>45587</v>
      </c>
      <c r="N165" s="3">
        <f ca="1">IFERROR(__xludf.DUMMYFUNCTION("""COMPUTED_VALUE"""),34)</f>
        <v>34</v>
      </c>
      <c r="O165" s="5">
        <f ca="1">IFERROR(__xludf.DUMMYFUNCTION("""COMPUTED_VALUE"""),46317)</f>
        <v>46317</v>
      </c>
      <c r="P165" s="3">
        <f ca="1">IFERROR(__xludf.DUMMYFUNCTION("""COMPUTED_VALUE"""),1130)</f>
        <v>1130</v>
      </c>
      <c r="Q165" s="5">
        <f ca="1">IFERROR(__xludf.DUMMYFUNCTION("""COMPUTED_VALUE"""),47413)</f>
        <v>47413</v>
      </c>
      <c r="R165" s="3" t="str">
        <f ca="1">IFERROR(__xludf.DUMMYFUNCTION("""COMPUTED_VALUE"""),"Thaís Muci")</f>
        <v>Thaís Muci</v>
      </c>
      <c r="S165" s="3" t="str">
        <f ca="1">IFERROR(__xludf.DUMMYFUNCTION("""COMPUTED_VALUE"""),"Franciane")</f>
        <v>Franciane</v>
      </c>
      <c r="T165" s="3" t="str">
        <f ca="1">IFERROR(__xludf.DUMMYFUNCTION("""COMPUTED_VALUE"""),"Jeanny Passigatte")</f>
        <v>Jeanny Passigatte</v>
      </c>
      <c r="U165" s="3" t="str">
        <f ca="1">IFERROR(__xludf.DUMMYFUNCTION("""COMPUTED_VALUE"""),"Patrícia Glioche")</f>
        <v>Patrícia Glioche</v>
      </c>
      <c r="V165" s="3" t="str">
        <f ca="1">IFERROR(__xludf.DUMMYFUNCTION("""COMPUTED_VALUE"""),"Não")</f>
        <v>Não</v>
      </c>
      <c r="W165" s="3" t="str">
        <f ca="1">IFERROR(__xludf.DUMMYFUNCTION("""COMPUTED_VALUE"""),"SEI-260007/041370/2023")</f>
        <v>SEI-260007/041370/2023</v>
      </c>
      <c r="X165" s="3" t="str">
        <f ca="1">IFERROR(__xludf.DUMMYFUNCTION("""COMPUTED_VALUE"""),"3-  Concluso p/ Indiciação")</f>
        <v>3-  Concluso p/ Indiciação</v>
      </c>
    </row>
    <row r="166" spans="1:24" x14ac:dyDescent="0.2">
      <c r="A166" s="3" t="str">
        <f ca="1">IFERROR(__xludf.DUMMYFUNCTION("""COMPUTED_VALUE"""),"442/2024")</f>
        <v>442/2024</v>
      </c>
      <c r="B166" s="3" t="str">
        <f ca="1">IFERROR(__xludf.DUMMYFUNCTION("""COMPUTED_VALUE"""),"SEI-260006/020638/2024")</f>
        <v>SEI-260006/020638/2024</v>
      </c>
      <c r="C166" s="3" t="str">
        <f ca="1">IFERROR(__xludf.DUMMYFUNCTION("""COMPUTED_VALUE"""),"Marcelo Ernandez Macedo, 328070")</f>
        <v>Marcelo Ernandez Macedo, 328070</v>
      </c>
      <c r="D166" s="3" t="str">
        <f ca="1">IFERROR(__xludf.DUMMYFUNCTION("""COMPUTED_VALUE"""),"Desvio de conduta")</f>
        <v>Desvio de conduta</v>
      </c>
      <c r="E166" s="3"/>
      <c r="F166" s="3" t="str">
        <f ca="1">IFERROR(__xludf.DUMMYFUNCTION("""COMPUTED_VALUE"""),"Outros.")</f>
        <v>Outros.</v>
      </c>
      <c r="G166" s="3" t="str">
        <f ca="1">IFERROR(__xludf.DUMMYFUNCTION("""COMPUTED_VALUE"""),"Incontinência pública e escandalosa, Assédio moral/sexual/discriminação, Outros")</f>
        <v>Incontinência pública e escandalosa, Assédio moral/sexual/discriminação, Outros</v>
      </c>
      <c r="H166" s="3" t="str">
        <f ca="1">IFERROR(__xludf.DUMMYFUNCTION("""COMPUTED_VALUE"""),"Violação dos deveres de urbanidade, boa conduta e observância das normas legais e regulamentares, e incontinência pública e escandalosa e prática de assédio moral ")</f>
        <v xml:space="preserve">Violação dos deveres de urbanidade, boa conduta e observância das normas legais e regulamentares, e incontinência pública e escandalosa e prática de assédio moral </v>
      </c>
      <c r="I166" s="3"/>
      <c r="J166" s="5">
        <f ca="1">IFERROR(__xludf.DUMMYFUNCTION("""COMPUTED_VALUE"""),45422)</f>
        <v>45422</v>
      </c>
      <c r="K166" s="5">
        <f ca="1">IFERROR(__xludf.DUMMYFUNCTION("""COMPUTED_VALUE"""),45426)</f>
        <v>45426</v>
      </c>
      <c r="L166" s="5">
        <f ca="1">IFERROR(__xludf.DUMMYFUNCTION("""COMPUTED_VALUE"""),45606)</f>
        <v>45606</v>
      </c>
      <c r="M166" s="5">
        <f ca="1">IFERROR(__xludf.DUMMYFUNCTION("""COMPUTED_VALUE"""),45607)</f>
        <v>45607</v>
      </c>
      <c r="N166" s="3">
        <f ca="1">IFERROR(__xludf.DUMMYFUNCTION("""COMPUTED_VALUE"""),54)</f>
        <v>54</v>
      </c>
      <c r="O166" s="5">
        <f ca="1">IFERROR(__xludf.DUMMYFUNCTION("""COMPUTED_VALUE"""),46337)</f>
        <v>46337</v>
      </c>
      <c r="P166" s="3">
        <f ca="1">IFERROR(__xludf.DUMMYFUNCTION("""COMPUTED_VALUE"""),1150)</f>
        <v>1150</v>
      </c>
      <c r="Q166" s="5">
        <f ca="1">IFERROR(__xludf.DUMMYFUNCTION("""COMPUTED_VALUE"""),47433)</f>
        <v>47433</v>
      </c>
      <c r="R166" s="3" t="str">
        <f ca="1">IFERROR(__xludf.DUMMYFUNCTION("""COMPUTED_VALUE"""),"Marcelo Bento")</f>
        <v>Marcelo Bento</v>
      </c>
      <c r="S166" s="3" t="str">
        <f ca="1">IFERROR(__xludf.DUMMYFUNCTION("""COMPUTED_VALUE"""),"Patrícia")</f>
        <v>Patrícia</v>
      </c>
      <c r="T166" s="3" t="str">
        <f ca="1">IFERROR(__xludf.DUMMYFUNCTION("""COMPUTED_VALUE"""),"Hannah Oliveira")</f>
        <v>Hannah Oliveira</v>
      </c>
      <c r="U166" s="3" t="str">
        <f ca="1">IFERROR(__xludf.DUMMYFUNCTION("""COMPUTED_VALUE"""),"Patrícia Glioche")</f>
        <v>Patrícia Glioche</v>
      </c>
      <c r="V166" s="3" t="str">
        <f ca="1">IFERROR(__xludf.DUMMYFUNCTION("""COMPUTED_VALUE"""),"Não")</f>
        <v>Não</v>
      </c>
      <c r="W166" s="3" t="str">
        <f ca="1">IFERROR(__xludf.DUMMYFUNCTION("""COMPUTED_VALUE"""),"SEI-260007/061226/2023")</f>
        <v>SEI-260007/061226/2023</v>
      </c>
      <c r="X166" s="3" t="str">
        <f ca="1">IFERROR(__xludf.DUMMYFUNCTION("""COMPUTED_VALUE"""),"2- Instrução")</f>
        <v>2- Instrução</v>
      </c>
    </row>
    <row r="167" spans="1:24" x14ac:dyDescent="0.2">
      <c r="A167" s="3" t="str">
        <f ca="1">IFERROR(__xludf.DUMMYFUNCTION("""COMPUTED_VALUE"""),"403/2023")</f>
        <v>403/2023</v>
      </c>
      <c r="B167" s="3" t="str">
        <f ca="1">IFERROR(__xludf.DUMMYFUNCTION("""COMPUTED_VALUE"""),"SEI-260007/029712/2023")</f>
        <v>SEI-260007/029712/2023</v>
      </c>
      <c r="C167" s="3" t="str">
        <f ca="1">IFERROR(__xludf.DUMMYFUNCTION("""COMPUTED_VALUE"""),"Ivonne Fernandes Tempone, matrícula 4.251-5")</f>
        <v>Ivonne Fernandes Tempone, matrícula 4.251-5</v>
      </c>
      <c r="D167" s="3" t="str">
        <f ca="1">IFERROR(__xludf.DUMMYFUNCTION("""COMPUTED_VALUE"""),"Desvio de conduta")</f>
        <v>Desvio de conduta</v>
      </c>
      <c r="E167" s="3" t="str">
        <f ca="1">IFERROR(__xludf.DUMMYFUNCTION("""COMPUTED_VALUE"""),"Desvio de conduta")</f>
        <v>Desvio de conduta</v>
      </c>
      <c r="F167" s="3" t="str">
        <f ca="1">IFERROR(__xludf.DUMMYFUNCTION("""COMPUTED_VALUE"""),"Acumulação de cargos.")</f>
        <v>Acumulação de cargos.</v>
      </c>
      <c r="G167" s="3" t="str">
        <f ca="1">IFERROR(__xludf.DUMMYFUNCTION("""COMPUTED_VALUE"""),"Acumulação de cargos")</f>
        <v>Acumulação de cargos</v>
      </c>
      <c r="H167" s="3" t="str">
        <f ca="1">IFERROR(__xludf.DUMMYFUNCTION("""COMPUTED_VALUE"""),"Acumulação tríplice de proventos de aposentadoria
SUSPENSO POR DECISÃO JUDICIAL")</f>
        <v>Acumulação tríplice de proventos de aposentadoria
SUSPENSO POR DECISÃO JUDICIAL</v>
      </c>
      <c r="I167" s="3" t="str">
        <f ca="1">IFERROR(__xludf.DUMMYFUNCTION("""COMPUTED_VALUE"""),"SIM 0817652-93.2023.8.19.0031")</f>
        <v>SIM 0817652-93.2023.8.19.0031</v>
      </c>
      <c r="J167" s="5">
        <f ca="1">IFERROR(__xludf.DUMMYFUNCTION("""COMPUTED_VALUE"""),44965)</f>
        <v>44965</v>
      </c>
      <c r="K167" s="5">
        <f ca="1">IFERROR(__xludf.DUMMYFUNCTION("""COMPUTED_VALUE"""),44994)</f>
        <v>44994</v>
      </c>
      <c r="L167" s="5">
        <f ca="1">IFERROR(__xludf.DUMMYFUNCTION("""COMPUTED_VALUE"""),45174)</f>
        <v>45174</v>
      </c>
      <c r="M167" s="5">
        <f ca="1">IFERROR(__xludf.DUMMYFUNCTION("""COMPUTED_VALUE"""),45175)</f>
        <v>45175</v>
      </c>
      <c r="N167" s="3" t="str">
        <f ca="1">IFERROR(__xludf.DUMMYFUNCTION("""COMPUTED_VALUE"""),"Prazo expirado")</f>
        <v>Prazo expirado</v>
      </c>
      <c r="O167" s="5">
        <f ca="1">IFERROR(__xludf.DUMMYFUNCTION("""COMPUTED_VALUE"""),45906)</f>
        <v>45906</v>
      </c>
      <c r="P167" s="3">
        <f ca="1">IFERROR(__xludf.DUMMYFUNCTION("""COMPUTED_VALUE"""),719)</f>
        <v>719</v>
      </c>
      <c r="Q167" s="5">
        <f ca="1">IFERROR(__xludf.DUMMYFUNCTION("""COMPUTED_VALUE"""),47002)</f>
        <v>47002</v>
      </c>
      <c r="R167" s="3" t="str">
        <f ca="1">IFERROR(__xludf.DUMMYFUNCTION("""COMPUTED_VALUE"""),"Vanessa Queiroz")</f>
        <v>Vanessa Queiroz</v>
      </c>
      <c r="S167" s="3" t="str">
        <f ca="1">IFERROR(__xludf.DUMMYFUNCTION("""COMPUTED_VALUE"""),"Débora")</f>
        <v>Débora</v>
      </c>
      <c r="T167" s="3" t="str">
        <f ca="1">IFERROR(__xludf.DUMMYFUNCTION("""COMPUTED_VALUE"""),"Alessandra Abelheira")</f>
        <v>Alessandra Abelheira</v>
      </c>
      <c r="U167" s="3" t="str">
        <f ca="1">IFERROR(__xludf.DUMMYFUNCTION("""COMPUTED_VALUE"""),"Patrícia Glioche")</f>
        <v>Patrícia Glioche</v>
      </c>
      <c r="V167" s="3" t="str">
        <f ca="1">IFERROR(__xludf.DUMMYFUNCTION("""COMPUTED_VALUE"""),"Não")</f>
        <v>Não</v>
      </c>
      <c r="W167" s="3" t="str">
        <f ca="1">IFERROR(__xludf.DUMMYFUNCTION("""COMPUTED_VALUE"""),"SEI-260007/002904/2021")</f>
        <v>SEI-260007/002904/2021</v>
      </c>
      <c r="X167" s="3" t="str">
        <f ca="1">IFERROR(__xludf.DUMMYFUNCTION("""COMPUTED_VALUE"""),"SUSPENSO")</f>
        <v>SUSPENSO</v>
      </c>
    </row>
    <row r="168" spans="1:24" x14ac:dyDescent="0.2">
      <c r="A168" s="3" t="str">
        <f ca="1">IFERROR(__xludf.DUMMYFUNCTION("""COMPUTED_VALUE"""),"448/2024")</f>
        <v>448/2024</v>
      </c>
      <c r="B168" s="3" t="str">
        <f ca="1">IFERROR(__xludf.DUMMYFUNCTION("""COMPUTED_VALUE"""),"SEI-260006/031398/2024")</f>
        <v>SEI-260006/031398/2024</v>
      </c>
      <c r="C168" s="3" t="str">
        <f ca="1">IFERROR(__xludf.DUMMYFUNCTION("""COMPUTED_VALUE"""),"Raphael Javert Garrido Teixeira Abreu, 42105-7.")</f>
        <v>Raphael Javert Garrido Teixeira Abreu, 42105-7.</v>
      </c>
      <c r="D168" s="3" t="str">
        <f ca="1">IFERROR(__xludf.DUMMYFUNCTION("""COMPUTED_VALUE"""),"Abandono do Cargo")</f>
        <v>Abandono do Cargo</v>
      </c>
      <c r="E168" s="3"/>
      <c r="F168" s="3" t="str">
        <f ca="1">IFERROR(__xludf.DUMMYFUNCTION("""COMPUTED_VALUE"""),"Abandono de cargo/ Inassiduidade habitual.")</f>
        <v>Abandono de cargo/ Inassiduidade habitual.</v>
      </c>
      <c r="G168" s="3" t="str">
        <f ca="1">IFERROR(__xludf.DUMMYFUNCTION("""COMPUTED_VALUE"""),"Abandono de cargo/ Inassiduidade habitual")</f>
        <v>Abandono de cargo/ Inassiduidade habitual</v>
      </c>
      <c r="H168" s="3" t="str">
        <f ca="1">IFERROR(__xludf.DUMMYFUNCTION("""COMPUTED_VALUE"""),"Faltas injustificadas do servidor em estágio probatório no período: 01/11/2023, 10/11/2023, 22/11/2023, 01/12/2023, 13/12/2023, 15/12/2023, 03/01/2024, 05/01/2024, 16/01/2024 a 17/01/2024, 01/02/2024, 16/02/2024, 22/02/2024, 29/02/2024, 01/03/2024 a 31/05"&amp;"/2024.")</f>
        <v>Faltas injustificadas do servidor em estágio probatório no período: 01/11/2023, 10/11/2023, 22/11/2023, 01/12/2023, 13/12/2023, 15/12/2023, 03/01/2024, 05/01/2024, 16/01/2024 a 17/01/2024, 01/02/2024, 16/02/2024, 22/02/2024, 29/02/2024, 01/03/2024 a 31/05/2024.</v>
      </c>
      <c r="I168" s="3"/>
      <c r="J168" s="5">
        <f ca="1">IFERROR(__xludf.DUMMYFUNCTION("""COMPUTED_VALUE"""),45476)</f>
        <v>45476</v>
      </c>
      <c r="K168" s="5">
        <f ca="1">IFERROR(__xludf.DUMMYFUNCTION("""COMPUTED_VALUE"""),45485)</f>
        <v>45485</v>
      </c>
      <c r="L168" s="5">
        <f ca="1">IFERROR(__xludf.DUMMYFUNCTION("""COMPUTED_VALUE"""),45665)</f>
        <v>45665</v>
      </c>
      <c r="M168" s="5">
        <f ca="1">IFERROR(__xludf.DUMMYFUNCTION("""COMPUTED_VALUE"""),45666)</f>
        <v>45666</v>
      </c>
      <c r="N168" s="3">
        <f ca="1">IFERROR(__xludf.DUMMYFUNCTION("""COMPUTED_VALUE"""),113)</f>
        <v>113</v>
      </c>
      <c r="O168" s="5">
        <f ca="1">IFERROR(__xludf.DUMMYFUNCTION("""COMPUTED_VALUE"""),46396)</f>
        <v>46396</v>
      </c>
      <c r="P168" s="3">
        <f ca="1">IFERROR(__xludf.DUMMYFUNCTION("""COMPUTED_VALUE"""),1209)</f>
        <v>1209</v>
      </c>
      <c r="Q168" s="5">
        <f ca="1">IFERROR(__xludf.DUMMYFUNCTION("""COMPUTED_VALUE"""),47492)</f>
        <v>47492</v>
      </c>
      <c r="R168" s="3" t="str">
        <f ca="1">IFERROR(__xludf.DUMMYFUNCTION("""COMPUTED_VALUE"""),"Bianca Faertes")</f>
        <v>Bianca Faertes</v>
      </c>
      <c r="S168" s="3" t="str">
        <f ca="1">IFERROR(__xludf.DUMMYFUNCTION("""COMPUTED_VALUE"""),"Micheline")</f>
        <v>Micheline</v>
      </c>
      <c r="T168" s="3" t="str">
        <f ca="1">IFERROR(__xludf.DUMMYFUNCTION("""COMPUTED_VALUE"""),"Jeanny Passigatte")</f>
        <v>Jeanny Passigatte</v>
      </c>
      <c r="U168" s="3" t="str">
        <f ca="1">IFERROR(__xludf.DUMMYFUNCTION("""COMPUTED_VALUE"""),"Hannah Oliveira")</f>
        <v>Hannah Oliveira</v>
      </c>
      <c r="V168" s="3"/>
      <c r="W168" s="3" t="str">
        <f ca="1">IFERROR(__xludf.DUMMYFUNCTION("""COMPUTED_VALUE"""),"SEI-260006/016523/2024")</f>
        <v>SEI-260006/016523/2024</v>
      </c>
      <c r="X168" s="3" t="str">
        <f ca="1">IFERROR(__xludf.DUMMYFUNCTION("""COMPUTED_VALUE"""),"2- Instrução")</f>
        <v>2- Instrução</v>
      </c>
    </row>
    <row r="169" spans="1:24" x14ac:dyDescent="0.2">
      <c r="A169" s="3" t="str">
        <f ca="1">IFERROR(__xludf.DUMMYFUNCTION("""COMPUTED_VALUE"""),"450/2024")</f>
        <v>450/2024</v>
      </c>
      <c r="B169" s="3" t="str">
        <f ca="1">IFERROR(__xludf.DUMMYFUNCTION("""COMPUTED_VALUE"""),"SEI-260006/037135/2024")</f>
        <v>SEI-260006/037135/2024</v>
      </c>
      <c r="C169" s="3" t="str">
        <f ca="1">IFERROR(__xludf.DUMMYFUNCTION("""COMPUTED_VALUE"""),"Ana Angélica Monteiro de Barros, matrícula nº 33.798-0")</f>
        <v>Ana Angélica Monteiro de Barros, matrícula nº 33.798-0</v>
      </c>
      <c r="D169" s="3" t="str">
        <f ca="1">IFERROR(__xludf.DUMMYFUNCTION("""COMPUTED_VALUE"""),"Desvio de conduta")</f>
        <v>Desvio de conduta</v>
      </c>
      <c r="E169" s="3"/>
      <c r="F169" s="3" t="str">
        <f ca="1">IFERROR(__xludf.DUMMYFUNCTION("""COMPUTED_VALUE"""),"Outros.")</f>
        <v>Outros.</v>
      </c>
      <c r="G169" s="3" t="str">
        <f ca="1">IFERROR(__xludf.DUMMYFUNCTION("""COMPUTED_VALUE"""),"Outros")</f>
        <v>Outros</v>
      </c>
      <c r="H169" s="3" t="str">
        <f ca="1">IFERROR(__xludf.DUMMYFUNCTION("""COMPUTED_VALUE"""),"indícios da prática de atos que comprometem a dignidade e o decoro da função pública, ferem a disciplina do serviço e a hierarquia, prejudicam a eficiência do serviço prestado pela Universivade e podem causar dano à própria Administração, enquadrando-se t"&amp;"ais condutas em tese, no rol de deveres e proibições previstos no Estatuto dos Funcionários Públicos Civis do Poder Executivo do Estado do Rio de Janeiro (Decreto-lei estadual no 220/1975, arts. 39, 40 e 52) e em seu regulamento (Decreto estadual no 2.479"&amp;"/1979, arts. 285, 286 e 298), além da Lei estadual nº 3.921/2002 (arts. 2o e 4o), que prevê hipóteses de configuração do assédio moral;Foi realizada a juntada de cópia do SEI-260007/065433/2023 no dia 15/08/2025.")</f>
        <v>indícios da prática de atos que comprometem a dignidade e o decoro da função pública, ferem a disciplina do serviço e a hierarquia, prejudicam a eficiência do serviço prestado pela Universivade e podem causar dano à própria Administração, enquadrando-se tais condutas em tese, no rol de deveres e proibições previstos no Estatuto dos Funcionários Públicos Civis do Poder Executivo do Estado do Rio de Janeiro (Decreto-lei estadual no 220/1975, arts. 39, 40 e 52) e em seu regulamento (Decreto estadual no 2.479/1979, arts. 285, 286 e 298), além da Lei estadual nº 3.921/2002 (arts. 2o e 4o), que prevê hipóteses de configuração do assédio moral;Foi realizada a juntada de cópia do SEI-260007/065433/2023 no dia 15/08/2025.</v>
      </c>
      <c r="I169" s="3"/>
      <c r="J169" s="5">
        <f ca="1">IFERROR(__xludf.DUMMYFUNCTION("""COMPUTED_VALUE"""),45517)</f>
        <v>45517</v>
      </c>
      <c r="K169" s="5">
        <f ca="1">IFERROR(__xludf.DUMMYFUNCTION("""COMPUTED_VALUE"""),45519)</f>
        <v>45519</v>
      </c>
      <c r="L169" s="5">
        <f ca="1">IFERROR(__xludf.DUMMYFUNCTION("""COMPUTED_VALUE"""),45699)</f>
        <v>45699</v>
      </c>
      <c r="M169" s="5">
        <f ca="1">IFERROR(__xludf.DUMMYFUNCTION("""COMPUTED_VALUE"""),45700)</f>
        <v>45700</v>
      </c>
      <c r="N169" s="3">
        <f ca="1">IFERROR(__xludf.DUMMYFUNCTION("""COMPUTED_VALUE"""),147)</f>
        <v>147</v>
      </c>
      <c r="O169" s="5">
        <f ca="1">IFERROR(__xludf.DUMMYFUNCTION("""COMPUTED_VALUE"""),46430)</f>
        <v>46430</v>
      </c>
      <c r="P169" s="3">
        <f ca="1">IFERROR(__xludf.DUMMYFUNCTION("""COMPUTED_VALUE"""),1243)</f>
        <v>1243</v>
      </c>
      <c r="Q169" s="5">
        <f ca="1">IFERROR(__xludf.DUMMYFUNCTION("""COMPUTED_VALUE"""),47526)</f>
        <v>47526</v>
      </c>
      <c r="R169" s="3" t="str">
        <f ca="1">IFERROR(__xludf.DUMMYFUNCTION("""COMPUTED_VALUE"""),"Patrícia Glioche")</f>
        <v>Patrícia Glioche</v>
      </c>
      <c r="S169" s="3" t="str">
        <f ca="1">IFERROR(__xludf.DUMMYFUNCTION("""COMPUTED_VALUE"""),"Micheline")</f>
        <v>Micheline</v>
      </c>
      <c r="T169" s="3" t="str">
        <f ca="1">IFERROR(__xludf.DUMMYFUNCTION("""COMPUTED_VALUE"""),"Jeanny Passigatte")</f>
        <v>Jeanny Passigatte</v>
      </c>
      <c r="U169" s="3" t="str">
        <f ca="1">IFERROR(__xludf.DUMMYFUNCTION("""COMPUTED_VALUE"""),"Hannah Oliveira")</f>
        <v>Hannah Oliveira</v>
      </c>
      <c r="V169" s="3"/>
      <c r="W169" s="3" t="str">
        <f ca="1">IFERROR(__xludf.DUMMYFUNCTION("""COMPUTED_VALUE"""),"SEI-260007/054660/2023")</f>
        <v>SEI-260007/054660/2023</v>
      </c>
      <c r="X169" s="3" t="str">
        <f ca="1">IFERROR(__xludf.DUMMYFUNCTION("""COMPUTED_VALUE"""),"3-  Concluso p/ Indiciação")</f>
        <v>3-  Concluso p/ Indiciação</v>
      </c>
    </row>
    <row r="170" spans="1:24" x14ac:dyDescent="0.2">
      <c r="A170" s="3" t="str">
        <f ca="1">IFERROR(__xludf.DUMMYFUNCTION("""COMPUTED_VALUE"""),"452/2024")</f>
        <v>452/2024</v>
      </c>
      <c r="B170" s="3" t="str">
        <f ca="1">IFERROR(__xludf.DUMMYFUNCTION("""COMPUTED_VALUE"""),"SEI-260006/037954/2024")</f>
        <v>SEI-260006/037954/2024</v>
      </c>
      <c r="C170" s="3" t="str">
        <f ca="1">IFERROR(__xludf.DUMMYFUNCTION("""COMPUTED_VALUE"""),"LUANA BRUNO SOARES, matr. nº 37.147-6.")</f>
        <v>LUANA BRUNO SOARES, matr. nº 37.147-6.</v>
      </c>
      <c r="D170" s="3" t="str">
        <f ca="1">IFERROR(__xludf.DUMMYFUNCTION("""COMPUTED_VALUE"""),"Abandono do Cargo")</f>
        <v>Abandono do Cargo</v>
      </c>
      <c r="E170" s="3"/>
      <c r="F170" s="3" t="str">
        <f ca="1">IFERROR(__xludf.DUMMYFUNCTION("""COMPUTED_VALUE"""),"Abandono de cargo/ Inassiduidade habitual.")</f>
        <v>Abandono de cargo/ Inassiduidade habitual.</v>
      </c>
      <c r="G170" s="3" t="str">
        <f ca="1">IFERROR(__xludf.DUMMYFUNCTION("""COMPUTED_VALUE"""),"Abandono de cargo/ Inassiduidade habitual")</f>
        <v>Abandono de cargo/ Inassiduidade habitual</v>
      </c>
      <c r="H170" s="3" t="str">
        <f ca="1">IFERROR(__xludf.DUMMYFUNCTION("""COMPUTED_VALUE"""),"faltas injustificadas no período de 03/07/2023 a 30/09/2023.")</f>
        <v>faltas injustificadas no período de 03/07/2023 a 30/09/2023.</v>
      </c>
      <c r="I170" s="3"/>
      <c r="J170" s="5">
        <f ca="1">IFERROR(__xludf.DUMMYFUNCTION("""COMPUTED_VALUE"""),45526)</f>
        <v>45526</v>
      </c>
      <c r="K170" s="5">
        <f ca="1">IFERROR(__xludf.DUMMYFUNCTION("""COMPUTED_VALUE"""),45530)</f>
        <v>45530</v>
      </c>
      <c r="L170" s="5">
        <f ca="1">IFERROR(__xludf.DUMMYFUNCTION("""COMPUTED_VALUE"""),45710)</f>
        <v>45710</v>
      </c>
      <c r="M170" s="5">
        <f ca="1">IFERROR(__xludf.DUMMYFUNCTION("""COMPUTED_VALUE"""),45711)</f>
        <v>45711</v>
      </c>
      <c r="N170" s="3">
        <f ca="1">IFERROR(__xludf.DUMMYFUNCTION("""COMPUTED_VALUE"""),158)</f>
        <v>158</v>
      </c>
      <c r="O170" s="5">
        <f ca="1">IFERROR(__xludf.DUMMYFUNCTION("""COMPUTED_VALUE"""),46441)</f>
        <v>46441</v>
      </c>
      <c r="P170" s="3">
        <f ca="1">IFERROR(__xludf.DUMMYFUNCTION("""COMPUTED_VALUE"""),1254)</f>
        <v>1254</v>
      </c>
      <c r="Q170" s="5">
        <f ca="1">IFERROR(__xludf.DUMMYFUNCTION("""COMPUTED_VALUE"""),47537)</f>
        <v>47537</v>
      </c>
      <c r="R170" s="3" t="str">
        <f ca="1">IFERROR(__xludf.DUMMYFUNCTION("""COMPUTED_VALUE"""),"Paula Assed")</f>
        <v>Paula Assed</v>
      </c>
      <c r="S170" s="3" t="str">
        <f ca="1">IFERROR(__xludf.DUMMYFUNCTION("""COMPUTED_VALUE"""),"Patrícia")</f>
        <v>Patrícia</v>
      </c>
      <c r="T170" s="3" t="str">
        <f ca="1">IFERROR(__xludf.DUMMYFUNCTION("""COMPUTED_VALUE"""),"Thaís Muci")</f>
        <v>Thaís Muci</v>
      </c>
      <c r="U170" s="3" t="str">
        <f ca="1">IFERROR(__xludf.DUMMYFUNCTION("""COMPUTED_VALUE"""),"Jeanny Passigatte")</f>
        <v>Jeanny Passigatte</v>
      </c>
      <c r="V170" s="3" t="str">
        <f ca="1">IFERROR(__xludf.DUMMYFUNCTION("""COMPUTED_VALUE"""),"Não")</f>
        <v>Não</v>
      </c>
      <c r="W170" s="3" t="str">
        <f ca="1">IFERROR(__xludf.DUMMYFUNCTION("""COMPUTED_VALUE"""),"SEI-260007/044820/2023")</f>
        <v>SEI-260007/044820/2023</v>
      </c>
      <c r="X170" s="3" t="str">
        <f ca="1">IFERROR(__xludf.DUMMYFUNCTION("""COMPUTED_VALUE"""),"3-  Concluso p/ Indiciação")</f>
        <v>3-  Concluso p/ Indiciação</v>
      </c>
    </row>
    <row r="171" spans="1:24" x14ac:dyDescent="0.2">
      <c r="A171" s="3" t="str">
        <f ca="1">IFERROR(__xludf.DUMMYFUNCTION("""COMPUTED_VALUE"""),"453/2024")</f>
        <v>453/2024</v>
      </c>
      <c r="B171" s="3" t="str">
        <f ca="1">IFERROR(__xludf.DUMMYFUNCTION("""COMPUTED_VALUE"""),"SEI-260006/041677/2024")</f>
        <v>SEI-260006/041677/2024</v>
      </c>
      <c r="C171" s="3" t="str">
        <f ca="1">IFERROR(__xludf.DUMMYFUNCTION("""COMPUTED_VALUE"""),"Monique Silva Carvalho, Matrícula 38035-2")</f>
        <v>Monique Silva Carvalho, Matrícula 38035-2</v>
      </c>
      <c r="D171" s="3" t="str">
        <f ca="1">IFERROR(__xludf.DUMMYFUNCTION("""COMPUTED_VALUE"""),"Desvio de conduta")</f>
        <v>Desvio de conduta</v>
      </c>
      <c r="E171" s="3"/>
      <c r="F171" s="3" t="str">
        <f ca="1">IFERROR(__xludf.DUMMYFUNCTION("""COMPUTED_VALUE"""),"Outros.")</f>
        <v>Outros.</v>
      </c>
      <c r="G171" s="3" t="str">
        <f ca="1">IFERROR(__xludf.DUMMYFUNCTION("""COMPUTED_VALUE"""),"Outros")</f>
        <v>Outros</v>
      </c>
      <c r="H171" s="3" t="str">
        <f ca="1">IFERROR(__xludf.DUMMYFUNCTION("""COMPUTED_VALUE"""),"urbanidade, discrição e boa conduta (artigo 39, III, IV e V do DL 220/75; ameaça de agressão (artigo 50,I do DL 220/75); embriaguez em serviço (artigo 52, III do DL 220/75).")</f>
        <v>urbanidade, discrição e boa conduta (artigo 39, III, IV e V do DL 220/75; ameaça de agressão (artigo 50,I do DL 220/75); embriaguez em serviço (artigo 52, III do DL 220/75).</v>
      </c>
      <c r="I171" s="3"/>
      <c r="J171" s="5">
        <f ca="1">IFERROR(__xludf.DUMMYFUNCTION("""COMPUTED_VALUE"""),45533)</f>
        <v>45533</v>
      </c>
      <c r="K171" s="5">
        <f ca="1">IFERROR(__xludf.DUMMYFUNCTION("""COMPUTED_VALUE"""),45537)</f>
        <v>45537</v>
      </c>
      <c r="L171" s="5">
        <f ca="1">IFERROR(__xludf.DUMMYFUNCTION("""COMPUTED_VALUE"""),45717)</f>
        <v>45717</v>
      </c>
      <c r="M171" s="5">
        <f ca="1">IFERROR(__xludf.DUMMYFUNCTION("""COMPUTED_VALUE"""),45718)</f>
        <v>45718</v>
      </c>
      <c r="N171" s="3">
        <f ca="1">IFERROR(__xludf.DUMMYFUNCTION("""COMPUTED_VALUE"""),165)</f>
        <v>165</v>
      </c>
      <c r="O171" s="5">
        <f ca="1">IFERROR(__xludf.DUMMYFUNCTION("""COMPUTED_VALUE"""),46448)</f>
        <v>46448</v>
      </c>
      <c r="P171" s="3">
        <f ca="1">IFERROR(__xludf.DUMMYFUNCTION("""COMPUTED_VALUE"""),1261)</f>
        <v>1261</v>
      </c>
      <c r="Q171" s="5">
        <f ca="1">IFERROR(__xludf.DUMMYFUNCTION("""COMPUTED_VALUE"""),47544)</f>
        <v>47544</v>
      </c>
      <c r="R171" s="3" t="str">
        <f ca="1">IFERROR(__xludf.DUMMYFUNCTION("""COMPUTED_VALUE"""),"Paula Assed")</f>
        <v>Paula Assed</v>
      </c>
      <c r="S171" s="3" t="str">
        <f ca="1">IFERROR(__xludf.DUMMYFUNCTION("""COMPUTED_VALUE"""),"Patrícia")</f>
        <v>Patrícia</v>
      </c>
      <c r="T171" s="3" t="str">
        <f ca="1">IFERROR(__xludf.DUMMYFUNCTION("""COMPUTED_VALUE"""),"Leonardo Rocha")</f>
        <v>Leonardo Rocha</v>
      </c>
      <c r="U171" s="3" t="str">
        <f ca="1">IFERROR(__xludf.DUMMYFUNCTION("""COMPUTED_VALUE"""),"Hannah Oliveira")</f>
        <v>Hannah Oliveira</v>
      </c>
      <c r="V171" s="3" t="str">
        <f ca="1">IFERROR(__xludf.DUMMYFUNCTION("""COMPUTED_VALUE"""),"Não")</f>
        <v>Não</v>
      </c>
      <c r="W171" s="3" t="str">
        <f ca="1">IFERROR(__xludf.DUMMYFUNCTION("""COMPUTED_VALUE"""),"SEI-260006/031945/2024")</f>
        <v>SEI-260006/031945/2024</v>
      </c>
      <c r="X171" s="3" t="str">
        <f ca="1">IFERROR(__xludf.DUMMYFUNCTION("""COMPUTED_VALUE"""),"3-  Concluso p/ Indiciação")</f>
        <v>3-  Concluso p/ Indiciação</v>
      </c>
    </row>
    <row r="172" spans="1:24" x14ac:dyDescent="0.2">
      <c r="A172" s="3" t="str">
        <f ca="1">IFERROR(__xludf.DUMMYFUNCTION("""COMPUTED_VALUE"""),"454/2024")</f>
        <v>454/2024</v>
      </c>
      <c r="B172" s="3" t="str">
        <f ca="1">IFERROR(__xludf.DUMMYFUNCTION("""COMPUTED_VALUE"""),"SEI-260006/040149/2024")</f>
        <v>SEI-260006/040149/2024</v>
      </c>
      <c r="C172" s="3" t="str">
        <f ca="1">IFERROR(__xludf.DUMMYFUNCTION("""COMPUTED_VALUE"""),"Marcelo Grandi Teixeira Junior, matr. 38.908-0")</f>
        <v>Marcelo Grandi Teixeira Junior, matr. 38.908-0</v>
      </c>
      <c r="D172" s="3" t="str">
        <f ca="1">IFERROR(__xludf.DUMMYFUNCTION("""COMPUTED_VALUE"""),"Abandono do Cargo")</f>
        <v>Abandono do Cargo</v>
      </c>
      <c r="E172" s="3" t="str">
        <f ca="1">IFERROR(__xludf.DUMMYFUNCTION("""COMPUTED_VALUE"""),"Desvio de conduta")</f>
        <v>Desvio de conduta</v>
      </c>
      <c r="F172" s="3" t="str">
        <f ca="1">IFERROR(__xludf.DUMMYFUNCTION("""COMPUTED_VALUE"""),"Abandono de cargo/ Inassiduidade habitual.")</f>
        <v>Abandono de cargo/ Inassiduidade habitual.</v>
      </c>
      <c r="G172" s="3" t="str">
        <f ca="1">IFERROR(__xludf.DUMMYFUNCTION("""COMPUTED_VALUE"""),"Abandono de cargo/ Inassiduidade habitual")</f>
        <v>Abandono de cargo/ Inassiduidade habitual</v>
      </c>
      <c r="H172" s="3" t="str">
        <f ca="1">IFERROR(__xludf.DUMMYFUNCTION("""COMPUTED_VALUE"""),"faltas injustificadas do servidor no período de 15/07/2023 a 31/12/2023.")</f>
        <v>faltas injustificadas do servidor no período de 15/07/2023 a 31/12/2023.</v>
      </c>
      <c r="I172" s="3" t="str">
        <f ca="1">IFERROR(__xludf.DUMMYFUNCTION("""COMPUTED_VALUE"""),"Não")</f>
        <v>Não</v>
      </c>
      <c r="J172" s="5">
        <f ca="1">IFERROR(__xludf.DUMMYFUNCTION("""COMPUTED_VALUE"""),45533)</f>
        <v>45533</v>
      </c>
      <c r="K172" s="5">
        <f ca="1">IFERROR(__xludf.DUMMYFUNCTION("""COMPUTED_VALUE"""),45537)</f>
        <v>45537</v>
      </c>
      <c r="L172" s="5">
        <f ca="1">IFERROR(__xludf.DUMMYFUNCTION("""COMPUTED_VALUE"""),45717)</f>
        <v>45717</v>
      </c>
      <c r="M172" s="5">
        <f ca="1">IFERROR(__xludf.DUMMYFUNCTION("""COMPUTED_VALUE"""),45718)</f>
        <v>45718</v>
      </c>
      <c r="N172" s="3">
        <f ca="1">IFERROR(__xludf.DUMMYFUNCTION("""COMPUTED_VALUE"""),165)</f>
        <v>165</v>
      </c>
      <c r="O172" s="5">
        <f ca="1">IFERROR(__xludf.DUMMYFUNCTION("""COMPUTED_VALUE"""),46448)</f>
        <v>46448</v>
      </c>
      <c r="P172" s="3">
        <f ca="1">IFERROR(__xludf.DUMMYFUNCTION("""COMPUTED_VALUE"""),1261)</f>
        <v>1261</v>
      </c>
      <c r="Q172" s="5">
        <f ca="1">IFERROR(__xludf.DUMMYFUNCTION("""COMPUTED_VALUE"""),47544)</f>
        <v>47544</v>
      </c>
      <c r="R172" s="3" t="str">
        <f ca="1">IFERROR(__xludf.DUMMYFUNCTION("""COMPUTED_VALUE"""),"Paula Assed")</f>
        <v>Paula Assed</v>
      </c>
      <c r="S172" s="3" t="str">
        <f ca="1">IFERROR(__xludf.DUMMYFUNCTION("""COMPUTED_VALUE"""),"Isadora")</f>
        <v>Isadora</v>
      </c>
      <c r="T172" s="3" t="str">
        <f ca="1">IFERROR(__xludf.DUMMYFUNCTION("""COMPUTED_VALUE"""),"Alessandra Abelheira")</f>
        <v>Alessandra Abelheira</v>
      </c>
      <c r="U172" s="3" t="str">
        <f ca="1">IFERROR(__xludf.DUMMYFUNCTION("""COMPUTED_VALUE"""),"Hannah Oliveira")</f>
        <v>Hannah Oliveira</v>
      </c>
      <c r="V172" s="3" t="str">
        <f ca="1">IFERROR(__xludf.DUMMYFUNCTION("""COMPUTED_VALUE"""),"João Pedro Fraga de Souza")</f>
        <v>João Pedro Fraga de Souza</v>
      </c>
      <c r="W172" s="3" t="str">
        <f ca="1">IFERROR(__xludf.DUMMYFUNCTION("""COMPUTED_VALUE"""),"SEI-260007/044853/2023")</f>
        <v>SEI-260007/044853/2023</v>
      </c>
      <c r="X172" s="3" t="str">
        <f ca="1">IFERROR(__xludf.DUMMYFUNCTION("""COMPUTED_VALUE"""),"3.1- Indiciação/citação enviados")</f>
        <v>3.1- Indiciação/citação enviados</v>
      </c>
    </row>
    <row r="173" spans="1:24" x14ac:dyDescent="0.2">
      <c r="A173" s="3" t="str">
        <f ca="1">IFERROR(__xludf.DUMMYFUNCTION("""COMPUTED_VALUE"""),"455/2024")</f>
        <v>455/2024</v>
      </c>
      <c r="B173" s="3" t="str">
        <f ca="1">IFERROR(__xludf.DUMMYFUNCTION("""COMPUTED_VALUE"""),"SEI-260006/040171/2024")</f>
        <v>SEI-260006/040171/2024</v>
      </c>
      <c r="C173" s="3" t="str">
        <f ca="1">IFERROR(__xludf.DUMMYFUNCTION("""COMPUTED_VALUE"""),"Wilton Cesar Leite Julerate de Oliveira, matrícula 35.445-6 ")</f>
        <v xml:space="preserve">Wilton Cesar Leite Julerate de Oliveira, matrícula 35.445-6 </v>
      </c>
      <c r="D173" s="3" t="str">
        <f ca="1">IFERROR(__xludf.DUMMYFUNCTION("""COMPUTED_VALUE"""),"Acumulação Ilegal")</f>
        <v>Acumulação Ilegal</v>
      </c>
      <c r="E173" s="3"/>
      <c r="F173" s="3" t="str">
        <f ca="1">IFERROR(__xludf.DUMMYFUNCTION("""COMPUTED_VALUE"""),"Acumulação de cargos.")</f>
        <v>Acumulação de cargos.</v>
      </c>
      <c r="G173" s="3" t="str">
        <f ca="1">IFERROR(__xludf.DUMMYFUNCTION("""COMPUTED_VALUE"""),"Acumulação de cargos")</f>
        <v>Acumulação de cargos</v>
      </c>
      <c r="H173" s="3" t="str">
        <f ca="1">IFERROR(__xludf.DUMMYFUNCTION("""COMPUTED_VALUE"""),"acumulação dos cargos , tendo em vista a quádrupla acumulação de cargos no período entre 01/02/2011 a 26/12/2018 e a tríplice acumulação de 27/12/2018 a 10/05/2021.")</f>
        <v>acumulação dos cargos , tendo em vista a quádrupla acumulação de cargos no período entre 01/02/2011 a 26/12/2018 e a tríplice acumulação de 27/12/2018 a 10/05/2021.</v>
      </c>
      <c r="I173" s="3"/>
      <c r="J173" s="5">
        <f ca="1">IFERROR(__xludf.DUMMYFUNCTION("""COMPUTED_VALUE"""),45534)</f>
        <v>45534</v>
      </c>
      <c r="K173" s="5">
        <f ca="1">IFERROR(__xludf.DUMMYFUNCTION("""COMPUTED_VALUE"""),45538)</f>
        <v>45538</v>
      </c>
      <c r="L173" s="5">
        <f ca="1">IFERROR(__xludf.DUMMYFUNCTION("""COMPUTED_VALUE"""),45718)</f>
        <v>45718</v>
      </c>
      <c r="M173" s="5">
        <f ca="1">IFERROR(__xludf.DUMMYFUNCTION("""COMPUTED_VALUE"""),45719)</f>
        <v>45719</v>
      </c>
      <c r="N173" s="3">
        <f ca="1">IFERROR(__xludf.DUMMYFUNCTION("""COMPUTED_VALUE"""),166)</f>
        <v>166</v>
      </c>
      <c r="O173" s="5">
        <f ca="1">IFERROR(__xludf.DUMMYFUNCTION("""COMPUTED_VALUE"""),46449)</f>
        <v>46449</v>
      </c>
      <c r="P173" s="3">
        <f ca="1">IFERROR(__xludf.DUMMYFUNCTION("""COMPUTED_VALUE"""),1262)</f>
        <v>1262</v>
      </c>
      <c r="Q173" s="5">
        <f ca="1">IFERROR(__xludf.DUMMYFUNCTION("""COMPUTED_VALUE"""),47545)</f>
        <v>47545</v>
      </c>
      <c r="R173" s="3" t="str">
        <f ca="1">IFERROR(__xludf.DUMMYFUNCTION("""COMPUTED_VALUE"""),"Paula Assed")</f>
        <v>Paula Assed</v>
      </c>
      <c r="S173" s="3" t="str">
        <f ca="1">IFERROR(__xludf.DUMMYFUNCTION("""COMPUTED_VALUE"""),"Débora")</f>
        <v>Débora</v>
      </c>
      <c r="T173" s="3" t="str">
        <f ca="1">IFERROR(__xludf.DUMMYFUNCTION("""COMPUTED_VALUE"""),"Felipe Perdigão")</f>
        <v>Felipe Perdigão</v>
      </c>
      <c r="U173" s="3" t="str">
        <f ca="1">IFERROR(__xludf.DUMMYFUNCTION("""COMPUTED_VALUE"""),"Vanessa Queiroz")</f>
        <v>Vanessa Queiroz</v>
      </c>
      <c r="V173" s="3" t="str">
        <f ca="1">IFERROR(__xludf.DUMMYFUNCTION("""COMPUTED_VALUE"""),"Não")</f>
        <v>Não</v>
      </c>
      <c r="W173" s="3" t="str">
        <f ca="1">IFERROR(__xludf.DUMMYFUNCTION("""COMPUTED_VALUE"""),"E-26/007/8518/2019")</f>
        <v>E-26/007/8518/2019</v>
      </c>
      <c r="X173" s="3" t="str">
        <f ca="1">IFERROR(__xludf.DUMMYFUNCTION("""COMPUTED_VALUE"""),"4-  Concluso p/ RF")</f>
        <v>4-  Concluso p/ RF</v>
      </c>
    </row>
    <row r="174" spans="1:24" x14ac:dyDescent="0.2">
      <c r="A174" s="3" t="str">
        <f ca="1">IFERROR(__xludf.DUMMYFUNCTION("""COMPUTED_VALUE"""),"457/2024")</f>
        <v>457/2024</v>
      </c>
      <c r="B174" s="3" t="str">
        <f ca="1">IFERROR(__xludf.DUMMYFUNCTION("""COMPUTED_VALUE"""),"SEI-260006/042650/2024")</f>
        <v>SEI-260006/042650/2024</v>
      </c>
      <c r="C174" s="3" t="str">
        <f ca="1">IFERROR(__xludf.DUMMYFUNCTION("""COMPUTED_VALUE"""),"MAURO SÉRGIO DE ARAUJO FARIAS, matr. nº 36.256-6")</f>
        <v>MAURO SÉRGIO DE ARAUJO FARIAS, matr. nº 36.256-6</v>
      </c>
      <c r="D174" s="3" t="str">
        <f ca="1">IFERROR(__xludf.DUMMYFUNCTION("""COMPUTED_VALUE"""),"Irregularidades relacionadas à gestão nas contas ")</f>
        <v xml:space="preserve">Irregularidades relacionadas à gestão nas contas </v>
      </c>
      <c r="E174" s="3"/>
      <c r="F174" s="3" t="str">
        <f ca="1">IFERROR(__xludf.DUMMYFUNCTION("""COMPUTED_VALUE"""),"Outros.")</f>
        <v>Outros.</v>
      </c>
      <c r="G174" s="3" t="str">
        <f ca="1">IFERROR(__xludf.DUMMYFUNCTION("""COMPUTED_VALUE"""),"Irregularidades na Pestação de Contas de SIDES. indícios de infração disciplinar de natureza grave e improbidade administrativa, no termos dos artigo 50, I e 51 I do Decreto-Lei 220/75.")</f>
        <v>Irregularidades na Pestação de Contas de SIDES. indícios de infração disciplinar de natureza grave e improbidade administrativa, no termos dos artigo 50, I e 51 I do Decreto-Lei 220/75.</v>
      </c>
      <c r="H174" s="3" t="str">
        <f ca="1">IFERROR(__xludf.DUMMYFUNCTION("""COMPUTED_VALUE"""),"Irregularidades na Pestação de Contas de SIDES. indícios de infração disciplinar de natureza grave e improbidade administrativa, no termos dos artigo 50, I e 51 I do Decreto-Lei 220/75.")</f>
        <v>Irregularidades na Pestação de Contas de SIDES. indícios de infração disciplinar de natureza grave e improbidade administrativa, no termos dos artigo 50, I e 51 I do Decreto-Lei 220/75.</v>
      </c>
      <c r="I174" s="3"/>
      <c r="J174" s="5">
        <f ca="1">IFERROR(__xludf.DUMMYFUNCTION("""COMPUTED_VALUE"""),45552)</f>
        <v>45552</v>
      </c>
      <c r="K174" s="5">
        <f ca="1">IFERROR(__xludf.DUMMYFUNCTION("""COMPUTED_VALUE"""),45559)</f>
        <v>45559</v>
      </c>
      <c r="L174" s="5">
        <f ca="1">IFERROR(__xludf.DUMMYFUNCTION("""COMPUTED_VALUE"""),45739)</f>
        <v>45739</v>
      </c>
      <c r="M174" s="5">
        <f ca="1">IFERROR(__xludf.DUMMYFUNCTION("""COMPUTED_VALUE"""),45740)</f>
        <v>45740</v>
      </c>
      <c r="N174" s="3">
        <f ca="1">IFERROR(__xludf.DUMMYFUNCTION("""COMPUTED_VALUE"""),187)</f>
        <v>187</v>
      </c>
      <c r="O174" s="5">
        <f ca="1">IFERROR(__xludf.DUMMYFUNCTION("""COMPUTED_VALUE"""),46470)</f>
        <v>46470</v>
      </c>
      <c r="P174" s="3">
        <f ca="1">IFERROR(__xludf.DUMMYFUNCTION("""COMPUTED_VALUE"""),1283)</f>
        <v>1283</v>
      </c>
      <c r="Q174" s="5">
        <f ca="1">IFERROR(__xludf.DUMMYFUNCTION("""COMPUTED_VALUE"""),47566)</f>
        <v>47566</v>
      </c>
      <c r="R174" s="3" t="str">
        <f ca="1">IFERROR(__xludf.DUMMYFUNCTION("""COMPUTED_VALUE"""),"Paula Assed")</f>
        <v>Paula Assed</v>
      </c>
      <c r="S174" s="3" t="str">
        <f ca="1">IFERROR(__xludf.DUMMYFUNCTION("""COMPUTED_VALUE"""),"Franciane")</f>
        <v>Franciane</v>
      </c>
      <c r="T174" s="3" t="str">
        <f ca="1">IFERROR(__xludf.DUMMYFUNCTION("""COMPUTED_VALUE"""),"Jeanny Passigatte")</f>
        <v>Jeanny Passigatte</v>
      </c>
      <c r="U174" s="3" t="str">
        <f ca="1">IFERROR(__xludf.DUMMYFUNCTION("""COMPUTED_VALUE"""),"Marcelo Ferreira")</f>
        <v>Marcelo Ferreira</v>
      </c>
      <c r="V174" s="3" t="str">
        <f ca="1">IFERROR(__xludf.DUMMYFUNCTION("""COMPUTED_VALUE"""),"Não")</f>
        <v>Não</v>
      </c>
      <c r="W174" s="3" t="str">
        <f ca="1">IFERROR(__xludf.DUMMYFUNCTION("""COMPUTED_VALUE"""),"SEI-260007/004176/2024")</f>
        <v>SEI-260007/004176/2024</v>
      </c>
      <c r="X174" s="3" t="str">
        <f ca="1">IFERROR(__xludf.DUMMYFUNCTION("""COMPUTED_VALUE"""),"4-  Concluso p/ RF")</f>
        <v>4-  Concluso p/ RF</v>
      </c>
    </row>
    <row r="175" spans="1:24" x14ac:dyDescent="0.2">
      <c r="A175" s="3" t="str">
        <f ca="1">IFERROR(__xludf.DUMMYFUNCTION("""COMPUTED_VALUE"""),"458/2024")</f>
        <v>458/2024</v>
      </c>
      <c r="B175" s="3" t="str">
        <f ca="1">IFERROR(__xludf.DUMMYFUNCTION("""COMPUTED_VALUE"""),"SEI-260006/042996/2024")</f>
        <v>SEI-260006/042996/2024</v>
      </c>
      <c r="C175" s="3" t="str">
        <f ca="1">IFERROR(__xludf.DUMMYFUNCTION("""COMPUTED_VALUE"""),"Dionizio Mendes Ramos Filho, matrícula nº 41.107-4")</f>
        <v>Dionizio Mendes Ramos Filho, matrícula nº 41.107-4</v>
      </c>
      <c r="D175" s="3" t="str">
        <f ca="1">IFERROR(__xludf.DUMMYFUNCTION("""COMPUTED_VALUE"""),"Infração Administrativa")</f>
        <v>Infração Administrativa</v>
      </c>
      <c r="E175" s="3"/>
      <c r="F175" s="3" t="str">
        <f ca="1">IFERROR(__xludf.DUMMYFUNCTION("""COMPUTED_VALUE"""),"Violação dedicação exclusiva")</f>
        <v>Violação dedicação exclusiva</v>
      </c>
      <c r="G175" s="3" t="str">
        <f ca="1">IFERROR(__xludf.DUMMYFUNCTION("""COMPUTED_VALUE"""),"Violação dedicação exclusiva")</f>
        <v>Violação dedicação exclusiva</v>
      </c>
      <c r="H175" s="3" t="str">
        <f ca="1">IFERROR(__xludf.DUMMYFUNCTION("""COMPUTED_VALUE"""),"indícios de infração disciplinar de natureza grave, considerando a violação ao Regime de Trabalho de Dedicação Exclusiva, na forma dos artigos 6o da Lei 6328/2012 e 4o da Resolução CONSUN nº 05/2019 e pela apuração do eventual ato de improbidade e da obri"&amp;"gação dos valores recebidos indevidamente.nte.")</f>
        <v>indícios de infração disciplinar de natureza grave, considerando a violação ao Regime de Trabalho de Dedicação Exclusiva, na forma dos artigos 6o da Lei 6328/2012 e 4o da Resolução CONSUN nº 05/2019 e pela apuração do eventual ato de improbidade e da obrigação dos valores recebidos indevidamente.nte.</v>
      </c>
      <c r="I175" s="3"/>
      <c r="J175" s="5">
        <f ca="1">IFERROR(__xludf.DUMMYFUNCTION("""COMPUTED_VALUE"""),45558)</f>
        <v>45558</v>
      </c>
      <c r="K175" s="5">
        <f ca="1">IFERROR(__xludf.DUMMYFUNCTION("""COMPUTED_VALUE"""),45560)</f>
        <v>45560</v>
      </c>
      <c r="L175" s="5">
        <f ca="1">IFERROR(__xludf.DUMMYFUNCTION("""COMPUTED_VALUE"""),45740)</f>
        <v>45740</v>
      </c>
      <c r="M175" s="5">
        <f ca="1">IFERROR(__xludf.DUMMYFUNCTION("""COMPUTED_VALUE"""),45741)</f>
        <v>45741</v>
      </c>
      <c r="N175" s="3" t="str">
        <f ca="1">IFERROR(__xludf.DUMMYFUNCTION("""COMPUTED_VALUE"""),"Finalizado")</f>
        <v>Finalizado</v>
      </c>
      <c r="O175" s="5">
        <f ca="1">IFERROR(__xludf.DUMMYFUNCTION("""COMPUTED_VALUE"""),46471)</f>
        <v>46471</v>
      </c>
      <c r="P175" s="3" t="str">
        <f ca="1">IFERROR(__xludf.DUMMYFUNCTION("""COMPUTED_VALUE"""),"O processo durou 653 dias entre a assinatura do despacho de autorização de abertura do PAD pelo Reitor e a assinatura do despacho de concordância/divergência pelo mesmo.")</f>
        <v>O processo durou 653 dias entre a assinatura do despacho de autorização de abertura do PAD pelo Reitor e a assinatura do despacho de concordância/divergência pelo mesmo.</v>
      </c>
      <c r="Q175" s="5">
        <f ca="1">IFERROR(__xludf.DUMMYFUNCTION("""COMPUTED_VALUE"""),47567)</f>
        <v>47567</v>
      </c>
      <c r="R175" s="3" t="str">
        <f ca="1">IFERROR(__xludf.DUMMYFUNCTION("""COMPUTED_VALUE"""),"Bianca Faertes")</f>
        <v>Bianca Faertes</v>
      </c>
      <c r="S175" s="3" t="str">
        <f ca="1">IFERROR(__xludf.DUMMYFUNCTION("""COMPUTED_VALUE"""),"Débora")</f>
        <v>Débora</v>
      </c>
      <c r="T175" s="3" t="str">
        <f ca="1">IFERROR(__xludf.DUMMYFUNCTION("""COMPUTED_VALUE"""),"Celso Luiz Pieroni")</f>
        <v>Celso Luiz Pieroni</v>
      </c>
      <c r="U175" s="3" t="str">
        <f ca="1">IFERROR(__xludf.DUMMYFUNCTION("""COMPUTED_VALUE"""),"Jeanny Passigatte")</f>
        <v>Jeanny Passigatte</v>
      </c>
      <c r="V175" s="3" t="str">
        <f ca="1">IFERROR(__xludf.DUMMYFUNCTION("""COMPUTED_VALUE"""),"Não")</f>
        <v>Não</v>
      </c>
      <c r="W175" s="3" t="str">
        <f ca="1">IFERROR(__xludf.DUMMYFUNCTION("""COMPUTED_VALUE"""),"SEI-260007/045879/2022")</f>
        <v>SEI-260007/045879/2022</v>
      </c>
      <c r="X175" s="3" t="str">
        <f ca="1">IFERROR(__xludf.DUMMYFUNCTION("""COMPUTED_VALUE"""),"S-Resposta do Reitor/Anotado.")</f>
        <v>S-Resposta do Reitor/Anotado.</v>
      </c>
    </row>
    <row r="176" spans="1:24" x14ac:dyDescent="0.2">
      <c r="A176" s="3" t="str">
        <f ca="1">IFERROR(__xludf.DUMMYFUNCTION("""COMPUTED_VALUE"""),"460/2024")</f>
        <v>460/2024</v>
      </c>
      <c r="B176" s="3" t="str">
        <f ca="1">IFERROR(__xludf.DUMMYFUNCTION("""COMPUTED_VALUE"""),"SEI-260006/045430/2024")</f>
        <v>SEI-260006/045430/2024</v>
      </c>
      <c r="C176" s="3" t="str">
        <f ca="1">IFERROR(__xludf.DUMMYFUNCTION("""COMPUTED_VALUE"""),"BIANCA APARECIDA DE OLIVEIRA, matrícula nº 386334.")</f>
        <v>BIANCA APARECIDA DE OLIVEIRA, matrícula nº 386334.</v>
      </c>
      <c r="D176" s="3" t="str">
        <f ca="1">IFERROR(__xludf.DUMMYFUNCTION("""COMPUTED_VALUE"""),"Conflito de interesses")</f>
        <v>Conflito de interesses</v>
      </c>
      <c r="E176" s="3"/>
      <c r="F176" s="3" t="str">
        <f ca="1">IFERROR(__xludf.DUMMYFUNCTION("""COMPUTED_VALUE"""),"Outros.")</f>
        <v>Outros.</v>
      </c>
      <c r="G176" s="3" t="str">
        <f ca="1">IFERROR(__xludf.DUMMYFUNCTION("""COMPUTED_VALUE"""),"apurar se houve má-fé na demora em solicitar a exoneração, nos termos dos artigos 50, inciso I e 52, inciso I do Decreto Lei 220/75, sem prejuízo do ressarcimento dos valores recebidos indevidamente, conforme artigo 148 do Decreto 2479/79.")</f>
        <v>apurar se houve má-fé na demora em solicitar a exoneração, nos termos dos artigos 50, inciso I e 52, inciso I do Decreto Lei 220/75, sem prejuízo do ressarcimento dos valores recebidos indevidamente, conforme artigo 148 do Decreto 2479/79.</v>
      </c>
      <c r="H176" s="3" t="str">
        <f ca="1">IFERROR(__xludf.DUMMYFUNCTION("""COMPUTED_VALUE"""),"apurar se houve má-fé na demora em solicitar a exoneração, nos termos dos artigos 50, inciso I e 52, inciso I do Decreto Lei 220/75, sem prejuízo do ressarcimento dos valores recebidos indevidamente, conforme artigo 148 do Decreto 2479/79.")</f>
        <v>apurar se houve má-fé na demora em solicitar a exoneração, nos termos dos artigos 50, inciso I e 52, inciso I do Decreto Lei 220/75, sem prejuízo do ressarcimento dos valores recebidos indevidamente, conforme artigo 148 do Decreto 2479/79.</v>
      </c>
      <c r="I176" s="3"/>
      <c r="J176" s="5">
        <f ca="1">IFERROR(__xludf.DUMMYFUNCTION("""COMPUTED_VALUE"""),45568)</f>
        <v>45568</v>
      </c>
      <c r="K176" s="5">
        <f ca="1">IFERROR(__xludf.DUMMYFUNCTION("""COMPUTED_VALUE"""),45572)</f>
        <v>45572</v>
      </c>
      <c r="L176" s="5">
        <f ca="1">IFERROR(__xludf.DUMMYFUNCTION("""COMPUTED_VALUE"""),45752)</f>
        <v>45752</v>
      </c>
      <c r="M176" s="5">
        <f ca="1">IFERROR(__xludf.DUMMYFUNCTION("""COMPUTED_VALUE"""),45753)</f>
        <v>45753</v>
      </c>
      <c r="N176" s="3">
        <f ca="1">IFERROR(__xludf.DUMMYFUNCTION("""COMPUTED_VALUE"""),200)</f>
        <v>200</v>
      </c>
      <c r="O176" s="5">
        <f ca="1">IFERROR(__xludf.DUMMYFUNCTION("""COMPUTED_VALUE"""),46483)</f>
        <v>46483</v>
      </c>
      <c r="P176" s="3">
        <f ca="1">IFERROR(__xludf.DUMMYFUNCTION("""COMPUTED_VALUE"""),1296)</f>
        <v>1296</v>
      </c>
      <c r="Q176" s="5">
        <f ca="1">IFERROR(__xludf.DUMMYFUNCTION("""COMPUTED_VALUE"""),47579)</f>
        <v>47579</v>
      </c>
      <c r="R176" s="3" t="str">
        <f ca="1">IFERROR(__xludf.DUMMYFUNCTION("""COMPUTED_VALUE"""),"Paula Assed")</f>
        <v>Paula Assed</v>
      </c>
      <c r="S176" s="3" t="str">
        <f ca="1">IFERROR(__xludf.DUMMYFUNCTION("""COMPUTED_VALUE"""),"Franciane")</f>
        <v>Franciane</v>
      </c>
      <c r="T176" s="3" t="str">
        <f ca="1">IFERROR(__xludf.DUMMYFUNCTION("""COMPUTED_VALUE"""),"Alessandra Abelheira")</f>
        <v>Alessandra Abelheira</v>
      </c>
      <c r="U176" s="3" t="str">
        <f ca="1">IFERROR(__xludf.DUMMYFUNCTION("""COMPUTED_VALUE"""),"Marcelo Bento")</f>
        <v>Marcelo Bento</v>
      </c>
      <c r="V176" s="3" t="str">
        <f ca="1">IFERROR(__xludf.DUMMYFUNCTION("""COMPUTED_VALUE"""),"Não")</f>
        <v>Não</v>
      </c>
      <c r="W176" s="3" t="str">
        <f ca="1">IFERROR(__xludf.DUMMYFUNCTION("""COMPUTED_VALUE"""),"SEI-260007/012690/2021")</f>
        <v>SEI-260007/012690/2021</v>
      </c>
      <c r="X176" s="3" t="str">
        <f ca="1">IFERROR(__xludf.DUMMYFUNCTION("""COMPUTED_VALUE"""),"4-  Concluso p/ RF")</f>
        <v>4-  Concluso p/ RF</v>
      </c>
    </row>
    <row r="177" spans="1:24" x14ac:dyDescent="0.2">
      <c r="A177" s="3" t="str">
        <f ca="1">IFERROR(__xludf.DUMMYFUNCTION("""COMPUTED_VALUE"""),"461/2024")</f>
        <v>461/2024</v>
      </c>
      <c r="B177" s="3" t="str">
        <f ca="1">IFERROR(__xludf.DUMMYFUNCTION("""COMPUTED_VALUE"""),"SEI-260006/046912/2024")</f>
        <v>SEI-260006/046912/2024</v>
      </c>
      <c r="C177" s="3" t="str">
        <f ca="1">IFERROR(__xludf.DUMMYFUNCTION("""COMPUTED_VALUE"""),"Simone da Fonseca Rutz,  37.284-7")</f>
        <v>Simone da Fonseca Rutz,  37.284-7</v>
      </c>
      <c r="D177" s="3" t="str">
        <f ca="1">IFERROR(__xludf.DUMMYFUNCTION("""COMPUTED_VALUE"""),"Desvio de conduta")</f>
        <v>Desvio de conduta</v>
      </c>
      <c r="E177" s="3" t="str">
        <f ca="1">IFERROR(__xludf.DUMMYFUNCTION("""COMPUTED_VALUE"""),"Desvio de conduta")</f>
        <v>Desvio de conduta</v>
      </c>
      <c r="F177" s="3" t="str">
        <f ca="1">IFERROR(__xludf.DUMMYFUNCTION("""COMPUTED_VALUE"""),"Outros.")</f>
        <v>Outros.</v>
      </c>
      <c r="G177" s="3" t="str">
        <f ca="1">IFERROR(__xludf.DUMMYFUNCTION("""COMPUTED_VALUE"""),"Outros")</f>
        <v>Outros</v>
      </c>
      <c r="H177" s="3" t="str">
        <f ca="1">IFERROR(__xludf.DUMMYFUNCTION("""COMPUTED_VALUE"""),"apurar o descumprimento dos deveres de urbanidade, discrição, boa conduta, observância das normas legais e regulamentares, e de guardar sigilo sobre a documentação e os assuntos de natureza reservada de que tenha conhecimento, além das proibições de se re"&amp;"ferir de modo depreciativo às autoridades e atos da Administração Pública e de revelar fato ou informação de natureza sigilosa. ")</f>
        <v xml:space="preserve">apurar o descumprimento dos deveres de urbanidade, discrição, boa conduta, observância das normas legais e regulamentares, e de guardar sigilo sobre a documentação e os assuntos de natureza reservada de que tenha conhecimento, além das proibições de se referir de modo depreciativo às autoridades e atos da Administração Pública e de revelar fato ou informação de natureza sigilosa. </v>
      </c>
      <c r="I177" s="3" t="str">
        <f ca="1">IFERROR(__xludf.DUMMYFUNCTION("""COMPUTED_VALUE"""),"Não")</f>
        <v>Não</v>
      </c>
      <c r="J177" s="5">
        <f ca="1">IFERROR(__xludf.DUMMYFUNCTION("""COMPUTED_VALUE"""),45573)</f>
        <v>45573</v>
      </c>
      <c r="K177" s="5">
        <f ca="1">IFERROR(__xludf.DUMMYFUNCTION("""COMPUTED_VALUE"""),45575)</f>
        <v>45575</v>
      </c>
      <c r="L177" s="5">
        <f ca="1">IFERROR(__xludf.DUMMYFUNCTION("""COMPUTED_VALUE"""),45755)</f>
        <v>45755</v>
      </c>
      <c r="M177" s="5">
        <f ca="1">IFERROR(__xludf.DUMMYFUNCTION("""COMPUTED_VALUE"""),45756)</f>
        <v>45756</v>
      </c>
      <c r="N177" s="3">
        <f ca="1">IFERROR(__xludf.DUMMYFUNCTION("""COMPUTED_VALUE"""),203)</f>
        <v>203</v>
      </c>
      <c r="O177" s="5">
        <f ca="1">IFERROR(__xludf.DUMMYFUNCTION("""COMPUTED_VALUE"""),46486)</f>
        <v>46486</v>
      </c>
      <c r="P177" s="3">
        <f ca="1">IFERROR(__xludf.DUMMYFUNCTION("""COMPUTED_VALUE"""),1299)</f>
        <v>1299</v>
      </c>
      <c r="Q177" s="5">
        <f ca="1">IFERROR(__xludf.DUMMYFUNCTION("""COMPUTED_VALUE"""),47582)</f>
        <v>47582</v>
      </c>
      <c r="R177" s="3" t="str">
        <f ca="1">IFERROR(__xludf.DUMMYFUNCTION("""COMPUTED_VALUE"""),"Patrícia Glioche")</f>
        <v>Patrícia Glioche</v>
      </c>
      <c r="S177" s="3" t="str">
        <f ca="1">IFERROR(__xludf.DUMMYFUNCTION("""COMPUTED_VALUE"""),"Isadora")</f>
        <v>Isadora</v>
      </c>
      <c r="T177" s="3" t="str">
        <f ca="1">IFERROR(__xludf.DUMMYFUNCTION("""COMPUTED_VALUE"""),"Jeanny Passigatte")</f>
        <v>Jeanny Passigatte</v>
      </c>
      <c r="U177" s="3" t="str">
        <f ca="1">IFERROR(__xludf.DUMMYFUNCTION("""COMPUTED_VALUE"""),"Gustavo Mozart")</f>
        <v>Gustavo Mozart</v>
      </c>
      <c r="V177" s="3"/>
      <c r="W177" s="3" t="str">
        <f ca="1">IFERROR(__xludf.DUMMYFUNCTION("""COMPUTED_VALUE"""),"SEI-260007/002735/2024")</f>
        <v>SEI-260007/002735/2024</v>
      </c>
      <c r="X177" s="3" t="str">
        <f ca="1">IFERROR(__xludf.DUMMYFUNCTION("""COMPUTED_VALUE"""),"2- Instrução")</f>
        <v>2- Instrução</v>
      </c>
    </row>
    <row r="178" spans="1:24" x14ac:dyDescent="0.2">
      <c r="A178" s="3" t="str">
        <f ca="1">IFERROR(__xludf.DUMMYFUNCTION("""COMPUTED_VALUE"""),"440/20024")</f>
        <v>440/20024</v>
      </c>
      <c r="B178" s="3" t="str">
        <f ca="1">IFERROR(__xludf.DUMMYFUNCTION("""COMPUTED_VALUE"""),"SEI-260006/017762/2024")</f>
        <v>SEI-260006/017762/2024</v>
      </c>
      <c r="C178" s="3" t="str">
        <f ca="1">IFERROR(__xludf.DUMMYFUNCTION("""COMPUTED_VALUE"""),"Daniel Barros Luz, matrícula 39398-3")</f>
        <v>Daniel Barros Luz, matrícula 39398-3</v>
      </c>
      <c r="D178" s="3" t="str">
        <f ca="1">IFERROR(__xludf.DUMMYFUNCTION("""COMPUTED_VALUE"""),"Desvio de conduta")</f>
        <v>Desvio de conduta</v>
      </c>
      <c r="E178" s="3"/>
      <c r="F178" s="3" t="str">
        <f ca="1">IFERROR(__xludf.DUMMYFUNCTION("""COMPUTED_VALUE"""),"Ofensa física")</f>
        <v>Ofensa física</v>
      </c>
      <c r="G178" s="3" t="str">
        <f ca="1">IFERROR(__xludf.DUMMYFUNCTION("""COMPUTED_VALUE"""),"Ofensa física")</f>
        <v>Ofensa física</v>
      </c>
      <c r="H178" s="3" t="str">
        <f ca="1">IFERROR(__xludf.DUMMYFUNCTION("""COMPUTED_VALUE"""),"Denúncia de agressão física supostamente praticada pelo servidor Daniel Barros Luz, matrícula 39398-3, contra o servidor Leonardo dos Santos Pinheiro, matrícula 38350-5. indícios da prática de infração disciplinar prevista no inciso IV do artigo 52 do Dec"&amp;"reto Lei 220/75 e inciso IV do artigo 298 da Decreto 2479/79")</f>
        <v>Denúncia de agressão física supostamente praticada pelo servidor Daniel Barros Luz, matrícula 39398-3, contra o servidor Leonardo dos Santos Pinheiro, matrícula 38350-5. indícios da prática de infração disciplinar prevista no inciso IV do artigo 52 do Decreto Lei 220/75 e inciso IV do artigo 298 da Decreto 2479/79</v>
      </c>
      <c r="I178" s="3"/>
      <c r="J178" s="5">
        <f ca="1">IFERROR(__xludf.DUMMYFUNCTION("""COMPUTED_VALUE"""),45406)</f>
        <v>45406</v>
      </c>
      <c r="K178" s="5">
        <f ca="1">IFERROR(__xludf.DUMMYFUNCTION("""COMPUTED_VALUE"""),45411)</f>
        <v>45411</v>
      </c>
      <c r="L178" s="5">
        <f ca="1">IFERROR(__xludf.DUMMYFUNCTION("""COMPUTED_VALUE"""),45591)</f>
        <v>45591</v>
      </c>
      <c r="M178" s="5">
        <f ca="1">IFERROR(__xludf.DUMMYFUNCTION("""COMPUTED_VALUE"""),45592)</f>
        <v>45592</v>
      </c>
      <c r="N178" s="3">
        <f ca="1">IFERROR(__xludf.DUMMYFUNCTION("""COMPUTED_VALUE"""),39)</f>
        <v>39</v>
      </c>
      <c r="O178" s="5">
        <f ca="1">IFERROR(__xludf.DUMMYFUNCTION("""COMPUTED_VALUE"""),46322)</f>
        <v>46322</v>
      </c>
      <c r="P178" s="3">
        <f ca="1">IFERROR(__xludf.DUMMYFUNCTION("""COMPUTED_VALUE"""),1135)</f>
        <v>1135</v>
      </c>
      <c r="Q178" s="5">
        <f ca="1">IFERROR(__xludf.DUMMYFUNCTION("""COMPUTED_VALUE"""),47418)</f>
        <v>47418</v>
      </c>
      <c r="R178" s="3" t="str">
        <f ca="1">IFERROR(__xludf.DUMMYFUNCTION("""COMPUTED_VALUE"""),"Vanessa Queiroz")</f>
        <v>Vanessa Queiroz</v>
      </c>
      <c r="S178" s="3" t="str">
        <f ca="1">IFERROR(__xludf.DUMMYFUNCTION("""COMPUTED_VALUE"""),"Débora")</f>
        <v>Débora</v>
      </c>
      <c r="T178" s="3" t="str">
        <f ca="1">IFERROR(__xludf.DUMMYFUNCTION("""COMPUTED_VALUE"""),"Karolynne Rocha")</f>
        <v>Karolynne Rocha</v>
      </c>
      <c r="U178" s="3" t="str">
        <f ca="1">IFERROR(__xludf.DUMMYFUNCTION("""COMPUTED_VALUE"""),"Hannah Oliveira")</f>
        <v>Hannah Oliveira</v>
      </c>
      <c r="V178" s="3" t="str">
        <f ca="1">IFERROR(__xludf.DUMMYFUNCTION("""COMPUTED_VALUE"""),"Yago Prelelue Gomes Maciel Monteiro")</f>
        <v>Yago Prelelue Gomes Maciel Monteiro</v>
      </c>
      <c r="W178" s="3" t="str">
        <f ca="1">IFERROR(__xludf.DUMMYFUNCTION("""COMPUTED_VALUE"""),"SEI-260007/063744/2023")</f>
        <v>SEI-260007/063744/2023</v>
      </c>
      <c r="X178" s="3" t="str">
        <f ca="1">IFERROR(__xludf.DUMMYFUNCTION("""COMPUTED_VALUE"""),"2- Instrução")</f>
        <v>2- Instrução</v>
      </c>
    </row>
    <row r="179" spans="1:24" x14ac:dyDescent="0.2">
      <c r="A179" s="3" t="str">
        <f ca="1">IFERROR(__xludf.DUMMYFUNCTION("""COMPUTED_VALUE"""),"463/2024")</f>
        <v>463/2024</v>
      </c>
      <c r="B179" s="3" t="str">
        <f ca="1">IFERROR(__xludf.DUMMYFUNCTION("""COMPUTED_VALUE"""),"SEI-260006/047391/2024")</f>
        <v>SEI-260006/047391/2024</v>
      </c>
      <c r="C179" s="3" t="str">
        <f ca="1">IFERROR(__xludf.DUMMYFUNCTION("""COMPUTED_VALUE"""),"Eduardo Jorge Custódio da Silva, matrícula nº 41321-1")</f>
        <v>Eduardo Jorge Custódio da Silva, matrícula nº 41321-1</v>
      </c>
      <c r="D179" s="3" t="str">
        <f ca="1">IFERROR(__xludf.DUMMYFUNCTION("""COMPUTED_VALUE"""),"Assédio moral/sexual/discriminação.")</f>
        <v>Assédio moral/sexual/discriminação.</v>
      </c>
      <c r="E179" s="3"/>
      <c r="F179" s="3" t="str">
        <f ca="1">IFERROR(__xludf.DUMMYFUNCTION("""COMPUTED_VALUE"""),"Outros.")</f>
        <v>Outros.</v>
      </c>
      <c r="G179" s="3" t="str">
        <f ca="1">IFERROR(__xludf.DUMMYFUNCTION("""COMPUTED_VALUE""")," assédio moral e infrações disciplinares contra os deveres de urbanidade e decoro profissional no ambiente de trabalho.")</f>
        <v xml:space="preserve"> assédio moral e infrações disciplinares contra os deveres de urbanidade e decoro profissional no ambiente de trabalho.</v>
      </c>
      <c r="H179" s="3" t="str">
        <f ca="1">IFERROR(__xludf.DUMMYFUNCTION("""COMPUTED_VALUE"""),"Denúncia formulada pela servidora Hellen Vendas, enfermeira do NESA, encaminhada à análise da Comissão Permanente , por meio do e-mail (65680771).")</f>
        <v>Denúncia formulada pela servidora Hellen Vendas, enfermeira do NESA, encaminhada à análise da Comissão Permanente , por meio do e-mail (65680771).</v>
      </c>
      <c r="I179" s="3"/>
      <c r="J179" s="7">
        <f ca="1">IFERROR(__xludf.DUMMYFUNCTION("""COMPUTED_VALUE"""),45581)</f>
        <v>45581</v>
      </c>
      <c r="K179" s="5">
        <f ca="1">IFERROR(__xludf.DUMMYFUNCTION("""COMPUTED_VALUE"""),45583)</f>
        <v>45583</v>
      </c>
      <c r="L179" s="5">
        <f ca="1">IFERROR(__xludf.DUMMYFUNCTION("""COMPUTED_VALUE"""),45763)</f>
        <v>45763</v>
      </c>
      <c r="M179" s="5">
        <f ca="1">IFERROR(__xludf.DUMMYFUNCTION("""COMPUTED_VALUE"""),45764)</f>
        <v>45764</v>
      </c>
      <c r="N179" s="3">
        <f ca="1">IFERROR(__xludf.DUMMYFUNCTION("""COMPUTED_VALUE"""),211)</f>
        <v>211</v>
      </c>
      <c r="O179" s="5">
        <f ca="1">IFERROR(__xludf.DUMMYFUNCTION("""COMPUTED_VALUE"""),46494)</f>
        <v>46494</v>
      </c>
      <c r="P179" s="3">
        <f ca="1">IFERROR(__xludf.DUMMYFUNCTION("""COMPUTED_VALUE"""),1307)</f>
        <v>1307</v>
      </c>
      <c r="Q179" s="5">
        <f ca="1">IFERROR(__xludf.DUMMYFUNCTION("""COMPUTED_VALUE"""),47590)</f>
        <v>47590</v>
      </c>
      <c r="R179" s="3" t="str">
        <f ca="1">IFERROR(__xludf.DUMMYFUNCTION("""COMPUTED_VALUE"""),"Paula Assed")</f>
        <v>Paula Assed</v>
      </c>
      <c r="S179" s="3" t="str">
        <f ca="1">IFERROR(__xludf.DUMMYFUNCTION("""COMPUTED_VALUE"""),"Isadora")</f>
        <v>Isadora</v>
      </c>
      <c r="T179" s="3" t="str">
        <f ca="1">IFERROR(__xludf.DUMMYFUNCTION("""COMPUTED_VALUE"""),"Rodrigo Marcellino")</f>
        <v>Rodrigo Marcellino</v>
      </c>
      <c r="U179" s="3" t="str">
        <f ca="1">IFERROR(__xludf.DUMMYFUNCTION("""COMPUTED_VALUE"""),"Hannah Oliveira")</f>
        <v>Hannah Oliveira</v>
      </c>
      <c r="V179" s="3"/>
      <c r="W179" s="3" t="str">
        <f ca="1">IFERROR(__xludf.DUMMYFUNCTION("""COMPUTED_VALUE"""),"SEI-260007/066372/2023")</f>
        <v>SEI-260007/066372/2023</v>
      </c>
      <c r="X179" s="3" t="str">
        <f ca="1">IFERROR(__xludf.DUMMYFUNCTION("""COMPUTED_VALUE"""),"3-  Concluso p/ Indiciação")</f>
        <v>3-  Concluso p/ Indiciação</v>
      </c>
    </row>
    <row r="180" spans="1:24" x14ac:dyDescent="0.2">
      <c r="A180" s="3" t="str">
        <f ca="1">IFERROR(__xludf.DUMMYFUNCTION("""COMPUTED_VALUE"""),"464/2024")</f>
        <v>464/2024</v>
      </c>
      <c r="B180" s="3" t="str">
        <f ca="1">IFERROR(__xludf.DUMMYFUNCTION("""COMPUTED_VALUE"""),"SEI-260006/049416/2024")</f>
        <v>SEI-260006/049416/2024</v>
      </c>
      <c r="C180" s="3" t="str">
        <f ca="1">IFERROR(__xludf.DUMMYFUNCTION("""COMPUTED_VALUE"""),"Shigeno de Paiva Kuriya, matrícula nº 37405-8.")</f>
        <v>Shigeno de Paiva Kuriya, matrícula nº 37405-8.</v>
      </c>
      <c r="D180" s="3" t="str">
        <f ca="1">IFERROR(__xludf.DUMMYFUNCTION("""COMPUTED_VALUE"""),"Assédio moral/sexual/discriminação.")</f>
        <v>Assédio moral/sexual/discriminação.</v>
      </c>
      <c r="E180" s="3"/>
      <c r="F180" s="3" t="str">
        <f ca="1">IFERROR(__xludf.DUMMYFUNCTION("""COMPUTED_VALUE"""),"Assédio moral/sexual/discriminação.")</f>
        <v>Assédio moral/sexual/discriminação.</v>
      </c>
      <c r="G180" s="3" t="str">
        <f ca="1">IFERROR(__xludf.DUMMYFUNCTION("""COMPUTED_VALUE"""),"apuração de denúncia de comportamento inadequado( existência de indícios da prática de atos de assédio moral e outros deveres funcionais, enquadrando-se tais condutas em tese, no rol de deveres e proibições previstos no Estatuto dos Funcionários Públicos "&amp;"Civis do Poder Executivo do Estado do Rio de Janeiro (Decreto-lei estadual no 220/1975, arts. 39, 40 e 52) e em seu regulamento (Decreto estadual no 2.479/1979, arts. 285, 286 e 298), além da Lei estadual nº 3.921/2002 (arts. 2o e 4o), que prevê hipóteses"&amp;" de configuração do assédio moral.)")</f>
        <v>apuração de denúncia de comportamento inadequado( existência de indícios da prática de atos de assédio moral e outros deveres funcionais, enquadrando-se tais condutas em tese, no rol de deveres e proibições previstos no Estatuto dos Funcionários Públicos Civis do Poder Executivo do Estado do Rio de Janeiro (Decreto-lei estadual no 220/1975, arts. 39, 40 e 52) e em seu regulamento (Decreto estadual no 2.479/1979, arts. 285, 286 e 298), além da Lei estadual nº 3.921/2002 (arts. 2o e 4o), que prevê hipóteses de configuração do assédio moral.)</v>
      </c>
      <c r="H180" s="3" t="str">
        <f ca="1">IFERROR(__xludf.DUMMYFUNCTION("""COMPUTED_VALUE"""),"apuração de denúncia de comportamento inadequado( existência de indícios da prática de atos de assédio moral e outros deveres funcionais, enquadrando-se tais condutas em tese, no rol de deveres e proibições previstos no Estatuto dos Funcionários Públicos "&amp;"Civis do Poder Executivo do Estado do Rio de Janeiro (Decreto-lei estadual no 220/1975, arts. 39, 40 e 52) e em seu regulamento (Decreto estadual no 2.479/1979, arts. 285, 286 e 298), além da Lei estadual nº 3.921/2002 (arts. 2o e 4o), que prevê hipóteses"&amp;" de configuração do assédio moral.)")</f>
        <v>apuração de denúncia de comportamento inadequado( existência de indícios da prática de atos de assédio moral e outros deveres funcionais, enquadrando-se tais condutas em tese, no rol de deveres e proibições previstos no Estatuto dos Funcionários Públicos Civis do Poder Executivo do Estado do Rio de Janeiro (Decreto-lei estadual no 220/1975, arts. 39, 40 e 52) e em seu regulamento (Decreto estadual no 2.479/1979, arts. 285, 286 e 298), além da Lei estadual nº 3.921/2002 (arts. 2o e 4o), que prevê hipóteses de configuração do assédio moral.)</v>
      </c>
      <c r="I180" s="3"/>
      <c r="J180" s="7">
        <f ca="1">IFERROR(__xludf.DUMMYFUNCTION("""COMPUTED_VALUE"""),45589)</f>
        <v>45589</v>
      </c>
      <c r="K180" s="5">
        <f ca="1">IFERROR(__xludf.DUMMYFUNCTION("""COMPUTED_VALUE"""),45595)</f>
        <v>45595</v>
      </c>
      <c r="L180" s="5">
        <f ca="1">IFERROR(__xludf.DUMMYFUNCTION("""COMPUTED_VALUE"""),45775)</f>
        <v>45775</v>
      </c>
      <c r="M180" s="5">
        <f ca="1">IFERROR(__xludf.DUMMYFUNCTION("""COMPUTED_VALUE"""),45776)</f>
        <v>45776</v>
      </c>
      <c r="N180" s="3">
        <f ca="1">IFERROR(__xludf.DUMMYFUNCTION("""COMPUTED_VALUE"""),223)</f>
        <v>223</v>
      </c>
      <c r="O180" s="5">
        <f ca="1">IFERROR(__xludf.DUMMYFUNCTION("""COMPUTED_VALUE"""),46506)</f>
        <v>46506</v>
      </c>
      <c r="P180" s="3">
        <f ca="1">IFERROR(__xludf.DUMMYFUNCTION("""COMPUTED_VALUE"""),1319)</f>
        <v>1319</v>
      </c>
      <c r="Q180" s="5">
        <f ca="1">IFERROR(__xludf.DUMMYFUNCTION("""COMPUTED_VALUE"""),47602)</f>
        <v>47602</v>
      </c>
      <c r="R180" s="3" t="str">
        <f ca="1">IFERROR(__xludf.DUMMYFUNCTION("""COMPUTED_VALUE"""),"Paula Assed")</f>
        <v>Paula Assed</v>
      </c>
      <c r="S180" s="3" t="str">
        <f ca="1">IFERROR(__xludf.DUMMYFUNCTION("""COMPUTED_VALUE"""),"Franciane")</f>
        <v>Franciane</v>
      </c>
      <c r="T180" s="3" t="str">
        <f ca="1">IFERROR(__xludf.DUMMYFUNCTION("""COMPUTED_VALUE"""),"Débora Ribeiro")</f>
        <v>Débora Ribeiro</v>
      </c>
      <c r="U180" s="3" t="str">
        <f ca="1">IFERROR(__xludf.DUMMYFUNCTION("""COMPUTED_VALUE"""),"Hannah Oliveira")</f>
        <v>Hannah Oliveira</v>
      </c>
      <c r="V180" s="3" t="str">
        <f ca="1">IFERROR(__xludf.DUMMYFUNCTION("""COMPUTED_VALUE"""),"Não")</f>
        <v>Não</v>
      </c>
      <c r="W180" s="3" t="str">
        <f ca="1">IFERROR(__xludf.DUMMYFUNCTION("""COMPUTED_VALUE"""),"SEI-260007/058214/2023")</f>
        <v>SEI-260007/058214/2023</v>
      </c>
      <c r="X180" s="3" t="str">
        <f ca="1">IFERROR(__xludf.DUMMYFUNCTION("""COMPUTED_VALUE"""),"3-  Concluso p/ Indiciação")</f>
        <v>3-  Concluso p/ Indiciação</v>
      </c>
    </row>
    <row r="181" spans="1:24" x14ac:dyDescent="0.2">
      <c r="A181" s="3" t="str">
        <f ca="1">IFERROR(__xludf.DUMMYFUNCTION("""COMPUTED_VALUE"""),"465/2024")</f>
        <v>465/2024</v>
      </c>
      <c r="B181" s="3" t="str">
        <f ca="1">IFERROR(__xludf.DUMMYFUNCTION("""COMPUTED_VALUE"""),"SEI-260006/051216/2024")</f>
        <v>SEI-260006/051216/2024</v>
      </c>
      <c r="C181" s="3" t="str">
        <f ca="1">IFERROR(__xludf.DUMMYFUNCTION("""COMPUTED_VALUE"""),"Yves Souza dos Santos, matrícula nº. 36.519-7")</f>
        <v>Yves Souza dos Santos, matrícula nº. 36.519-7</v>
      </c>
      <c r="D181" s="3" t="str">
        <f ca="1">IFERROR(__xludf.DUMMYFUNCTION("""COMPUTED_VALUE"""),"Abandono do Cargo")</f>
        <v>Abandono do Cargo</v>
      </c>
      <c r="E181" s="3"/>
      <c r="F181" s="3" t="str">
        <f ca="1">IFERROR(__xludf.DUMMYFUNCTION("""COMPUTED_VALUE"""),"Abandono de cargo/ Inassiduidade habitual.")</f>
        <v>Abandono de cargo/ Inassiduidade habitual.</v>
      </c>
      <c r="G181" s="3" t="str">
        <f ca="1">IFERROR(__xludf.DUMMYFUNCTION("""COMPUTED_VALUE"""),"Abandono de cargo/ Inassiduidade habitual")</f>
        <v>Abandono de cargo/ Inassiduidade habitual</v>
      </c>
      <c r="H181" s="3" t="str">
        <f ca="1">IFERROR(__xludf.DUMMYFUNCTION("""COMPUTED_VALUE"""),"faltas injustificadas e atrasos recorrentes, com fulcro no inciso V do artigo 52 e inciso II do artigo 39 do Decreto Lei 220/75.")</f>
        <v>faltas injustificadas e atrasos recorrentes, com fulcro no inciso V do artigo 52 e inciso II do artigo 39 do Decreto Lei 220/75.</v>
      </c>
      <c r="I181" s="3"/>
      <c r="J181" s="7">
        <f ca="1">IFERROR(__xludf.DUMMYFUNCTION("""COMPUTED_VALUE"""),45595)</f>
        <v>45595</v>
      </c>
      <c r="K181" s="5">
        <f ca="1">IFERROR(__xludf.DUMMYFUNCTION("""COMPUTED_VALUE"""),45597)</f>
        <v>45597</v>
      </c>
      <c r="L181" s="5">
        <f ca="1">IFERROR(__xludf.DUMMYFUNCTION("""COMPUTED_VALUE"""),45777)</f>
        <v>45777</v>
      </c>
      <c r="M181" s="5">
        <f ca="1">IFERROR(__xludf.DUMMYFUNCTION("""COMPUTED_VALUE"""),45778)</f>
        <v>45778</v>
      </c>
      <c r="N181" s="3">
        <f ca="1">IFERROR(__xludf.DUMMYFUNCTION("""COMPUTED_VALUE"""),225)</f>
        <v>225</v>
      </c>
      <c r="O181" s="5">
        <f ca="1">IFERROR(__xludf.DUMMYFUNCTION("""COMPUTED_VALUE"""),46508)</f>
        <v>46508</v>
      </c>
      <c r="P181" s="3">
        <f ca="1">IFERROR(__xludf.DUMMYFUNCTION("""COMPUTED_VALUE"""),1321)</f>
        <v>1321</v>
      </c>
      <c r="Q181" s="5">
        <f ca="1">IFERROR(__xludf.DUMMYFUNCTION("""COMPUTED_VALUE"""),47604)</f>
        <v>47604</v>
      </c>
      <c r="R181" s="3" t="str">
        <f ca="1">IFERROR(__xludf.DUMMYFUNCTION("""COMPUTED_VALUE"""),"Bianca Faertes")</f>
        <v>Bianca Faertes</v>
      </c>
      <c r="S181" s="3" t="str">
        <f ca="1">IFERROR(__xludf.DUMMYFUNCTION("""COMPUTED_VALUE"""),"Patrícia")</f>
        <v>Patrícia</v>
      </c>
      <c r="T181" s="3" t="str">
        <f ca="1">IFERROR(__xludf.DUMMYFUNCTION("""COMPUTED_VALUE"""),"Marcelo Bento")</f>
        <v>Marcelo Bento</v>
      </c>
      <c r="U181" s="3" t="str">
        <f ca="1">IFERROR(__xludf.DUMMYFUNCTION("""COMPUTED_VALUE"""),"Jeanny Passigatte")</f>
        <v>Jeanny Passigatte</v>
      </c>
      <c r="V181" s="3" t="str">
        <f ca="1">IFERROR(__xludf.DUMMYFUNCTION("""COMPUTED_VALUE"""),"Alan Luis Nogueira Pinto")</f>
        <v>Alan Luis Nogueira Pinto</v>
      </c>
      <c r="W181" s="3" t="str">
        <f ca="1">IFERROR(__xludf.DUMMYFUNCTION("""COMPUTED_VALUE"""),"SEI-260006/010756/2024")</f>
        <v>SEI-260006/010756/2024</v>
      </c>
      <c r="X181" s="3" t="str">
        <f ca="1">IFERROR(__xludf.DUMMYFUNCTION("""COMPUTED_VALUE"""),"2- Instrução")</f>
        <v>2- Instrução</v>
      </c>
    </row>
    <row r="182" spans="1:24" x14ac:dyDescent="0.2">
      <c r="A182" s="3" t="str">
        <f ca="1">IFERROR(__xludf.DUMMYFUNCTION("""COMPUTED_VALUE"""),"467/2024")</f>
        <v>467/2024</v>
      </c>
      <c r="B182" s="3" t="str">
        <f ca="1">IFERROR(__xludf.DUMMYFUNCTION("""COMPUTED_VALUE"""),"SEI-260006/052510/2024")</f>
        <v>SEI-260006/052510/2024</v>
      </c>
      <c r="C182" s="3" t="str">
        <f ca="1">IFERROR(__xludf.DUMMYFUNCTION("""COMPUTED_VALUE"""),"Guilherme Teixeira Portugal, matr. 35273-2")</f>
        <v>Guilherme Teixeira Portugal, matr. 35273-2</v>
      </c>
      <c r="D182" s="3" t="str">
        <f ca="1">IFERROR(__xludf.DUMMYFUNCTION("""COMPUTED_VALUE"""),"Desvio de conduta")</f>
        <v>Desvio de conduta</v>
      </c>
      <c r="E182" s="3"/>
      <c r="F182" s="3" t="str">
        <f ca="1">IFERROR(__xludf.DUMMYFUNCTION("""COMPUTED_VALUE"""),"Acumulação de cargos.")</f>
        <v>Acumulação de cargos.</v>
      </c>
      <c r="G182" s="3" t="str">
        <f ca="1">IFERROR(__xludf.DUMMYFUNCTION("""COMPUTED_VALUE"""),"Acumulação de cargos")</f>
        <v>Acumulação de cargos</v>
      </c>
      <c r="H182" s="3" t="str">
        <f ca="1">IFERROR(__xludf.DUMMYFUNCTION("""COMPUTED_VALUE"""),"possível violação do dever de observância das normas legais (inserto no art. 39, inciso VII, do Decreto-lei 220/1975) e da proibição ao exercício irregular de funções (inserta no art. 40, XVII, Decreto-lei 220/1975), ante a não comunicação da diplomação n"&amp;"o cargo eletivo e o não afastamento de suas atividades, conforme o comando legal, mas também a consequente acumulação ilícita de cargos públicos (conforme art. 37, parágrafo único do Decreto-lei 220/1975).)")</f>
        <v>possível violação do dever de observância das normas legais (inserto no art. 39, inciso VII, do Decreto-lei 220/1975) e da proibição ao exercício irregular de funções (inserta no art. 40, XVII, Decreto-lei 220/1975), ante a não comunicação da diplomação no cargo eletivo e o não afastamento de suas atividades, conforme o comando legal, mas também a consequente acumulação ilícita de cargos públicos (conforme art. 37, parágrafo único do Decreto-lei 220/1975).)</v>
      </c>
      <c r="I182" s="3" t="str">
        <f ca="1">IFERROR(__xludf.DUMMYFUNCTION("""COMPUTED_VALUE"""),"Não")</f>
        <v>Não</v>
      </c>
      <c r="J182" s="5">
        <f ca="1">IFERROR(__xludf.DUMMYFUNCTION("""COMPUTED_VALUE"""),45604)</f>
        <v>45604</v>
      </c>
      <c r="K182" s="5">
        <f ca="1">IFERROR(__xludf.DUMMYFUNCTION("""COMPUTED_VALUE"""),45609)</f>
        <v>45609</v>
      </c>
      <c r="L182" s="5">
        <f ca="1">IFERROR(__xludf.DUMMYFUNCTION("""COMPUTED_VALUE"""),45789)</f>
        <v>45789</v>
      </c>
      <c r="M182" s="5">
        <f ca="1">IFERROR(__xludf.DUMMYFUNCTION("""COMPUTED_VALUE"""),45790)</f>
        <v>45790</v>
      </c>
      <c r="N182" s="3">
        <f ca="1">IFERROR(__xludf.DUMMYFUNCTION("""COMPUTED_VALUE"""),237)</f>
        <v>237</v>
      </c>
      <c r="O182" s="5">
        <f ca="1">IFERROR(__xludf.DUMMYFUNCTION("""COMPUTED_VALUE"""),46520)</f>
        <v>46520</v>
      </c>
      <c r="P182" s="3">
        <f ca="1">IFERROR(__xludf.DUMMYFUNCTION("""COMPUTED_VALUE"""),1333)</f>
        <v>1333</v>
      </c>
      <c r="Q182" s="5">
        <f ca="1">IFERROR(__xludf.DUMMYFUNCTION("""COMPUTED_VALUE"""),47616)</f>
        <v>47616</v>
      </c>
      <c r="R182" s="3" t="str">
        <f ca="1">IFERROR(__xludf.DUMMYFUNCTION("""COMPUTED_VALUE"""),"Bianca Faertes")</f>
        <v>Bianca Faertes</v>
      </c>
      <c r="S182" s="3" t="str">
        <f ca="1">IFERROR(__xludf.DUMMYFUNCTION("""COMPUTED_VALUE"""),"Isadora")</f>
        <v>Isadora</v>
      </c>
      <c r="T182" s="3" t="str">
        <f ca="1">IFERROR(__xludf.DUMMYFUNCTION("""COMPUTED_VALUE"""),"Marcelo Ferreira")</f>
        <v>Marcelo Ferreira</v>
      </c>
      <c r="U182" s="3" t="str">
        <f ca="1">IFERROR(__xludf.DUMMYFUNCTION("""COMPUTED_VALUE"""),"Celso Luiz Pieroni")</f>
        <v>Celso Luiz Pieroni</v>
      </c>
      <c r="V182" s="3" t="str">
        <f ca="1">IFERROR(__xludf.DUMMYFUNCTION("""COMPUTED_VALUE"""),"Não")</f>
        <v>Não</v>
      </c>
      <c r="W182" s="3" t="str">
        <f ca="1">IFERROR(__xludf.DUMMYFUNCTION("""COMPUTED_VALUE"""),"SEI-260006/016088/2024")</f>
        <v>SEI-260006/016088/2024</v>
      </c>
      <c r="X182" s="3" t="str">
        <f ca="1">IFERROR(__xludf.DUMMYFUNCTION("""COMPUTED_VALUE"""),"2- Instrução")</f>
        <v>2- Instrução</v>
      </c>
    </row>
    <row r="183" spans="1:24" x14ac:dyDescent="0.2">
      <c r="A183" s="3" t="str">
        <f ca="1">IFERROR(__xludf.DUMMYFUNCTION("""COMPUTED_VALUE"""),"468/2024")</f>
        <v>468/2024</v>
      </c>
      <c r="B183" s="3" t="str">
        <f ca="1">IFERROR(__xludf.DUMMYFUNCTION("""COMPUTED_VALUE"""),"SEI-260006/054947/2024")</f>
        <v>SEI-260006/054947/2024</v>
      </c>
      <c r="C183" s="3" t="str">
        <f ca="1">IFERROR(__xludf.DUMMYFUNCTION("""COMPUTED_VALUE"""),"Fabio Antunes de Oliveira Gama, matrícula nº 40534-0")</f>
        <v>Fabio Antunes de Oliveira Gama, matrícula nº 40534-0</v>
      </c>
      <c r="D183" s="3" t="str">
        <f ca="1">IFERROR(__xludf.DUMMYFUNCTION("""COMPUTED_VALUE"""),"Abandono do Cargo")</f>
        <v>Abandono do Cargo</v>
      </c>
      <c r="E183" s="3" t="str">
        <f ca="1">IFERROR(__xludf.DUMMYFUNCTION("""COMPUTED_VALUE"""),"Abndono de cargo")</f>
        <v>Abndono de cargo</v>
      </c>
      <c r="F183" s="3" t="str">
        <f ca="1">IFERROR(__xludf.DUMMYFUNCTION("""COMPUTED_VALUE"""),"Abandono de cargo/ Inassiduidade habitual.")</f>
        <v>Abandono de cargo/ Inassiduidade habitual.</v>
      </c>
      <c r="G183" s="3" t="str">
        <f ca="1">IFERROR(__xludf.DUMMYFUNCTION("""COMPUTED_VALUE"""),"Abandono de cargo/ Inassiduidade habitual")</f>
        <v>Abandono de cargo/ Inassiduidade habitual</v>
      </c>
      <c r="H183" s="3" t="str">
        <f ca="1">IFERROR(__xludf.DUMMYFUNCTION("""COMPUTED_VALUE"""),"faltas injustificadas, com fulcro no inciso V do artigo 52 do Decreto Lei 220/75.")</f>
        <v>faltas injustificadas, com fulcro no inciso V do artigo 52 do Decreto Lei 220/75.</v>
      </c>
      <c r="I183" s="3"/>
      <c r="J183" s="7">
        <f ca="1">IFERROR(__xludf.DUMMYFUNCTION("""COMPUTED_VALUE"""),45617)</f>
        <v>45617</v>
      </c>
      <c r="K183" s="5">
        <f ca="1">IFERROR(__xludf.DUMMYFUNCTION("""COMPUTED_VALUE"""),45623)</f>
        <v>45623</v>
      </c>
      <c r="L183" s="5">
        <f ca="1">IFERROR(__xludf.DUMMYFUNCTION("""COMPUTED_VALUE"""),45803)</f>
        <v>45803</v>
      </c>
      <c r="M183" s="5">
        <f ca="1">IFERROR(__xludf.DUMMYFUNCTION("""COMPUTED_VALUE"""),45804)</f>
        <v>45804</v>
      </c>
      <c r="N183" s="3">
        <f ca="1">IFERROR(__xludf.DUMMYFUNCTION("""COMPUTED_VALUE"""),251)</f>
        <v>251</v>
      </c>
      <c r="O183" s="5">
        <f ca="1">IFERROR(__xludf.DUMMYFUNCTION("""COMPUTED_VALUE"""),46534)</f>
        <v>46534</v>
      </c>
      <c r="P183" s="3">
        <f ca="1">IFERROR(__xludf.DUMMYFUNCTION("""COMPUTED_VALUE"""),1347)</f>
        <v>1347</v>
      </c>
      <c r="Q183" s="5">
        <f ca="1">IFERROR(__xludf.DUMMYFUNCTION("""COMPUTED_VALUE"""),47630)</f>
        <v>47630</v>
      </c>
      <c r="R183" s="3" t="str">
        <f ca="1">IFERROR(__xludf.DUMMYFUNCTION("""COMPUTED_VALUE"""),"Paula Assed")</f>
        <v>Paula Assed</v>
      </c>
      <c r="S183" s="3" t="str">
        <f ca="1">IFERROR(__xludf.DUMMYFUNCTION("""COMPUTED_VALUE"""),"Débora")</f>
        <v>Débora</v>
      </c>
      <c r="T183" s="3" t="str">
        <f ca="1">IFERROR(__xludf.DUMMYFUNCTION("""COMPUTED_VALUE"""),"Felipe Perdigão")</f>
        <v>Felipe Perdigão</v>
      </c>
      <c r="U183" s="3" t="str">
        <f ca="1">IFERROR(__xludf.DUMMYFUNCTION("""COMPUTED_VALUE"""),"Vanessa Queiroz")</f>
        <v>Vanessa Queiroz</v>
      </c>
      <c r="V183" s="3" t="str">
        <f ca="1">IFERROR(__xludf.DUMMYFUNCTION("""COMPUTED_VALUE"""),"Não")</f>
        <v>Não</v>
      </c>
      <c r="W183" s="3" t="str">
        <f ca="1">IFERROR(__xludf.DUMMYFUNCTION("""COMPUTED_VALUE"""),"SEI-260007/019924/2023")</f>
        <v>SEI-260007/019924/2023</v>
      </c>
      <c r="X183" s="3" t="str">
        <f ca="1">IFERROR(__xludf.DUMMYFUNCTION("""COMPUTED_VALUE"""),"2- Instrução")</f>
        <v>2- Instrução</v>
      </c>
    </row>
    <row r="184" spans="1:24" x14ac:dyDescent="0.2">
      <c r="A184" s="3" t="str">
        <f ca="1">IFERROR(__xludf.DUMMYFUNCTION("""COMPUTED_VALUE"""),"469/2025")</f>
        <v>469/2025</v>
      </c>
      <c r="B184" s="3" t="str">
        <f ca="1">IFERROR(__xludf.DUMMYFUNCTION("""COMPUTED_VALUE"""),"SEI-260006/004359/2025")</f>
        <v>SEI-260006/004359/2025</v>
      </c>
      <c r="C184" s="3" t="str">
        <f ca="1">IFERROR(__xludf.DUMMYFUNCTION("""COMPUTED_VALUE"""),"Marcelo Reis de Mello,ma
tr. nº 39640-8.")</f>
        <v>Marcelo Reis de Mello,ma
tr. nº 39640-8.</v>
      </c>
      <c r="D184" s="3" t="str">
        <f ca="1">IFERROR(__xludf.DUMMYFUNCTION("""COMPUTED_VALUE"""),"Abandono do Cargo")</f>
        <v>Abandono do Cargo</v>
      </c>
      <c r="E184" s="3"/>
      <c r="F184" s="3" t="str">
        <f ca="1">IFERROR(__xludf.DUMMYFUNCTION("""COMPUTED_VALUE"""),"Abandono de cargo/ Inassiduidade habitual.")</f>
        <v>Abandono de cargo/ Inassiduidade habitual.</v>
      </c>
      <c r="G184" s="3" t="str">
        <f ca="1">IFERROR(__xludf.DUMMYFUNCTION("""COMPUTED_VALUE"""),"Abandono de cargo/ Inassiduidade habitual")</f>
        <v>Abandono de cargo/ Inassiduidade habitual</v>
      </c>
      <c r="H184" s="3" t="str">
        <f ca="1">IFERROR(__xludf.DUMMYFUNCTION("""COMPUTED_VALUE"""),"apuração de faltas injustificadas no período de 01/05/2024 a 30/06/2024.")</f>
        <v>apuração de faltas injustificadas no período de 01/05/2024 a 30/06/2024.</v>
      </c>
      <c r="I184" s="3"/>
      <c r="J184" s="5">
        <f ca="1">IFERROR(__xludf.DUMMYFUNCTION("""COMPUTED_VALUE"""),45670)</f>
        <v>45670</v>
      </c>
      <c r="K184" s="5">
        <f ca="1">IFERROR(__xludf.DUMMYFUNCTION("""COMPUTED_VALUE"""),45672)</f>
        <v>45672</v>
      </c>
      <c r="L184" s="5">
        <f ca="1">IFERROR(__xludf.DUMMYFUNCTION("""COMPUTED_VALUE"""),45852)</f>
        <v>45852</v>
      </c>
      <c r="M184" s="5">
        <f ca="1">IFERROR(__xludf.DUMMYFUNCTION("""COMPUTED_VALUE"""),45853)</f>
        <v>45853</v>
      </c>
      <c r="N184" s="3">
        <f ca="1">IFERROR(__xludf.DUMMYFUNCTION("""COMPUTED_VALUE"""),300)</f>
        <v>300</v>
      </c>
      <c r="O184" s="5">
        <f ca="1">IFERROR(__xludf.DUMMYFUNCTION("""COMPUTED_VALUE"""),46583)</f>
        <v>46583</v>
      </c>
      <c r="P184" s="3">
        <f ca="1">IFERROR(__xludf.DUMMYFUNCTION("""COMPUTED_VALUE"""),1396)</f>
        <v>1396</v>
      </c>
      <c r="Q184" s="5">
        <f ca="1">IFERROR(__xludf.DUMMYFUNCTION("""COMPUTED_VALUE"""),47679)</f>
        <v>47679</v>
      </c>
      <c r="R184" s="3" t="str">
        <f ca="1">IFERROR(__xludf.DUMMYFUNCTION("""COMPUTED_VALUE"""),"Alessandra Abelheira")</f>
        <v>Alessandra Abelheira</v>
      </c>
      <c r="S184" s="3" t="str">
        <f ca="1">IFERROR(__xludf.DUMMYFUNCTION("""COMPUTED_VALUE"""),"Franciane")</f>
        <v>Franciane</v>
      </c>
      <c r="T184" s="3" t="str">
        <f ca="1">IFERROR(__xludf.DUMMYFUNCTION("""COMPUTED_VALUE"""),"Paula Assed")</f>
        <v>Paula Assed</v>
      </c>
      <c r="U184" s="3" t="str">
        <f ca="1">IFERROR(__xludf.DUMMYFUNCTION("""COMPUTED_VALUE"""),"Hannah Oliveira")</f>
        <v>Hannah Oliveira</v>
      </c>
      <c r="V184" s="3" t="str">
        <f ca="1">IFERROR(__xludf.DUMMYFUNCTION("""COMPUTED_VALUE"""),"Débora da Silva Antônio")</f>
        <v>Débora da Silva Antônio</v>
      </c>
      <c r="W184" s="3" t="str">
        <f ca="1">IFERROR(__xludf.DUMMYFUNCTION("""COMPUTED_VALUE"""),"SEI-260006/027818/2024")</f>
        <v>SEI-260006/027818/2024</v>
      </c>
      <c r="X184" s="3" t="str">
        <f ca="1">IFERROR(__xludf.DUMMYFUNCTION("""COMPUTED_VALUE"""),"2- Instrução")</f>
        <v>2- Instrução</v>
      </c>
    </row>
    <row r="185" spans="1:24" x14ac:dyDescent="0.2">
      <c r="A185" s="3" t="str">
        <f ca="1">IFERROR(__xludf.DUMMYFUNCTION("""COMPUTED_VALUE"""),"462/2024")</f>
        <v>462/2024</v>
      </c>
      <c r="B185" s="3" t="str">
        <f ca="1">IFERROR(__xludf.DUMMYFUNCTION("""COMPUTED_VALUE"""),"SEI-260006/047038/2024")</f>
        <v>SEI-260006/047038/2024</v>
      </c>
      <c r="C185" s="3" t="str">
        <f ca="1">IFERROR(__xludf.DUMMYFUNCTION("""COMPUTED_VALUE"""),"Simone Oliveira da Rocha Teixeira, 337758")</f>
        <v>Simone Oliveira da Rocha Teixeira, 337758</v>
      </c>
      <c r="D185" s="3" t="str">
        <f ca="1">IFERROR(__xludf.DUMMYFUNCTION("""COMPUTED_VALUE"""),"Desvio de conduta")</f>
        <v>Desvio de conduta</v>
      </c>
      <c r="E185" s="3" t="str">
        <f ca="1">IFERROR(__xludf.DUMMYFUNCTION("""COMPUTED_VALUE"""),"Omissão")</f>
        <v>Omissão</v>
      </c>
      <c r="F185" s="3" t="str">
        <f ca="1">IFERROR(__xludf.DUMMYFUNCTION("""COMPUTED_VALUE"""),"Outros.")</f>
        <v>Outros.</v>
      </c>
      <c r="G185" s="3" t="str">
        <f ca="1">IFERROR(__xludf.DUMMYFUNCTION("""COMPUTED_VALUE"""),"não comunicar suposto crime ocorrido no setor (artigo 50, I do DL 220/75), fato que, inclusive, pode caracterizar a prática do crime de condescendência criminosa (artigo 320 do Código Penal) e desídia no exercício das funções (artigo 52, I do DL 220/75), "&amp;"com as considerações postas na fundamentação do parecer;")</f>
        <v>não comunicar suposto crime ocorrido no setor (artigo 50, I do DL 220/75), fato que, inclusive, pode caracterizar a prática do crime de condescendência criminosa (artigo 320 do Código Penal) e desídia no exercício das funções (artigo 52, I do DL 220/75), com as considerações postas na fundamentação do parecer;</v>
      </c>
      <c r="H185" s="3" t="str">
        <f ca="1">IFERROR(__xludf.DUMMYFUNCTION("""COMPUTED_VALUE"""),"indícios de infrações funcionais de natureza grave: não comunicar suposto crime ocorrido no setor (artigo 50, I do DL 220/75), fato que, inclusive, pode caracterizar a prática do crime de condescendência criminosa (artigo 320 do Código Penal) e desídia no"&amp;" exercício das funções (artigo 52, I do DL 220/75), com as considerações postas na fundamentação do parecer;")</f>
        <v>indícios de infrações funcionais de natureza grave: não comunicar suposto crime ocorrido no setor (artigo 50, I do DL 220/75), fato que, inclusive, pode caracterizar a prática do crime de condescendência criminosa (artigo 320 do Código Penal) e desídia no exercício das funções (artigo 52, I do DL 220/75), com as considerações postas na fundamentação do parecer;</v>
      </c>
      <c r="I185" s="3"/>
      <c r="J185" s="7">
        <f ca="1">IFERROR(__xludf.DUMMYFUNCTION("""COMPUTED_VALUE"""),45579)</f>
        <v>45579</v>
      </c>
      <c r="K185" s="5">
        <f ca="1">IFERROR(__xludf.DUMMYFUNCTION("""COMPUTED_VALUE"""),45582)</f>
        <v>45582</v>
      </c>
      <c r="L185" s="5">
        <f ca="1">IFERROR(__xludf.DUMMYFUNCTION("""COMPUTED_VALUE"""),45762)</f>
        <v>45762</v>
      </c>
      <c r="M185" s="5">
        <f ca="1">IFERROR(__xludf.DUMMYFUNCTION("""COMPUTED_VALUE"""),45763)</f>
        <v>45763</v>
      </c>
      <c r="N185" s="3">
        <f ca="1">IFERROR(__xludf.DUMMYFUNCTION("""COMPUTED_VALUE"""),210)</f>
        <v>210</v>
      </c>
      <c r="O185" s="5">
        <f ca="1">IFERROR(__xludf.DUMMYFUNCTION("""COMPUTED_VALUE"""),46493)</f>
        <v>46493</v>
      </c>
      <c r="P185" s="3">
        <f ca="1">IFERROR(__xludf.DUMMYFUNCTION("""COMPUTED_VALUE"""),1306)</f>
        <v>1306</v>
      </c>
      <c r="Q185" s="5">
        <f ca="1">IFERROR(__xludf.DUMMYFUNCTION("""COMPUTED_VALUE"""),47589)</f>
        <v>47589</v>
      </c>
      <c r="R185" s="3" t="str">
        <f ca="1">IFERROR(__xludf.DUMMYFUNCTION("""COMPUTED_VALUE"""),"Vanessa Queiroz")</f>
        <v>Vanessa Queiroz</v>
      </c>
      <c r="S185" s="3" t="str">
        <f ca="1">IFERROR(__xludf.DUMMYFUNCTION("""COMPUTED_VALUE"""),"Isadora")</f>
        <v>Isadora</v>
      </c>
      <c r="T185" s="3" t="str">
        <f ca="1">IFERROR(__xludf.DUMMYFUNCTION("""COMPUTED_VALUE"""),"Felipe Perdigão")</f>
        <v>Felipe Perdigão</v>
      </c>
      <c r="U185" s="3" t="str">
        <f ca="1">IFERROR(__xludf.DUMMYFUNCTION("""COMPUTED_VALUE"""),"Thiago Rocha")</f>
        <v>Thiago Rocha</v>
      </c>
      <c r="V185" s="3" t="str">
        <f ca="1">IFERROR(__xludf.DUMMYFUNCTION("""COMPUTED_VALUE"""),"Não")</f>
        <v>Não</v>
      </c>
      <c r="W185" s="3" t="str">
        <f ca="1">IFERROR(__xludf.DUMMYFUNCTION("""COMPUTED_VALUE"""),"SEI-260008/005616/2023")</f>
        <v>SEI-260008/005616/2023</v>
      </c>
      <c r="X185" s="3" t="str">
        <f ca="1">IFERROR(__xludf.DUMMYFUNCTION("""COMPUTED_VALUE"""),"3-  Concluso p/ Indiciação")</f>
        <v>3-  Concluso p/ Indiciação</v>
      </c>
    </row>
    <row r="186" spans="1:24" x14ac:dyDescent="0.2">
      <c r="A186" s="3" t="str">
        <f ca="1">IFERROR(__xludf.DUMMYFUNCTION("""COMPUTED_VALUE"""),"471/2025")</f>
        <v>471/2025</v>
      </c>
      <c r="B186" s="3" t="str">
        <f ca="1">IFERROR(__xludf.DUMMYFUNCTION("""COMPUTED_VALUE"""),"SEI-260006/008559/2025")</f>
        <v>SEI-260006/008559/2025</v>
      </c>
      <c r="C186" s="3" t="str">
        <f ca="1">IFERROR(__xludf.DUMMYFUNCTION("""COMPUTED_VALUE"""),"Ligiane Pessanha Almeida, matrícula nº 33494-6.")</f>
        <v>Ligiane Pessanha Almeida, matrícula nº 33494-6.</v>
      </c>
      <c r="D186" s="3" t="str">
        <f ca="1">IFERROR(__xludf.DUMMYFUNCTION("""COMPUTED_VALUE"""),"Acumulação Ilegal")</f>
        <v>Acumulação Ilegal</v>
      </c>
      <c r="E186" s="3"/>
      <c r="F186" s="3" t="str">
        <f ca="1">IFERROR(__xludf.DUMMYFUNCTION("""COMPUTED_VALUE"""),"Acumulação de cargos.")</f>
        <v>Acumulação de cargos.</v>
      </c>
      <c r="G186" s="3" t="str">
        <f ca="1">IFERROR(__xludf.DUMMYFUNCTION("""COMPUTED_VALUE"""),"Acumulação de cargos")</f>
        <v>Acumulação de cargos</v>
      </c>
      <c r="H186" s="3" t="str">
        <f ca="1">IFERROR(__xludf.DUMMYFUNCTION("""COMPUTED_VALUE"""),"indícios de acumulação ilegal de cargos públicos pelo período de 06/10/2005 a 04/03/2024 e ausência de boa fé da servidora.")</f>
        <v>indícios de acumulação ilegal de cargos públicos pelo período de 06/10/2005 a 04/03/2024 e ausência de boa fé da servidora.</v>
      </c>
      <c r="I186" s="3"/>
      <c r="J186" s="5">
        <f ca="1">IFERROR(__xludf.DUMMYFUNCTION("""COMPUTED_VALUE"""),45698)</f>
        <v>45698</v>
      </c>
      <c r="K186" s="5">
        <f ca="1">IFERROR(__xludf.DUMMYFUNCTION("""COMPUTED_VALUE"""),45700)</f>
        <v>45700</v>
      </c>
      <c r="L186" s="5">
        <f ca="1">IFERROR(__xludf.DUMMYFUNCTION("""COMPUTED_VALUE"""),45880)</f>
        <v>45880</v>
      </c>
      <c r="M186" s="5">
        <f ca="1">IFERROR(__xludf.DUMMYFUNCTION("""COMPUTED_VALUE"""),45881)</f>
        <v>45881</v>
      </c>
      <c r="N186" s="3">
        <f ca="1">IFERROR(__xludf.DUMMYFUNCTION("""COMPUTED_VALUE"""),328)</f>
        <v>328</v>
      </c>
      <c r="O186" s="5">
        <f ca="1">IFERROR(__xludf.DUMMYFUNCTION("""COMPUTED_VALUE"""),46611)</f>
        <v>46611</v>
      </c>
      <c r="P186" s="3">
        <f ca="1">IFERROR(__xludf.DUMMYFUNCTION("""COMPUTED_VALUE"""),1424)</f>
        <v>1424</v>
      </c>
      <c r="Q186" s="5">
        <f ca="1">IFERROR(__xludf.DUMMYFUNCTION("""COMPUTED_VALUE"""),47707)</f>
        <v>47707</v>
      </c>
      <c r="R186" s="3" t="str">
        <f ca="1">IFERROR(__xludf.DUMMYFUNCTION("""COMPUTED_VALUE"""),"Paula Assed")</f>
        <v>Paula Assed</v>
      </c>
      <c r="S186" s="3" t="str">
        <f ca="1">IFERROR(__xludf.DUMMYFUNCTION("""COMPUTED_VALUE"""),"Patrícia")</f>
        <v>Patrícia</v>
      </c>
      <c r="T186" s="3" t="str">
        <f ca="1">IFERROR(__xludf.DUMMYFUNCTION("""COMPUTED_VALUE"""),"Alessandra Abelheira")</f>
        <v>Alessandra Abelheira</v>
      </c>
      <c r="U186" s="3" t="str">
        <f ca="1">IFERROR(__xludf.DUMMYFUNCTION("""COMPUTED_VALUE"""),"Celso Luiz Pieroni")</f>
        <v>Celso Luiz Pieroni</v>
      </c>
      <c r="V186" s="3" t="str">
        <f ca="1">IFERROR(__xludf.DUMMYFUNCTION("""COMPUTED_VALUE"""),"Não")</f>
        <v>Não</v>
      </c>
      <c r="W186" s="3" t="str">
        <f ca="1">IFERROR(__xludf.DUMMYFUNCTION("""COMPUTED_VALUE"""),"SEI-260007/066115/2023 ")</f>
        <v xml:space="preserve">SEI-260007/066115/2023 </v>
      </c>
      <c r="X186" s="3" t="str">
        <f ca="1">IFERROR(__xludf.DUMMYFUNCTION("""COMPUTED_VALUE"""),"2- Instrução")</f>
        <v>2- Instrução</v>
      </c>
    </row>
    <row r="187" spans="1:24" x14ac:dyDescent="0.2">
      <c r="A187" s="3" t="str">
        <f ca="1">IFERROR(__xludf.DUMMYFUNCTION("""COMPUTED_VALUE"""),"472/2025")</f>
        <v>472/2025</v>
      </c>
      <c r="B187" s="3" t="str">
        <f ca="1">IFERROR(__xludf.DUMMYFUNCTION("""COMPUTED_VALUE"""),"SEI-260006/013569/2025")</f>
        <v>SEI-260006/013569/2025</v>
      </c>
      <c r="C187" s="3" t="str">
        <f ca="1">IFERROR(__xludf.DUMMYFUNCTION("""COMPUTED_VALUE"""),"Mônica Antunes da Chagas, matrícula nº 41.844-2, CPF 079.705.867-24")</f>
        <v>Mônica Antunes da Chagas, matrícula nº 41.844-2, CPF 079.705.867-24</v>
      </c>
      <c r="D187" s="3" t="str">
        <f ca="1">IFERROR(__xludf.DUMMYFUNCTION("""COMPUTED_VALUE"""),"Acumulação Ilegal")</f>
        <v>Acumulação Ilegal</v>
      </c>
      <c r="E187" s="3"/>
      <c r="F187" s="3" t="str">
        <f ca="1">IFERROR(__xludf.DUMMYFUNCTION("""COMPUTED_VALUE"""),"Acumulação de cargos.")</f>
        <v>Acumulação de cargos.</v>
      </c>
      <c r="G187" s="3" t="str">
        <f ca="1">IFERROR(__xludf.DUMMYFUNCTION("""COMPUTED_VALUE"""),"Acumulação de cargos")</f>
        <v>Acumulação de cargos</v>
      </c>
      <c r="H187" s="3" t="str">
        <f ca="1">IFERROR(__xludf.DUMMYFUNCTION("""COMPUTED_VALUE"""),"acumulação de cargos do cargo de TUII/Assistente Administrativo, matrícula nº 41.844-2, nesta Universidade e de Professor Docente I, mat. n° 288.182-9, junto a Prefeitura do Rio de Janeiro.")</f>
        <v>acumulação de cargos do cargo de TUII/Assistente Administrativo, matrícula nº 41.844-2, nesta Universidade e de Professor Docente I, mat. n° 288.182-9, junto a Prefeitura do Rio de Janeiro.</v>
      </c>
      <c r="I187" s="3"/>
      <c r="J187" s="5">
        <f ca="1">IFERROR(__xludf.DUMMYFUNCTION("""COMPUTED_VALUE"""),45742)</f>
        <v>45742</v>
      </c>
      <c r="K187" s="5">
        <f ca="1">IFERROR(__xludf.DUMMYFUNCTION("""COMPUTED_VALUE"""),45744)</f>
        <v>45744</v>
      </c>
      <c r="L187" s="5">
        <f ca="1">IFERROR(__xludf.DUMMYFUNCTION("""COMPUTED_VALUE"""),45924)</f>
        <v>45924</v>
      </c>
      <c r="M187" s="5">
        <f ca="1">IFERROR(__xludf.DUMMYFUNCTION("""COMPUTED_VALUE"""),45925)</f>
        <v>45925</v>
      </c>
      <c r="N187" s="3">
        <f ca="1">IFERROR(__xludf.DUMMYFUNCTION("""COMPUTED_VALUE"""),372)</f>
        <v>372</v>
      </c>
      <c r="O187" s="5">
        <f ca="1">IFERROR(__xludf.DUMMYFUNCTION("""COMPUTED_VALUE"""),46655)</f>
        <v>46655</v>
      </c>
      <c r="P187" s="3">
        <f ca="1">IFERROR(__xludf.DUMMYFUNCTION("""COMPUTED_VALUE"""),1468)</f>
        <v>1468</v>
      </c>
      <c r="Q187" s="5">
        <f ca="1">IFERROR(__xludf.DUMMYFUNCTION("""COMPUTED_VALUE"""),47751)</f>
        <v>47751</v>
      </c>
      <c r="R187" s="3" t="str">
        <f ca="1">IFERROR(__xludf.DUMMYFUNCTION("""COMPUTED_VALUE"""),"Alessandra Abelheira")</f>
        <v>Alessandra Abelheira</v>
      </c>
      <c r="S187" s="3" t="str">
        <f ca="1">IFERROR(__xludf.DUMMYFUNCTION("""COMPUTED_VALUE"""),"Micheline")</f>
        <v>Micheline</v>
      </c>
      <c r="T187" s="3" t="str">
        <f ca="1">IFERROR(__xludf.DUMMYFUNCTION("""COMPUTED_VALUE"""),"Gustavo Mozart")</f>
        <v>Gustavo Mozart</v>
      </c>
      <c r="U187" s="3" t="str">
        <f ca="1">IFERROR(__xludf.DUMMYFUNCTION("""COMPUTED_VALUE"""),"Thiago Rocha")</f>
        <v>Thiago Rocha</v>
      </c>
      <c r="V187" s="3" t="str">
        <f ca="1">IFERROR(__xludf.DUMMYFUNCTION("""COMPUTED_VALUE"""),"Alan Luis Nogueira Pinto")</f>
        <v>Alan Luis Nogueira Pinto</v>
      </c>
      <c r="W187" s="3" t="str">
        <f ca="1">IFERROR(__xludf.DUMMYFUNCTION("""COMPUTED_VALUE"""),"SEI-260007/039316/2023")</f>
        <v>SEI-260007/039316/2023</v>
      </c>
      <c r="X187" s="3" t="str">
        <f ca="1">IFERROR(__xludf.DUMMYFUNCTION("""COMPUTED_VALUE"""),"4-  Concluso p/ RF")</f>
        <v>4-  Concluso p/ RF</v>
      </c>
    </row>
    <row r="188" spans="1:24" x14ac:dyDescent="0.2">
      <c r="A188" s="3" t="str">
        <f ca="1">IFERROR(__xludf.DUMMYFUNCTION("""COMPUTED_VALUE"""),"473/2025")</f>
        <v>473/2025</v>
      </c>
      <c r="B188" s="3" t="str">
        <f ca="1">IFERROR(__xludf.DUMMYFUNCTION("""COMPUTED_VALUE"""),"SEI-260006/013962/2025")</f>
        <v>SEI-260006/013962/2025</v>
      </c>
      <c r="C188" s="3" t="str">
        <f ca="1">IFERROR(__xludf.DUMMYFUNCTION("""COMPUTED_VALUE"""),"Marco Aurélio da Fonseca Passos, matr. 6749-6, 
Flavio Nigri, matrs. 35981-0 e 
34287-3 e Pedro Henrique da Costa Ferreira Pinto, matr. 41332-8;")</f>
        <v>Marco Aurélio da Fonseca Passos, matr. 6749-6, 
Flavio Nigri, matrs. 35981-0 e 
34287-3 e Pedro Henrique da Costa Ferreira Pinto, matr. 41332-8;</v>
      </c>
      <c r="D188" s="3" t="str">
        <f ca="1">IFERROR(__xludf.DUMMYFUNCTION("""COMPUTED_VALUE"""),"Atos de corrupção")</f>
        <v>Atos de corrupção</v>
      </c>
      <c r="E188" s="3"/>
      <c r="F188" s="3" t="str">
        <f ca="1">IFERROR(__xludf.DUMMYFUNCTION("""COMPUTED_VALUE"""),"Outros.")</f>
        <v>Outros.</v>
      </c>
      <c r="G188" s="3"/>
      <c r="H188" s="3" t="str">
        <f ca="1">IFERROR(__xludf.DUMMYFUNCTION("""COMPUTED_VALUE"""),"INDÍCIOS DE AUTORIA E MATERIALIDADE; III. INFRAÇÕES DISCIPLINARES, ATOS DE IMPROBIDADE ADMINSITRATIVA E POSSÍVEIS CRIMES")</f>
        <v>INDÍCIOS DE AUTORIA E MATERIALIDADE; III. INFRAÇÕES DISCIPLINARES, ATOS DE IMPROBIDADE ADMINSITRATIVA E POSSÍVEIS CRIMES</v>
      </c>
      <c r="I188" s="3"/>
      <c r="J188" s="5">
        <f ca="1">IFERROR(__xludf.DUMMYFUNCTION("""COMPUTED_VALUE"""),45727)</f>
        <v>45727</v>
      </c>
      <c r="K188" s="5">
        <f ca="1">IFERROR(__xludf.DUMMYFUNCTION("""COMPUTED_VALUE"""),45729)</f>
        <v>45729</v>
      </c>
      <c r="L188" s="5">
        <f ca="1">IFERROR(__xludf.DUMMYFUNCTION("""COMPUTED_VALUE"""),45909)</f>
        <v>45909</v>
      </c>
      <c r="M188" s="5">
        <f ca="1">IFERROR(__xludf.DUMMYFUNCTION("""COMPUTED_VALUE"""),45910)</f>
        <v>45910</v>
      </c>
      <c r="N188" s="3">
        <f ca="1">IFERROR(__xludf.DUMMYFUNCTION("""COMPUTED_VALUE"""),357)</f>
        <v>357</v>
      </c>
      <c r="O188" s="5">
        <f ca="1">IFERROR(__xludf.DUMMYFUNCTION("""COMPUTED_VALUE"""),46640)</f>
        <v>46640</v>
      </c>
      <c r="P188" s="3">
        <f ca="1">IFERROR(__xludf.DUMMYFUNCTION("""COMPUTED_VALUE"""),1453)</f>
        <v>1453</v>
      </c>
      <c r="Q188" s="5">
        <f ca="1">IFERROR(__xludf.DUMMYFUNCTION("""COMPUTED_VALUE"""),47736)</f>
        <v>47736</v>
      </c>
      <c r="R188" s="3" t="str">
        <f ca="1">IFERROR(__xludf.DUMMYFUNCTION("""COMPUTED_VALUE"""),"Patrícia Glioche")</f>
        <v>Patrícia Glioche</v>
      </c>
      <c r="S188" s="3" t="str">
        <f ca="1">IFERROR(__xludf.DUMMYFUNCTION("""COMPUTED_VALUE"""),"Franciane")</f>
        <v>Franciane</v>
      </c>
      <c r="T188" s="3" t="str">
        <f ca="1">IFERROR(__xludf.DUMMYFUNCTION("""COMPUTED_VALUE"""),"Thiago Rocha")</f>
        <v>Thiago Rocha</v>
      </c>
      <c r="U188" s="3" t="str">
        <f ca="1">IFERROR(__xludf.DUMMYFUNCTION("""COMPUTED_VALUE"""),"Gustavo Seabra")</f>
        <v>Gustavo Seabra</v>
      </c>
      <c r="V188" s="3" t="str">
        <f ca="1">IFERROR(__xludf.DUMMYFUNCTION("""COMPUTED_VALUE"""),"Não")</f>
        <v>Não</v>
      </c>
      <c r="W188" s="3" t="str">
        <f ca="1">IFERROR(__xludf.DUMMYFUNCTION("""COMPUTED_VALUE"""),"SEI-260006/004858/2025")</f>
        <v>SEI-260006/004858/2025</v>
      </c>
      <c r="X188" s="3" t="str">
        <f ca="1">IFERROR(__xludf.DUMMYFUNCTION("""COMPUTED_VALUE"""),"2- Instrução")</f>
        <v>2- Instrução</v>
      </c>
    </row>
    <row r="189" spans="1:24" x14ac:dyDescent="0.2">
      <c r="A189" s="3" t="str">
        <f ca="1">IFERROR(__xludf.DUMMYFUNCTION("""COMPUTED_VALUE"""),"474/2025")</f>
        <v>474/2025</v>
      </c>
      <c r="B189" s="3" t="str">
        <f ca="1">IFERROR(__xludf.DUMMYFUNCTION("""COMPUTED_VALUE"""),"SEI-260006/022205/2024")</f>
        <v>SEI-260006/022205/2024</v>
      </c>
      <c r="C189" s="3" t="str">
        <f ca="1">IFERROR(__xludf.DUMMYFUNCTION("""COMPUTED_VALUE"""),"Rodrigo Wagner Paixão Pinto, matrícula 41597-6.")</f>
        <v>Rodrigo Wagner Paixão Pinto, matrícula 41597-6.</v>
      </c>
      <c r="D189" s="3" t="str">
        <f ca="1">IFERROR(__xludf.DUMMYFUNCTION("""COMPUTED_VALUE"""),"Assédio moral/sexual/discriminação.")</f>
        <v>Assédio moral/sexual/discriminação.</v>
      </c>
      <c r="E189" s="3"/>
      <c r="F189" s="3" t="str">
        <f ca="1">IFERROR(__xludf.DUMMYFUNCTION("""COMPUTED_VALUE"""),"Assédio moral/sexual/discriminação.")</f>
        <v>Assédio moral/sexual/discriminação.</v>
      </c>
      <c r="G189" s="3" t="str">
        <f ca="1">IFERROR(__xludf.DUMMYFUNCTION("""COMPUTED_VALUE"""),"indícios da prática de infração penal de natureza grave (artigos 50, I e 52,II do DL 220/75)")</f>
        <v>indícios da prática de infração penal de natureza grave (artigos 50, I e 52,II do DL 220/75)</v>
      </c>
      <c r="H189" s="3" t="str">
        <f ca="1">IFERROR(__xludf.DUMMYFUNCTION("""COMPUTED_VALUE"""),"suposto caso de violência sexual atribuído ao docente Rodrigo Wagner Paixão Pinto, matrícula 41597-6, do Departamento de Geografia Física do Instituto de Geografia em face da discente Júlia Barros Silvera dos Santos, matrícula 20210209411")</f>
        <v>suposto caso de violência sexual atribuído ao docente Rodrigo Wagner Paixão Pinto, matrícula 41597-6, do Departamento de Geografia Física do Instituto de Geografia em face da discente Júlia Barros Silvera dos Santos, matrícula 20210209411</v>
      </c>
      <c r="I189" s="3"/>
      <c r="J189" s="5">
        <f ca="1">IFERROR(__xludf.DUMMYFUNCTION("""COMPUTED_VALUE"""),45749)</f>
        <v>45749</v>
      </c>
      <c r="K189" s="5">
        <f ca="1">IFERROR(__xludf.DUMMYFUNCTION("""COMPUTED_VALUE"""),45755)</f>
        <v>45755</v>
      </c>
      <c r="L189" s="5">
        <f ca="1">IFERROR(__xludf.DUMMYFUNCTION("""COMPUTED_VALUE"""),45935)</f>
        <v>45935</v>
      </c>
      <c r="M189" s="5">
        <f ca="1">IFERROR(__xludf.DUMMYFUNCTION("""COMPUTED_VALUE"""),45936)</f>
        <v>45936</v>
      </c>
      <c r="N189" s="3">
        <f ca="1">IFERROR(__xludf.DUMMYFUNCTION("""COMPUTED_VALUE"""),383)</f>
        <v>383</v>
      </c>
      <c r="O189" s="5">
        <f ca="1">IFERROR(__xludf.DUMMYFUNCTION("""COMPUTED_VALUE"""),46666)</f>
        <v>46666</v>
      </c>
      <c r="P189" s="3">
        <f ca="1">IFERROR(__xludf.DUMMYFUNCTION("""COMPUTED_VALUE"""),1479)</f>
        <v>1479</v>
      </c>
      <c r="Q189" s="5">
        <f ca="1">IFERROR(__xludf.DUMMYFUNCTION("""COMPUTED_VALUE"""),47762)</f>
        <v>47762</v>
      </c>
      <c r="R189" s="3" t="str">
        <f ca="1">IFERROR(__xludf.DUMMYFUNCTION("""COMPUTED_VALUE"""),"Vanessa Queiroz")</f>
        <v>Vanessa Queiroz</v>
      </c>
      <c r="S189" s="3" t="str">
        <f ca="1">IFERROR(__xludf.DUMMYFUNCTION("""COMPUTED_VALUE"""),"Patrícia")</f>
        <v>Patrícia</v>
      </c>
      <c r="T189" s="3" t="str">
        <f ca="1">IFERROR(__xludf.DUMMYFUNCTION("""COMPUTED_VALUE"""),"Patrícia Glioche")</f>
        <v>Patrícia Glioche</v>
      </c>
      <c r="U189" s="3" t="str">
        <f ca="1">IFERROR(__xludf.DUMMYFUNCTION("""COMPUTED_VALUE"""),"Thiago Rocha")</f>
        <v>Thiago Rocha</v>
      </c>
      <c r="V189" s="3" t="str">
        <f ca="1">IFERROR(__xludf.DUMMYFUNCTION("""COMPUTED_VALUE"""),"Não")</f>
        <v>Não</v>
      </c>
      <c r="W189" s="3" t="str">
        <f ca="1">IFERROR(__xludf.DUMMYFUNCTION("""COMPUTED_VALUE"""),"SEI-260006/045284/2024")</f>
        <v>SEI-260006/045284/2024</v>
      </c>
      <c r="X189" s="3" t="str">
        <f ca="1">IFERROR(__xludf.DUMMYFUNCTION("""COMPUTED_VALUE"""),"2- Instrução")</f>
        <v>2- Instrução</v>
      </c>
    </row>
    <row r="190" spans="1:24" x14ac:dyDescent="0.2">
      <c r="A190" s="3" t="str">
        <f ca="1">IFERROR(__xludf.DUMMYFUNCTION("""COMPUTED_VALUE"""),"475/2025")</f>
        <v>475/2025</v>
      </c>
      <c r="B190" s="3" t="str">
        <f ca="1">IFERROR(__xludf.DUMMYFUNCTION("""COMPUTED_VALUE"""),"SEI-260006/024844/2025")</f>
        <v>SEI-260006/024844/2025</v>
      </c>
      <c r="C190" s="3" t="str">
        <f ca="1">IFERROR(__xludf.DUMMYFUNCTION("""COMPUTED_VALUE"""),"Paulo Ricardo Alves de Menezes Praça, matrícula 41534-9")</f>
        <v>Paulo Ricardo Alves de Menezes Praça, matrícula 41534-9</v>
      </c>
      <c r="D190" s="3" t="str">
        <f ca="1">IFERROR(__xludf.DUMMYFUNCTION("""COMPUTED_VALUE"""),"Atos que comprometem o decoro")</f>
        <v>Atos que comprometem o decoro</v>
      </c>
      <c r="E190" s="3"/>
      <c r="F190" s="3" t="str">
        <f ca="1">IFERROR(__xludf.DUMMYFUNCTION("""COMPUTED_VALUE"""),"Outros.")</f>
        <v>Outros.</v>
      </c>
      <c r="G190" s="3" t="str">
        <f ca="1">IFERROR(__xludf.DUMMYFUNCTION("""COMPUTED_VALUE"""),"assiduidade; pontualidade; urbanidade; discrição; boa conduta; obervância das normas legais e regulamentares e obediência às normas superiores (exceto quando manifestamente ilegais), conforme os incisos I, II, III, IV, V, VI, VII, VIII do artigo 39 do Dec"&amp;"reto-Lei 220/75; dedicar-se, nos locais e horas de trabalho, a palestras, leituras ou quaisquer outras atividades estranhas ao serviço, inclusive ao trato de interesses de natureza particular (artigo 40, inciso XI do DL 220/75); deixar de comparecer ao tr"&amp;"abalho sem causa justificada (artigo 40, inciso XII do DL 220/75); assédio sexual (artigo 50, inciso I e artigo 52, inciso II do DL 220/75); artigo 3º do Decreto nº 43583/2012")</f>
        <v>assiduidade; pontualidade; urbanidade; discrição; boa conduta; obervância das normas legais e regulamentares e obediência às normas superiores (exceto quando manifestamente ilegais), conforme os incisos I, II, III, IV, V, VI, VII, VIII do artigo 39 do Decreto-Lei 220/75; dedicar-se, nos locais e horas de trabalho, a palestras, leituras ou quaisquer outras atividades estranhas ao serviço, inclusive ao trato de interesses de natureza particular (artigo 40, inciso XI do DL 220/75); deixar de comparecer ao trabalho sem causa justificada (artigo 40, inciso XII do DL 220/75); assédio sexual (artigo 50, inciso I e artigo 52, inciso II do DL 220/75); artigo 3º do Decreto nº 43583/2012</v>
      </c>
      <c r="H190" s="3" t="str">
        <f ca="1">IFERROR(__xludf.DUMMYFUNCTION("""COMPUTED_VALUE"""),"assiduidade; pontualidade; urbanidade; discrição; boa conduta; obervância das normas legais e regulamentares e obediência às normas superiores (exceto quando manifestamente ilegais), conforme os incisos I, II, III, IV, V, VI, VII, VIII do artigo 39 do Dec"&amp;"reto-Lei 220/75; dedicar-se, nos locais e horas de trabalho, a palestras, leituras ou quaisquer outras atividades estranhas ao serviço, inclusive ao trato de interesses de natureza particular (artigo 40, inciso XI do DL 220/75); deixar de comparecer ao tr"&amp;"abalho sem causa justificada (artigo 40, inciso XII do DL 220/75); assédio sexual (artigo 50, inciso I e artigo 52, inciso II do DL 220/75); artigo 3º do Decreto nº 43.583/2012.")</f>
        <v>assiduidade; pontualidade; urbanidade; discrição; boa conduta; obervância das normas legais e regulamentares e obediência às normas superiores (exceto quando manifestamente ilegais), conforme os incisos I, II, III, IV, V, VI, VII, VIII do artigo 39 do Decreto-Lei 220/75; dedicar-se, nos locais e horas de trabalho, a palestras, leituras ou quaisquer outras atividades estranhas ao serviço, inclusive ao trato de interesses de natureza particular (artigo 40, inciso XI do DL 220/75); deixar de comparecer ao trabalho sem causa justificada (artigo 40, inciso XII do DL 220/75); assédio sexual (artigo 50, inciso I e artigo 52, inciso II do DL 220/75); artigo 3º do Decreto nº 43.583/2012.</v>
      </c>
      <c r="I190" s="3"/>
      <c r="J190" s="5">
        <f ca="1">IFERROR(__xludf.DUMMYFUNCTION("""COMPUTED_VALUE"""),45785)</f>
        <v>45785</v>
      </c>
      <c r="K190" s="5">
        <f ca="1">IFERROR(__xludf.DUMMYFUNCTION("""COMPUTED_VALUE"""),45791)</f>
        <v>45791</v>
      </c>
      <c r="L190" s="5">
        <f ca="1">IFERROR(__xludf.DUMMYFUNCTION("""COMPUTED_VALUE"""),45971)</f>
        <v>45971</v>
      </c>
      <c r="M190" s="5">
        <f ca="1">IFERROR(__xludf.DUMMYFUNCTION("""COMPUTED_VALUE"""),45972)</f>
        <v>45972</v>
      </c>
      <c r="N190" s="3">
        <f ca="1">IFERROR(__xludf.DUMMYFUNCTION("""COMPUTED_VALUE"""),419)</f>
        <v>419</v>
      </c>
      <c r="O190" s="5">
        <f ca="1">IFERROR(__xludf.DUMMYFUNCTION("""COMPUTED_VALUE"""),46702)</f>
        <v>46702</v>
      </c>
      <c r="P190" s="3">
        <f ca="1">IFERROR(__xludf.DUMMYFUNCTION("""COMPUTED_VALUE"""),1515)</f>
        <v>1515</v>
      </c>
      <c r="Q190" s="5">
        <f ca="1">IFERROR(__xludf.DUMMYFUNCTION("""COMPUTED_VALUE"""),47798)</f>
        <v>47798</v>
      </c>
      <c r="R190" s="3" t="str">
        <f ca="1">IFERROR(__xludf.DUMMYFUNCTION("""COMPUTED_VALUE"""),"Bianca Faertes")</f>
        <v>Bianca Faertes</v>
      </c>
      <c r="S190" s="3" t="str">
        <f ca="1">IFERROR(__xludf.DUMMYFUNCTION("""COMPUTED_VALUE"""),"Isadora")</f>
        <v>Isadora</v>
      </c>
      <c r="T190" s="3" t="str">
        <f ca="1">IFERROR(__xludf.DUMMYFUNCTION("""COMPUTED_VALUE"""),"Thiago Rocha")</f>
        <v>Thiago Rocha</v>
      </c>
      <c r="U190" s="3" t="str">
        <f ca="1">IFERROR(__xludf.DUMMYFUNCTION("""COMPUTED_VALUE"""),"Jeanny Passigatte")</f>
        <v>Jeanny Passigatte</v>
      </c>
      <c r="V190" s="3"/>
      <c r="W190" s="3" t="str">
        <f ca="1">IFERROR(__xludf.DUMMYFUNCTION("""COMPUTED_VALUE"""),"SEI-260007/004377/2024")</f>
        <v>SEI-260007/004377/2024</v>
      </c>
      <c r="X190" s="3" t="str">
        <f ca="1">IFERROR(__xludf.DUMMYFUNCTION("""COMPUTED_VALUE"""),"2- Instrução")</f>
        <v>2- Instrução</v>
      </c>
    </row>
    <row r="191" spans="1:24" x14ac:dyDescent="0.2">
      <c r="A191" s="3" t="str">
        <f ca="1">IFERROR(__xludf.DUMMYFUNCTION("""COMPUTED_VALUE"""),"476/2025")</f>
        <v>476/2025</v>
      </c>
      <c r="B191" s="3" t="str">
        <f ca="1">IFERROR(__xludf.DUMMYFUNCTION("""COMPUTED_VALUE"""),"SEI-260006/025339/2025")</f>
        <v>SEI-260006/025339/2025</v>
      </c>
      <c r="C191" s="3" t="str">
        <f ca="1">IFERROR(__xludf.DUMMYFUNCTION("""COMPUTED_VALUE"""),"Daniel Machado Dedous, matr. nº 36.253-3.")</f>
        <v>Daniel Machado Dedous, matr. nº 36.253-3.</v>
      </c>
      <c r="D191" s="3"/>
      <c r="E191" s="3"/>
      <c r="F191" s="3" t="str">
        <f ca="1">IFERROR(__xludf.DUMMYFUNCTION("""COMPUTED_VALUE"""),"Insubordinação.")</f>
        <v>Insubordinação.</v>
      </c>
      <c r="G191" s="3" t="str">
        <f ca="1">IFERROR(__xludf.DUMMYFUNCTION("""COMPUTED_VALUE"""),"indícios de violação do artigo 39, VIII e 52, I do Decreto-Lei 220/75 ")</f>
        <v xml:space="preserve">indícios de violação do artigo 39, VIII e 52, I do Decreto-Lei 220/75 </v>
      </c>
      <c r="H191" s="3" t="str">
        <f ca="1">IFERROR(__xludf.DUMMYFUNCTION("""COMPUTED_VALUE"""),"suposta conduta de insubordinação considerando sua recusa em aceitar a função de agente patrimonial do Departamento de Patologia e Laboratórios vinculado à Faculdade de Ciências Médicas.")</f>
        <v>suposta conduta de insubordinação considerando sua recusa em aceitar a função de agente patrimonial do Departamento de Patologia e Laboratórios vinculado à Faculdade de Ciências Médicas.</v>
      </c>
      <c r="I191" s="3"/>
      <c r="J191" s="5">
        <f ca="1">IFERROR(__xludf.DUMMYFUNCTION("""COMPUTED_VALUE"""),45794)</f>
        <v>45794</v>
      </c>
      <c r="K191" s="5">
        <f ca="1">IFERROR(__xludf.DUMMYFUNCTION("""COMPUTED_VALUE"""),45797)</f>
        <v>45797</v>
      </c>
      <c r="L191" s="5">
        <f ca="1">IFERROR(__xludf.DUMMYFUNCTION("""COMPUTED_VALUE"""),45977)</f>
        <v>45977</v>
      </c>
      <c r="M191" s="5">
        <f ca="1">IFERROR(__xludf.DUMMYFUNCTION("""COMPUTED_VALUE"""),45978)</f>
        <v>45978</v>
      </c>
      <c r="N191" s="3">
        <f ca="1">IFERROR(__xludf.DUMMYFUNCTION("""COMPUTED_VALUE"""),425)</f>
        <v>425</v>
      </c>
      <c r="O191" s="5">
        <f ca="1">IFERROR(__xludf.DUMMYFUNCTION("""COMPUTED_VALUE"""),46708)</f>
        <v>46708</v>
      </c>
      <c r="P191" s="3">
        <f ca="1">IFERROR(__xludf.DUMMYFUNCTION("""COMPUTED_VALUE"""),1521)</f>
        <v>1521</v>
      </c>
      <c r="Q191" s="5">
        <f ca="1">IFERROR(__xludf.DUMMYFUNCTION("""COMPUTED_VALUE"""),47804)</f>
        <v>47804</v>
      </c>
      <c r="R191" s="3" t="str">
        <f ca="1">IFERROR(__xludf.DUMMYFUNCTION("""COMPUTED_VALUE"""),"Paula Assed")</f>
        <v>Paula Assed</v>
      </c>
      <c r="S191" s="3" t="str">
        <f ca="1">IFERROR(__xludf.DUMMYFUNCTION("""COMPUTED_VALUE"""),"Micheline")</f>
        <v>Micheline</v>
      </c>
      <c r="T191" s="3" t="str">
        <f ca="1">IFERROR(__xludf.DUMMYFUNCTION("""COMPUTED_VALUE"""),"Felipe Perdigão")</f>
        <v>Felipe Perdigão</v>
      </c>
      <c r="U191" s="3" t="str">
        <f ca="1">IFERROR(__xludf.DUMMYFUNCTION("""COMPUTED_VALUE"""),"Hannah Oliveira")</f>
        <v>Hannah Oliveira</v>
      </c>
      <c r="V191" s="3"/>
      <c r="W191" s="3" t="str">
        <f ca="1">IFERROR(__xludf.DUMMYFUNCTION("""COMPUTED_VALUE"""),"SEI-260006/047689/2024")</f>
        <v>SEI-260006/047689/2024</v>
      </c>
      <c r="X191" s="3" t="str">
        <f ca="1">IFERROR(__xludf.DUMMYFUNCTION("""COMPUTED_VALUE"""),"3-  Concluso p/ Indiciação")</f>
        <v>3-  Concluso p/ Indiciação</v>
      </c>
    </row>
    <row r="192" spans="1:24" x14ac:dyDescent="0.2">
      <c r="A192" s="3" t="str">
        <f ca="1">IFERROR(__xludf.DUMMYFUNCTION("""COMPUTED_VALUE"""),"477/2025")</f>
        <v>477/2025</v>
      </c>
      <c r="B192" s="3" t="str">
        <f ca="1">IFERROR(__xludf.DUMMYFUNCTION("""COMPUTED_VALUE"""),"SEI-260006/026927/2025")</f>
        <v>SEI-260006/026927/2025</v>
      </c>
      <c r="C192" s="3" t="str">
        <f ca="1">IFERROR(__xludf.DUMMYFUNCTION("""COMPUTED_VALUE"""),"Lidiane Gomes da Cunha, matrícula nº 36.727-6")</f>
        <v>Lidiane Gomes da Cunha, matrícula nº 36.727-6</v>
      </c>
      <c r="D192" s="3" t="str">
        <f ca="1">IFERROR(__xludf.DUMMYFUNCTION("""COMPUTED_VALUE"""),"Desvio de conduta")</f>
        <v>Desvio de conduta</v>
      </c>
      <c r="E192" s="3" t="str">
        <f ca="1">IFERROR(__xludf.DUMMYFUNCTION("""COMPUTED_VALUE"""),"Outros")</f>
        <v>Outros</v>
      </c>
      <c r="F192" s="3" t="str">
        <f ca="1">IFERROR(__xludf.DUMMYFUNCTION("""COMPUTED_VALUE"""),"Outros.")</f>
        <v>Outros.</v>
      </c>
      <c r="G192" s="3" t="str">
        <f ca="1">IFERROR(__xludf.DUMMYFUNCTION("""COMPUTED_VALUE""")," Lei estadual no 3921/2002; artigos 2o e 4o; alíneas a, b, c, d, e, h, j, n do artigo 3o  e alíneas a, e, h, l do artigo 4o do Código de Ética Profissional do Servidor Público Civil do Poder Executivo do Estado do Rio de Janeiro, Decreto no  43 583/2012")</f>
        <v xml:space="preserve"> Lei estadual no 3921/2002; artigos 2o e 4o; alíneas a, b, c, d, e, h, j, n do artigo 3o  e alíneas a, e, h, l do artigo 4o do Código de Ética Profissional do Servidor Público Civil do Poder Executivo do Estado do Rio de Janeiro, Decreto no  43 583/2012</v>
      </c>
      <c r="H192" s="3" t="str">
        <f ca="1">IFERROR(__xludf.DUMMYFUNCTION("""COMPUTED_VALUE"""),"pontualidade; urbanidade, discrição; boa conduta; observância das normas legais e regulamentares; obediência às ordens superiores, exceto quando manifestamente ilegais; zelar pela economia e conservação do material que lhe for confiado; valer-se do cargo "&amp;"ou função para lograr proveito pessoal em detrimento da dignidade da função pública; incontinência pública e escandalosa); possível prática de assédio moral, homofobia e racismo; ")</f>
        <v xml:space="preserve">pontualidade; urbanidade, discrição; boa conduta; observância das normas legais e regulamentares; obediência às ordens superiores, exceto quando manifestamente ilegais; zelar pela economia e conservação do material que lhe for confiado; valer-se do cargo ou função para lograr proveito pessoal em detrimento da dignidade da função pública; incontinência pública e escandalosa); possível prática de assédio moral, homofobia e racismo; </v>
      </c>
      <c r="I192" s="3" t="str">
        <f ca="1">IFERROR(__xludf.DUMMYFUNCTION("""COMPUTED_VALUE"""),"16/06/2025 a  a 15/07/2025, conforme Despacho 103321411")</f>
        <v>16/06/2025 a  a 15/07/2025, conforme Despacho 103321411</v>
      </c>
      <c r="J192" s="5">
        <f ca="1">IFERROR(__xludf.DUMMYFUNCTION("""COMPUTED_VALUE"""),45804)</f>
        <v>45804</v>
      </c>
      <c r="K192" s="5">
        <f ca="1">IFERROR(__xludf.DUMMYFUNCTION("""COMPUTED_VALUE"""),45811)</f>
        <v>45811</v>
      </c>
      <c r="L192" s="5">
        <f ca="1">IFERROR(__xludf.DUMMYFUNCTION("""COMPUTED_VALUE"""),45991)</f>
        <v>45991</v>
      </c>
      <c r="M192" s="5">
        <f ca="1">IFERROR(__xludf.DUMMYFUNCTION("""COMPUTED_VALUE"""),45992)</f>
        <v>45992</v>
      </c>
      <c r="N192" s="3">
        <f ca="1">IFERROR(__xludf.DUMMYFUNCTION("""COMPUTED_VALUE"""),439)</f>
        <v>439</v>
      </c>
      <c r="O192" s="5">
        <f ca="1">IFERROR(__xludf.DUMMYFUNCTION("""COMPUTED_VALUE"""),46722)</f>
        <v>46722</v>
      </c>
      <c r="P192" s="3">
        <f ca="1">IFERROR(__xludf.DUMMYFUNCTION("""COMPUTED_VALUE"""),1535)</f>
        <v>1535</v>
      </c>
      <c r="Q192" s="5">
        <f ca="1">IFERROR(__xludf.DUMMYFUNCTION("""COMPUTED_VALUE"""),47818)</f>
        <v>47818</v>
      </c>
      <c r="R192" s="3" t="str">
        <f ca="1">IFERROR(__xludf.DUMMYFUNCTION("""COMPUTED_VALUE"""),"Bianca Faertes")</f>
        <v>Bianca Faertes</v>
      </c>
      <c r="S192" s="3" t="str">
        <f ca="1">IFERROR(__xludf.DUMMYFUNCTION("""COMPUTED_VALUE"""),"Débora")</f>
        <v>Débora</v>
      </c>
      <c r="T192" s="3" t="str">
        <f ca="1">IFERROR(__xludf.DUMMYFUNCTION("""COMPUTED_VALUE"""),"Thiago Rocha")</f>
        <v>Thiago Rocha</v>
      </c>
      <c r="U192" s="3" t="str">
        <f ca="1">IFERROR(__xludf.DUMMYFUNCTION("""COMPUTED_VALUE"""),"Jeanny Passigatte")</f>
        <v>Jeanny Passigatte</v>
      </c>
      <c r="V192" s="3" t="str">
        <f ca="1">IFERROR(__xludf.DUMMYFUNCTION("""COMPUTED_VALUE"""),"Não")</f>
        <v>Não</v>
      </c>
      <c r="W192" s="3" t="str">
        <f ca="1">IFERROR(__xludf.DUMMYFUNCTION("""COMPUTED_VALUE"""),"SEI-260007/066370/2023 ")</f>
        <v xml:space="preserve">SEI-260007/066370/2023 </v>
      </c>
      <c r="X192" s="3" t="str">
        <f ca="1">IFERROR(__xludf.DUMMYFUNCTION("""COMPUTED_VALUE"""),"2- Instrução")</f>
        <v>2- Instrução</v>
      </c>
    </row>
    <row r="193" spans="1:24" x14ac:dyDescent="0.2">
      <c r="A193" s="3" t="str">
        <f ca="1">IFERROR(__xludf.DUMMYFUNCTION("""COMPUTED_VALUE"""),"479/2025")</f>
        <v>479/2025</v>
      </c>
      <c r="B193" s="3" t="str">
        <f ca="1">IFERROR(__xludf.DUMMYFUNCTION("""COMPUTED_VALUE"""),"SEI-260006/032717/2025")</f>
        <v>SEI-260006/032717/2025</v>
      </c>
      <c r="C193" s="3" t="str">
        <f ca="1">IFERROR(__xludf.DUMMYFUNCTION("""COMPUTED_VALUE"""),"João Bittencourt Oliveira,  matr. 6828-8 (inativa)")</f>
        <v>João Bittencourt Oliveira,  matr. 6828-8 (inativa)</v>
      </c>
      <c r="D193" s="3" t="str">
        <f ca="1">IFERROR(__xludf.DUMMYFUNCTION("""COMPUTED_VALUE"""),"Acumulação Ilegal")</f>
        <v>Acumulação Ilegal</v>
      </c>
      <c r="E193" s="3"/>
      <c r="F193" s="3" t="str">
        <f ca="1">IFERROR(__xludf.DUMMYFUNCTION("""COMPUTED_VALUE"""),"Acumulação de cargos.")</f>
        <v>Acumulação de cargos.</v>
      </c>
      <c r="G193" s="3" t="str">
        <f ca="1">IFERROR(__xludf.DUMMYFUNCTION("""COMPUTED_VALUE"""),"Acumulação de cargos")</f>
        <v>Acumulação de cargos</v>
      </c>
      <c r="H193" s="3" t="str">
        <f ca="1">IFERROR(__xludf.DUMMYFUNCTION("""COMPUTED_VALUE"""),"_Indícios de accumulação de três fontes remuneratórias;
_Ausência de responsabilidade disciplinar do servidor no que toca à percepção de
verbas relativas a 40 horas semanais, a despeito de laborar 25 horas, no período de 02/08/2013 a 25/11/2013;
_Eventual"&amp;" infração de retenção de documento público;")</f>
        <v>_Indícios de accumulação de três fontes remuneratórias;
_Ausência de responsabilidade disciplinar do servidor no que toca à percepção de
verbas relativas a 40 horas semanais, a despeito de laborar 25 horas, no período de 02/08/2013 a 25/11/2013;
_Eventual infração de retenção de documento público;</v>
      </c>
      <c r="I193" s="3" t="str">
        <f ca="1">IFERROR(__xludf.DUMMYFUNCTION("""COMPUTED_VALUE"""),"Não")</f>
        <v>Não</v>
      </c>
      <c r="J193" s="5">
        <f ca="1">IFERROR(__xludf.DUMMYFUNCTION("""COMPUTED_VALUE"""),45839)</f>
        <v>45839</v>
      </c>
      <c r="K193" s="5">
        <f ca="1">IFERROR(__xludf.DUMMYFUNCTION("""COMPUTED_VALUE"""),45849)</f>
        <v>45849</v>
      </c>
      <c r="L193" s="5">
        <f ca="1">IFERROR(__xludf.DUMMYFUNCTION("""COMPUTED_VALUE"""),46029)</f>
        <v>46029</v>
      </c>
      <c r="M193" s="5">
        <f ca="1">IFERROR(__xludf.DUMMYFUNCTION("""COMPUTED_VALUE"""),46030)</f>
        <v>46030</v>
      </c>
      <c r="N193" s="3">
        <f ca="1">IFERROR(__xludf.DUMMYFUNCTION("""COMPUTED_VALUE"""),477)</f>
        <v>477</v>
      </c>
      <c r="O193" s="5">
        <f ca="1">IFERROR(__xludf.DUMMYFUNCTION("""COMPUTED_VALUE"""),46760)</f>
        <v>46760</v>
      </c>
      <c r="P193" s="3">
        <f ca="1">IFERROR(__xludf.DUMMYFUNCTION("""COMPUTED_VALUE"""),1573)</f>
        <v>1573</v>
      </c>
      <c r="Q193" s="5">
        <f ca="1">IFERROR(__xludf.DUMMYFUNCTION("""COMPUTED_VALUE"""),47856)</f>
        <v>47856</v>
      </c>
      <c r="R193" s="3" t="str">
        <f ca="1">IFERROR(__xludf.DUMMYFUNCTION("""COMPUTED_VALUE"""),"Vanessa Queiroz")</f>
        <v>Vanessa Queiroz</v>
      </c>
      <c r="S193" s="3" t="str">
        <f ca="1">IFERROR(__xludf.DUMMYFUNCTION("""COMPUTED_VALUE"""),"Isadora")</f>
        <v>Isadora</v>
      </c>
      <c r="T193" s="3" t="str">
        <f ca="1">IFERROR(__xludf.DUMMYFUNCTION("""COMPUTED_VALUE"""),"Thiago Rocha")</f>
        <v>Thiago Rocha</v>
      </c>
      <c r="U193" s="3" t="str">
        <f ca="1">IFERROR(__xludf.DUMMYFUNCTION("""COMPUTED_VALUE"""),"Felipe Perdigão")</f>
        <v>Felipe Perdigão</v>
      </c>
      <c r="V193" s="3" t="str">
        <f ca="1">IFERROR(__xludf.DUMMYFUNCTION("""COMPUTED_VALUE"""),"Adriana de Almeida")</f>
        <v>Adriana de Almeida</v>
      </c>
      <c r="W193" s="3" t="str">
        <f ca="1">IFERROR(__xludf.DUMMYFUNCTION("""COMPUTED_VALUE"""),"E-26/007/10382/2014")</f>
        <v>E-26/007/10382/2014</v>
      </c>
      <c r="X193" s="3" t="str">
        <f ca="1">IFERROR(__xludf.DUMMYFUNCTION("""COMPUTED_VALUE"""),"3.1- Indiciação/citação enviados")</f>
        <v>3.1- Indiciação/citação enviados</v>
      </c>
    </row>
    <row r="194" spans="1:24" x14ac:dyDescent="0.2">
      <c r="A194" s="3" t="str">
        <f ca="1">IFERROR(__xludf.DUMMYFUNCTION("""COMPUTED_VALUE"""),"481/2025")</f>
        <v>481/2025</v>
      </c>
      <c r="B194" s="3" t="str">
        <f ca="1">IFERROR(__xludf.DUMMYFUNCTION("""COMPUTED_VALUE"""),"SEI-260006/036461/2025")</f>
        <v>SEI-260006/036461/2025</v>
      </c>
      <c r="C194" s="3" t="str">
        <f ca="1">IFERROR(__xludf.DUMMYFUNCTION("""COMPUTED_VALUE"""),"Érik Franco Martins,matr.
 nº 355453")</f>
        <v>Érik Franco Martins,matr.
 nº 355453</v>
      </c>
      <c r="D194" s="3" t="str">
        <f ca="1">IFERROR(__xludf.DUMMYFUNCTION("""COMPUTED_VALUE"""),"Abandono do Cargo")</f>
        <v>Abandono do Cargo</v>
      </c>
      <c r="E194" s="3"/>
      <c r="F194" s="3" t="str">
        <f ca="1">IFERROR(__xludf.DUMMYFUNCTION("""COMPUTED_VALUE"""),"Abandono de cargo/ Inassiduidade habitual.")</f>
        <v>Abandono de cargo/ Inassiduidade habitual.</v>
      </c>
      <c r="G194" s="3" t="str">
        <f ca="1">IFERROR(__xludf.DUMMYFUNCTION("""COMPUTED_VALUE"""),"Abandono de cargo/ Inassiduidade habitual")</f>
        <v>Abandono de cargo/ Inassiduidade habitual</v>
      </c>
      <c r="H194" s="3" t="str">
        <f ca="1">IFERROR(__xludf.DUMMYFUNCTION("""COMPUTED_VALUE"""),"faltas injustificadas do servidor Érik Franco Martins, ocupante do cargo de Técnico Universitário II/ Assistente Administrativo, lotado no HURHC, considerando as faltas injustificadas nos períodos: de 01/11/2023 a 05/11/2023, de 08/11/2023 a 30/11/2023, d"&amp;"e 01/12/2023 a 06/12/2023, em 09/01/2024, de 16/01/2024 a 17/01/2024, de 02/02/2024 a 05/02/2024, em 07/02/2024, de 26/02/2024 a 29/02/2024.")</f>
        <v>faltas injustificadas do servidor Érik Franco Martins, ocupante do cargo de Técnico Universitário II/ Assistente Administrativo, lotado no HURHC, considerando as faltas injustificadas nos períodos: de 01/11/2023 a 05/11/2023, de 08/11/2023 a 30/11/2023, de 01/12/2023 a 06/12/2023, em 09/01/2024, de 16/01/2024 a 17/01/2024, de 02/02/2024 a 05/02/2024, em 07/02/2024, de 26/02/2024 a 29/02/2024.</v>
      </c>
      <c r="I194" s="3"/>
      <c r="J194" s="5">
        <f ca="1">IFERROR(__xludf.DUMMYFUNCTION("""COMPUTED_VALUE"""),45853)</f>
        <v>45853</v>
      </c>
      <c r="K194" s="5">
        <f ca="1">IFERROR(__xludf.DUMMYFUNCTION("""COMPUTED_VALUE"""),45855)</f>
        <v>45855</v>
      </c>
      <c r="L194" s="5">
        <f ca="1">IFERROR(__xludf.DUMMYFUNCTION("""COMPUTED_VALUE"""),46035)</f>
        <v>46035</v>
      </c>
      <c r="M194" s="5">
        <f ca="1">IFERROR(__xludf.DUMMYFUNCTION("""COMPUTED_VALUE"""),46036)</f>
        <v>46036</v>
      </c>
      <c r="N194" s="3">
        <f ca="1">IFERROR(__xludf.DUMMYFUNCTION("""COMPUTED_VALUE"""),483)</f>
        <v>483</v>
      </c>
      <c r="O194" s="5">
        <f ca="1">IFERROR(__xludf.DUMMYFUNCTION("""COMPUTED_VALUE"""),46766)</f>
        <v>46766</v>
      </c>
      <c r="P194" s="3">
        <f ca="1">IFERROR(__xludf.DUMMYFUNCTION("""COMPUTED_VALUE"""),1579)</f>
        <v>1579</v>
      </c>
      <c r="Q194" s="5">
        <f ca="1">IFERROR(__xludf.DUMMYFUNCTION("""COMPUTED_VALUE"""),47862)</f>
        <v>47862</v>
      </c>
      <c r="R194" s="3" t="str">
        <f ca="1">IFERROR(__xludf.DUMMYFUNCTION("""COMPUTED_VALUE"""),"Vanessa Queiroz")</f>
        <v>Vanessa Queiroz</v>
      </c>
      <c r="S194" s="3" t="str">
        <f ca="1">IFERROR(__xludf.DUMMYFUNCTION("""COMPUTED_VALUE"""),"Micheline")</f>
        <v>Micheline</v>
      </c>
      <c r="T194" s="3" t="str">
        <f ca="1">IFERROR(__xludf.DUMMYFUNCTION("""COMPUTED_VALUE"""),"Débora Ribeiro")</f>
        <v>Débora Ribeiro</v>
      </c>
      <c r="U194" s="3" t="str">
        <f ca="1">IFERROR(__xludf.DUMMYFUNCTION("""COMPUTED_VALUE"""),"Felipe Perdigão")</f>
        <v>Felipe Perdigão</v>
      </c>
      <c r="V194" s="3"/>
      <c r="W194" s="3" t="str">
        <f ca="1">IFERROR(__xludf.DUMMYFUNCTION("""COMPUTED_VALUE"""),"SEI-260007/065927/2023")</f>
        <v>SEI-260007/065927/2023</v>
      </c>
      <c r="X194" s="3" t="str">
        <f ca="1">IFERROR(__xludf.DUMMYFUNCTION("""COMPUTED_VALUE"""),"2- Instrução")</f>
        <v>2- Instrução</v>
      </c>
    </row>
    <row r="195" spans="1:24" x14ac:dyDescent="0.2">
      <c r="A195" s="3" t="str">
        <f ca="1">IFERROR(__xludf.DUMMYFUNCTION("""COMPUTED_VALUE"""),"482/2025")</f>
        <v>482/2025</v>
      </c>
      <c r="B195" s="3" t="str">
        <f ca="1">IFERROR(__xludf.DUMMYFUNCTION("""COMPUTED_VALUE"""),"SEI-260006/036358/2025")</f>
        <v>SEI-260006/036358/2025</v>
      </c>
      <c r="C195" s="3" t="str">
        <f ca="1">IFERROR(__xludf.DUMMYFUNCTION("""COMPUTED_VALUE"""),"MARCELLO DE OLIVEIRA PINTO, matrícula nº 34249-3")</f>
        <v>MARCELLO DE OLIVEIRA PINTO, matrícula nº 34249-3</v>
      </c>
      <c r="D195" s="3"/>
      <c r="E195" s="3"/>
      <c r="F195" s="3" t="str">
        <f ca="1">IFERROR(__xludf.DUMMYFUNCTION("""COMPUTED_VALUE"""),"Assédio moral/sexual/discriminação.")</f>
        <v>Assédio moral/sexual/discriminação.</v>
      </c>
      <c r="G195" s="3"/>
      <c r="H195" s="3" t="str">
        <f ca="1">IFERROR(__xludf.DUMMYFUNCTION("""COMPUTED_VALUE"""),"manifestações recebidas nesta Ouvidoria-Geral em 12/03/2025 e 13/03/2025, protocolada internamente sob os n°s 363.2025, 364.2025 e 365.2025 e no sistema OuvERJ sob os nºs 202503121148444, 202503131749817 e 202503131228198, em que é relatado suposto assédi"&amp;"o sexua praticados por MARCELLO DE OLIVEIRA PINTO, matr. 34.249-3. ")</f>
        <v xml:space="preserve">manifestações recebidas nesta Ouvidoria-Geral em 12/03/2025 e 13/03/2025, protocolada internamente sob os n°s 363.2025, 364.2025 e 365.2025 e no sistema OuvERJ sob os nºs 202503121148444, 202503131749817 e 202503131228198, em que é relatado suposto assédio sexua praticados por MARCELLO DE OLIVEIRA PINTO, matr. 34.249-3. </v>
      </c>
      <c r="I195" s="3"/>
      <c r="J195" s="5">
        <f ca="1">IFERROR(__xludf.DUMMYFUNCTION("""COMPUTED_VALUE"""),45853)</f>
        <v>45853</v>
      </c>
      <c r="K195" s="5">
        <f ca="1">IFERROR(__xludf.DUMMYFUNCTION("""COMPUTED_VALUE"""),45855)</f>
        <v>45855</v>
      </c>
      <c r="L195" s="5">
        <f ca="1">IFERROR(__xludf.DUMMYFUNCTION("""COMPUTED_VALUE"""),46035)</f>
        <v>46035</v>
      </c>
      <c r="M195" s="5">
        <f ca="1">IFERROR(__xludf.DUMMYFUNCTION("""COMPUTED_VALUE"""),46036)</f>
        <v>46036</v>
      </c>
      <c r="N195" s="3">
        <f ca="1">IFERROR(__xludf.DUMMYFUNCTION("""COMPUTED_VALUE"""),483)</f>
        <v>483</v>
      </c>
      <c r="O195" s="5">
        <f ca="1">IFERROR(__xludf.DUMMYFUNCTION("""COMPUTED_VALUE"""),46766)</f>
        <v>46766</v>
      </c>
      <c r="P195" s="3">
        <f ca="1">IFERROR(__xludf.DUMMYFUNCTION("""COMPUTED_VALUE"""),1579)</f>
        <v>1579</v>
      </c>
      <c r="Q195" s="5">
        <f ca="1">IFERROR(__xludf.DUMMYFUNCTION("""COMPUTED_VALUE"""),47862)</f>
        <v>47862</v>
      </c>
      <c r="R195" s="3" t="str">
        <f ca="1">IFERROR(__xludf.DUMMYFUNCTION("""COMPUTED_VALUE"""),"Patrícia Glioche")</f>
        <v>Patrícia Glioche</v>
      </c>
      <c r="S195" s="3" t="str">
        <f ca="1">IFERROR(__xludf.DUMMYFUNCTION("""COMPUTED_VALUE"""),"Franciane")</f>
        <v>Franciane</v>
      </c>
      <c r="T195" s="3" t="str">
        <f ca="1">IFERROR(__xludf.DUMMYFUNCTION("""COMPUTED_VALUE"""),"Hannah Oliveira")</f>
        <v>Hannah Oliveira</v>
      </c>
      <c r="U195" s="3" t="str">
        <f ca="1">IFERROR(__xludf.DUMMYFUNCTION("""COMPUTED_VALUE"""),"Jeanny Passigatte")</f>
        <v>Jeanny Passigatte</v>
      </c>
      <c r="V195" s="3" t="str">
        <f ca="1">IFERROR(__xludf.DUMMYFUNCTION("""COMPUTED_VALUE"""),"Não")</f>
        <v>Não</v>
      </c>
      <c r="W195" s="3" t="str">
        <f ca="1">IFERROR(__xludf.DUMMYFUNCTION("""COMPUTED_VALUE"""),"SEI-260006/010750/2025")</f>
        <v>SEI-260006/010750/2025</v>
      </c>
      <c r="X195" s="3" t="str">
        <f ca="1">IFERROR(__xludf.DUMMYFUNCTION("""COMPUTED_VALUE"""),"2- Instrução")</f>
        <v>2- Instrução</v>
      </c>
    </row>
    <row r="196" spans="1:24" x14ac:dyDescent="0.2">
      <c r="A196" s="3" t="str">
        <f ca="1">IFERROR(__xludf.DUMMYFUNCTION("""COMPUTED_VALUE"""),"483/2025")</f>
        <v>483/2025</v>
      </c>
      <c r="B196" s="3" t="str">
        <f ca="1">IFERROR(__xludf.DUMMYFUNCTION("""COMPUTED_VALUE"""),"SEI-260006/040112/2025")</f>
        <v>SEI-260006/040112/2025</v>
      </c>
      <c r="C196" s="3" t="str">
        <f ca="1">IFERROR(__xludf.DUMMYFUNCTION("""COMPUTED_VALUE"""),"Caio Viana Rodrigues, mat 41910-1")</f>
        <v>Caio Viana Rodrigues, mat 41910-1</v>
      </c>
      <c r="D196" s="3"/>
      <c r="E196" s="3"/>
      <c r="F196" s="3" t="str">
        <f ca="1">IFERROR(__xludf.DUMMYFUNCTION("""COMPUTED_VALUE"""),"Outros.")</f>
        <v>Outros.</v>
      </c>
      <c r="G196" s="3" t="str">
        <f ca="1">IFERROR(__xludf.DUMMYFUNCTION("""COMPUTED_VALUE"""),"Indícios de violação aos seguintes deveres previstos no Decreto-Lei 220/75:incisos I, II, III, IV, V, VI, VI; VII; VIII do artigo 39; incisos III e XI do artigo 40; incisos VIII e IX do artigo 52 e alíneas a, b, d e, j, l, n do artigo 3o do Decreto no 43."&amp;"583/2012;")</f>
        <v>Indícios de violação aos seguintes deveres previstos no Decreto-Lei 220/75:incisos I, II, III, IV, V, VI, VI; VII; VIII do artigo 39; incisos III e XI do artigo 40; incisos VIII e IX do artigo 52 e alíneas a, b, d e, j, l, n do artigo 3o do Decreto no 43.583/2012;</v>
      </c>
      <c r="H196" s="3" t="str">
        <f ca="1">IFERROR(__xludf.DUMMYFUNCTION("""COMPUTED_VALUE"""),"Indícios de violação aos seguintes deveres previstos no Decreto-Lei 220/75:incisos I, II, III, IV, V, VI, VI; VII; VIII do artigo 39; incisos III e XI do artigo 40; incisos VIII e IX do artigo 52 e alíneas a, b, d e, j, l, n do artigo 3o do Decreto no 43."&amp;"583/2012;")</f>
        <v>Indícios de violação aos seguintes deveres previstos no Decreto-Lei 220/75:incisos I, II, III, IV, V, VI, VI; VII; VIII do artigo 39; incisos III e XI do artigo 40; incisos VIII e IX do artigo 52 e alíneas a, b, d e, j, l, n do artigo 3o do Decreto no 43.583/2012;</v>
      </c>
      <c r="I196" s="3"/>
      <c r="J196" s="5">
        <f ca="1">IFERROR(__xludf.DUMMYFUNCTION("""COMPUTED_VALUE"""),45880)</f>
        <v>45880</v>
      </c>
      <c r="K196" s="5">
        <f ca="1">IFERROR(__xludf.DUMMYFUNCTION("""COMPUTED_VALUE"""),45883)</f>
        <v>45883</v>
      </c>
      <c r="L196" s="5">
        <f ca="1">IFERROR(__xludf.DUMMYFUNCTION("""COMPUTED_VALUE"""),46063)</f>
        <v>46063</v>
      </c>
      <c r="M196" s="5">
        <f ca="1">IFERROR(__xludf.DUMMYFUNCTION("""COMPUTED_VALUE"""),46064)</f>
        <v>46064</v>
      </c>
      <c r="N196" s="3">
        <f ca="1">IFERROR(__xludf.DUMMYFUNCTION("""COMPUTED_VALUE"""),511)</f>
        <v>511</v>
      </c>
      <c r="O196" s="5">
        <f ca="1">IFERROR(__xludf.DUMMYFUNCTION("""COMPUTED_VALUE"""),46794)</f>
        <v>46794</v>
      </c>
      <c r="P196" s="3">
        <f ca="1">IFERROR(__xludf.DUMMYFUNCTION("""COMPUTED_VALUE"""),1607)</f>
        <v>1607</v>
      </c>
      <c r="Q196" s="5">
        <f ca="1">IFERROR(__xludf.DUMMYFUNCTION("""COMPUTED_VALUE"""),47890)</f>
        <v>47890</v>
      </c>
      <c r="R196" s="3" t="str">
        <f ca="1">IFERROR(__xludf.DUMMYFUNCTION("""COMPUTED_VALUE"""),"Marcelo Bento")</f>
        <v>Marcelo Bento</v>
      </c>
      <c r="S196" s="3" t="str">
        <f ca="1">IFERROR(__xludf.DUMMYFUNCTION("""COMPUTED_VALUE"""),"Franciane")</f>
        <v>Franciane</v>
      </c>
      <c r="T196" s="3" t="str">
        <f ca="1">IFERROR(__xludf.DUMMYFUNCTION("""COMPUTED_VALUE"""),"Hannah Oliveira")</f>
        <v>Hannah Oliveira</v>
      </c>
      <c r="U196" s="3" t="str">
        <f ca="1">IFERROR(__xludf.DUMMYFUNCTION("""COMPUTED_VALUE"""),"Ariane Serpa")</f>
        <v>Ariane Serpa</v>
      </c>
      <c r="V196" s="3" t="str">
        <f ca="1">IFERROR(__xludf.DUMMYFUNCTION("""COMPUTED_VALUE"""),"Não")</f>
        <v>Não</v>
      </c>
      <c r="W196" s="3" t="str">
        <f ca="1">IFERROR(__xludf.DUMMYFUNCTION("""COMPUTED_VALUE"""),"SEI-260007/010255/2024")</f>
        <v>SEI-260007/010255/2024</v>
      </c>
      <c r="X196" s="3" t="str">
        <f ca="1">IFERROR(__xludf.DUMMYFUNCTION("""COMPUTED_VALUE"""),"2- Instrução")</f>
        <v>2- Instrução</v>
      </c>
    </row>
    <row r="197" spans="1:24" x14ac:dyDescent="0.2">
      <c r="A197" s="3" t="str">
        <f ca="1">IFERROR(__xludf.DUMMYFUNCTION("""COMPUTED_VALUE"""),"484/2025")</f>
        <v>484/2025</v>
      </c>
      <c r="B197" s="3" t="str">
        <f ca="1">IFERROR(__xludf.DUMMYFUNCTION("""COMPUTED_VALUE"""),"SEI-260006/049393/2025")</f>
        <v>SEI-260006/049393/2025</v>
      </c>
      <c r="C197" s="3" t="str">
        <f ca="1">IFERROR(__xludf.DUMMYFUNCTION("""COMPUTED_VALUE"""),"Penélope Zamboni Gonçalves dos Reis, matr. 35732-7")</f>
        <v>Penélope Zamboni Gonçalves dos Reis, matr. 35732-7</v>
      </c>
      <c r="D197" s="3"/>
      <c r="E197" s="3"/>
      <c r="F197" s="3" t="str">
        <f ca="1">IFERROR(__xludf.DUMMYFUNCTION("""COMPUTED_VALUE"""),"Assédio moral/sexual/discriminação.")</f>
        <v>Assédio moral/sexual/discriminação.</v>
      </c>
      <c r="G197" s="3" t="str">
        <f ca="1">IFERROR(__xludf.DUMMYFUNCTION("""COMPUTED_VALUE"""),"indícios da prática de assédio moral,")</f>
        <v>indícios da prática de assédio moral,</v>
      </c>
      <c r="H197" s="3" t="str">
        <f ca="1">IFERROR(__xludf.DUMMYFUNCTION("""COMPUTED_VALUE"""),"apuração da denúncia formulada pelo servidor Rodrigo de Souza Costa em face da servidora Penélope Zamboni, nos autos do Processo SEI-260006/041970/2024, alegando ter sofrido assédio moral.Considerando as manifestações da PGUERJ 97886562 e 106814545, no se"&amp;"ntido de haver indícios da prática de assédio moral, infração disciplinar de natureza grave, conforme previsão contida no artigo 50, I, do Decreto-Lei 220/75,")</f>
        <v>apuração da denúncia formulada pelo servidor Rodrigo de Souza Costa em face da servidora Penélope Zamboni, nos autos do Processo SEI-260006/041970/2024, alegando ter sofrido assédio moral.Considerando as manifestações da PGUERJ 97886562 e 106814545, no sentido de haver indícios da prática de assédio moral, infração disciplinar de natureza grave, conforme previsão contida no artigo 50, I, do Decreto-Lei 220/75,</v>
      </c>
      <c r="I197" s="3"/>
      <c r="J197" s="5">
        <f ca="1">IFERROR(__xludf.DUMMYFUNCTION("""COMPUTED_VALUE"""),45888)</f>
        <v>45888</v>
      </c>
      <c r="K197" s="5">
        <f ca="1">IFERROR(__xludf.DUMMYFUNCTION("""COMPUTED_VALUE"""),45897)</f>
        <v>45897</v>
      </c>
      <c r="L197" s="5">
        <f ca="1">IFERROR(__xludf.DUMMYFUNCTION("""COMPUTED_VALUE"""),46077)</f>
        <v>46077</v>
      </c>
      <c r="M197" s="5">
        <f ca="1">IFERROR(__xludf.DUMMYFUNCTION("""COMPUTED_VALUE"""),46078)</f>
        <v>46078</v>
      </c>
      <c r="N197" s="3">
        <f ca="1">IFERROR(__xludf.DUMMYFUNCTION("""COMPUTED_VALUE"""),525)</f>
        <v>525</v>
      </c>
      <c r="O197" s="5">
        <f ca="1">IFERROR(__xludf.DUMMYFUNCTION("""COMPUTED_VALUE"""),46808)</f>
        <v>46808</v>
      </c>
      <c r="P197" s="3">
        <f ca="1">IFERROR(__xludf.DUMMYFUNCTION("""COMPUTED_VALUE"""),1621)</f>
        <v>1621</v>
      </c>
      <c r="Q197" s="5">
        <f ca="1">IFERROR(__xludf.DUMMYFUNCTION("""COMPUTED_VALUE"""),47904)</f>
        <v>47904</v>
      </c>
      <c r="R197" s="3" t="str">
        <f ca="1">IFERROR(__xludf.DUMMYFUNCTION("""COMPUTED_VALUE"""),"Gustavo Seabra")</f>
        <v>Gustavo Seabra</v>
      </c>
      <c r="S197" s="3" t="str">
        <f ca="1">IFERROR(__xludf.DUMMYFUNCTION("""COMPUTED_VALUE"""),"Micheline")</f>
        <v>Micheline</v>
      </c>
      <c r="T197" s="3" t="str">
        <f ca="1">IFERROR(__xludf.DUMMYFUNCTION("""COMPUTED_VALUE"""),"Débora Ribeiro")</f>
        <v>Débora Ribeiro</v>
      </c>
      <c r="U197" s="3" t="str">
        <f ca="1">IFERROR(__xludf.DUMMYFUNCTION("""COMPUTED_VALUE"""),"Thiago Rocha")</f>
        <v>Thiago Rocha</v>
      </c>
      <c r="V197" s="3" t="str">
        <f ca="1">IFERROR(__xludf.DUMMYFUNCTION("""COMPUTED_VALUE"""),"Não")</f>
        <v>Não</v>
      </c>
      <c r="W197" s="3" t="str">
        <f ca="1">IFERROR(__xludf.DUMMYFUNCTION("""COMPUTED_VALUE"""),"SEI-260007/010960/2024")</f>
        <v>SEI-260007/010960/2024</v>
      </c>
      <c r="X197" s="3" t="str">
        <f ca="1">IFERROR(__xludf.DUMMYFUNCTION("""COMPUTED_VALUE"""),"2- Instrução")</f>
        <v>2- Instrução</v>
      </c>
    </row>
    <row r="198" spans="1:24" x14ac:dyDescent="0.2">
      <c r="A198" s="3" t="str">
        <f ca="1">IFERROR(__xludf.DUMMYFUNCTION("""COMPUTED_VALUE"""),"485/2025")</f>
        <v>485/2025</v>
      </c>
      <c r="B198" s="3" t="str">
        <f ca="1">IFERROR(__xludf.DUMMYFUNCTION("""COMPUTED_VALUE"""),"SEI-260006/050132/2025")</f>
        <v>SEI-260006/050132/2025</v>
      </c>
      <c r="C198" s="3" t="str">
        <f ca="1">IFERROR(__xludf.DUMMYFUNCTION("""COMPUTED_VALUE"""),"Sergian Vianna Cardozo, matrícula nº 42799-7,")</f>
        <v>Sergian Vianna Cardozo, matrícula nº 42799-7,</v>
      </c>
      <c r="D198" s="3" t="str">
        <f ca="1">IFERROR(__xludf.DUMMYFUNCTION("""COMPUTED_VALUE"""),"Infração Administrativa")</f>
        <v>Infração Administrativa</v>
      </c>
      <c r="E198" s="3" t="str">
        <f ca="1">IFERROR(__xludf.DUMMYFUNCTION("""COMPUTED_VALUE"""),"Inassiduidade ")</f>
        <v xml:space="preserve">Inassiduidade </v>
      </c>
      <c r="F198" s="3" t="str">
        <f ca="1">IFERROR(__xludf.DUMMYFUNCTION("""COMPUTED_VALUE"""),"Outros.")</f>
        <v>Outros.</v>
      </c>
      <c r="G198" s="3" t="str">
        <f ca="1">IFERROR(__xludf.DUMMYFUNCTION("""COMPUTED_VALUE"""),"Assiduidade; boa conduta; lealdade e respeito às instituições constitucionais e administrativas a que servir; observância das normas legais e regulamentares; obediência às ordens superiores, exceto quando manifestamente ilegais; valer-se do cargo ou funçã"&amp;"o para lograr proveito pessoal em detrimento da dignidade da função pública; deixar de comparecer ao trabalho sem causa justificada; e alíneas a, b, d, e, j, n do artigo 3o e alínea a do artigo 4o do Decreto no 43583/2012;")</f>
        <v>Assiduidade; boa conduta; lealdade e respeito às instituições constitucionais e administrativas a que servir; observância das normas legais e regulamentares; obediência às ordens superiores, exceto quando manifestamente ilegais; valer-se do cargo ou função para lograr proveito pessoal em detrimento da dignidade da função pública; deixar de comparecer ao trabalho sem causa justificada; e alíneas a, b, d, e, j, n do artigo 3o e alínea a do artigo 4o do Decreto no 43583/2012;</v>
      </c>
      <c r="H198" s="3" t="str">
        <f ca="1">IFERROR(__xludf.DUMMYFUNCTION("""COMPUTED_VALUE"""),"recusa do docente Sergian Vianna Cardozo, Prof. Efetivo do Departamento de Biologia (DEPBIO), da Faculdade de Ciências Biológicas e Saúde (FCBS), da área de Parasitologia, em estágio probatório, que se recusa a lecionar a disciplina de Virologia (FCBS01-1"&amp;"4787), obrigatória, do 5º período do Curso de Ciências Biológicas – ênfase Biotecnologia e Produção")</f>
        <v>recusa do docente Sergian Vianna Cardozo, Prof. Efetivo do Departamento de Biologia (DEPBIO), da Faculdade de Ciências Biológicas e Saúde (FCBS), da área de Parasitologia, em estágio probatório, que se recusa a lecionar a disciplina de Virologia (FCBS01-14787), obrigatória, do 5º período do Curso de Ciências Biológicas – ênfase Biotecnologia e Produção</v>
      </c>
      <c r="I198" s="3"/>
      <c r="J198" s="5">
        <f ca="1">IFERROR(__xludf.DUMMYFUNCTION("""COMPUTED_VALUE"""),45926)</f>
        <v>45926</v>
      </c>
      <c r="K198" s="5">
        <f ca="1">IFERROR(__xludf.DUMMYFUNCTION("""COMPUTED_VALUE"""),45943)</f>
        <v>45943</v>
      </c>
      <c r="L198" s="5">
        <f ca="1">IFERROR(__xludf.DUMMYFUNCTION("""COMPUTED_VALUE"""),46123)</f>
        <v>46123</v>
      </c>
      <c r="M198" s="5">
        <f ca="1">IFERROR(__xludf.DUMMYFUNCTION("""COMPUTED_VALUE"""),46124)</f>
        <v>46124</v>
      </c>
      <c r="N198" s="3">
        <f ca="1">IFERROR(__xludf.DUMMYFUNCTION("""COMPUTED_VALUE"""),572)</f>
        <v>572</v>
      </c>
      <c r="O198" s="5">
        <f ca="1">IFERROR(__xludf.DUMMYFUNCTION("""COMPUTED_VALUE"""),46855)</f>
        <v>46855</v>
      </c>
      <c r="P198" s="3">
        <f ca="1">IFERROR(__xludf.DUMMYFUNCTION("""COMPUTED_VALUE"""),1667)</f>
        <v>1667</v>
      </c>
      <c r="Q198" s="5">
        <f ca="1">IFERROR(__xludf.DUMMYFUNCTION("""COMPUTED_VALUE"""),47950)</f>
        <v>47950</v>
      </c>
      <c r="R198" s="3" t="str">
        <f ca="1">IFERROR(__xludf.DUMMYFUNCTION("""COMPUTED_VALUE"""),"Vanessa Queiroz")</f>
        <v>Vanessa Queiroz</v>
      </c>
      <c r="S198" s="3" t="str">
        <f ca="1">IFERROR(__xludf.DUMMYFUNCTION("""COMPUTED_VALUE"""),"Micheline")</f>
        <v>Micheline</v>
      </c>
      <c r="T198" s="3" t="str">
        <f ca="1">IFERROR(__xludf.DUMMYFUNCTION("""COMPUTED_VALUE"""),"Celso Luiz Pieroni")</f>
        <v>Celso Luiz Pieroni</v>
      </c>
      <c r="U198" s="3" t="str">
        <f ca="1">IFERROR(__xludf.DUMMYFUNCTION("""COMPUTED_VALUE"""),"Thiago Rocha")</f>
        <v>Thiago Rocha</v>
      </c>
      <c r="V198" s="3" t="str">
        <f ca="1">IFERROR(__xludf.DUMMYFUNCTION("""COMPUTED_VALUE"""),"Não")</f>
        <v>Não</v>
      </c>
      <c r="W198" s="3" t="str">
        <f ca="1">IFERROR(__xludf.DUMMYFUNCTION("""COMPUTED_VALUE"""),"SEI-260006/043835/2025")</f>
        <v>SEI-260006/043835/2025</v>
      </c>
      <c r="X198" s="3" t="str">
        <f ca="1">IFERROR(__xludf.DUMMYFUNCTION("""COMPUTED_VALUE"""),"2- Instrução")</f>
        <v>2- Instrução</v>
      </c>
    </row>
    <row r="199" spans="1:24" x14ac:dyDescent="0.2">
      <c r="A199" s="3" t="str">
        <f ca="1">IFERROR(__xludf.DUMMYFUNCTION("""COMPUTED_VALUE"""),"486/2025")</f>
        <v>486/2025</v>
      </c>
      <c r="B199" s="3" t="str">
        <f ca="1">IFERROR(__xludf.DUMMYFUNCTION("""COMPUTED_VALUE"""),"SEI-260006/051801/2025")</f>
        <v>SEI-260006/051801/2025</v>
      </c>
      <c r="C199" s="3" t="str">
        <f ca="1">IFERROR(__xludf.DUMMYFUNCTION("""COMPUTED_VALUE"""),"Álvaro Luiz Vieira Lubambo de Britto, matr. 42100-8")</f>
        <v>Álvaro Luiz Vieira Lubambo de Britto, matr. 42100-8</v>
      </c>
      <c r="D199" s="3" t="str">
        <f ca="1">IFERROR(__xludf.DUMMYFUNCTION("""COMPUTED_VALUE"""),"Desvio de conduta")</f>
        <v>Desvio de conduta</v>
      </c>
      <c r="E199" s="3"/>
      <c r="F199" s="3" t="str">
        <f ca="1">IFERROR(__xludf.DUMMYFUNCTION("""COMPUTED_VALUE"""),"Outros.")</f>
        <v>Outros.</v>
      </c>
      <c r="G199" s="3" t="str">
        <f ca="1">IFERROR(__xludf.DUMMYFUNCTION("""COMPUTED_VALUE"""),"indícios de violação dos deveres: I - assiduidade;
II - pontualidade; III - urbanidade; IV - discrição; V - boa conduta; VII - observância das normas legais e regulamentares; VIII - obediência às ordens superiores, exceto quando manifestamente ilegais;VII"&amp;"I ineficiência comprovada, com caráter de habitualidade, no desempenho dos encargos de sua competência; X - desídia no cumprimento dos deveres")</f>
        <v>indícios de violação dos deveres: I - assiduidade;
II - pontualidade; III - urbanidade; IV - discrição; V - boa conduta; VII - observância das normas legais e regulamentares; VIII - obediência às ordens superiores, exceto quando manifestamente ilegais;VIII ineficiência comprovada, com caráter de habitualidade, no desempenho dos encargos de sua competência; X - desídia no cumprimento dos deveres</v>
      </c>
      <c r="H199" s="3" t="str">
        <f ca="1">IFERROR(__xludf.DUMMYFUNCTION("""COMPUTED_VALUE"""),"Indícios de violação dos deveres previstos nos incisos I (assiduidade), II (pontualidade), III (urbanidade), IV (discrição), V (boa conduta), VII (observância das normas legais e regulamentares), VIII (obediência às ordens superiores, exceto quando manife"&amp;"stamente ilegais), do artigo 39; I (falta grave) do artigo 50; VIII (ineficiência comprovada, com caráter de habitualidade, no desempenho dos encargos de sua competência) e IX (desídia no cumprimento dos deveres) do artigo 52 do DL 220/75, em razão de atr"&amp;"asos na entrega de resultados de exames da UDA de Anatomia Patológica.")</f>
        <v>Indícios de violação dos deveres previstos nos incisos I (assiduidade), II (pontualidade), III (urbanidade), IV (discrição), V (boa conduta), VII (observância das normas legais e regulamentares), VIII (obediência às ordens superiores, exceto quando manifestamente ilegais), do artigo 39; I (falta grave) do artigo 50; VIII (ineficiência comprovada, com caráter de habitualidade, no desempenho dos encargos de sua competência) e IX (desídia no cumprimento dos deveres) do artigo 52 do DL 220/75, em razão de atrasos na entrega de resultados de exames da UDA de Anatomia Patológica.</v>
      </c>
      <c r="I199" s="3" t="str">
        <f ca="1">IFERROR(__xludf.DUMMYFUNCTION("""COMPUTED_VALUE"""),"Não")</f>
        <v>Não</v>
      </c>
      <c r="J199" s="5">
        <f ca="1">IFERROR(__xludf.DUMMYFUNCTION("""COMPUTED_VALUE"""),45931)</f>
        <v>45931</v>
      </c>
      <c r="K199" s="5">
        <f ca="1">IFERROR(__xludf.DUMMYFUNCTION("""COMPUTED_VALUE"""),45943)</f>
        <v>45943</v>
      </c>
      <c r="L199" s="5">
        <f ca="1">IFERROR(__xludf.DUMMYFUNCTION("""COMPUTED_VALUE"""),46123)</f>
        <v>46123</v>
      </c>
      <c r="M199" s="5">
        <f ca="1">IFERROR(__xludf.DUMMYFUNCTION("""COMPUTED_VALUE"""),46124)</f>
        <v>46124</v>
      </c>
      <c r="N199" s="3">
        <f ca="1">IFERROR(__xludf.DUMMYFUNCTION("""COMPUTED_VALUE"""),572)</f>
        <v>572</v>
      </c>
      <c r="O199" s="5">
        <f ca="1">IFERROR(__xludf.DUMMYFUNCTION("""COMPUTED_VALUE"""),46855)</f>
        <v>46855</v>
      </c>
      <c r="P199" s="3">
        <f ca="1">IFERROR(__xludf.DUMMYFUNCTION("""COMPUTED_VALUE"""),1667)</f>
        <v>1667</v>
      </c>
      <c r="Q199" s="5">
        <f ca="1">IFERROR(__xludf.DUMMYFUNCTION("""COMPUTED_VALUE"""),47950)</f>
        <v>47950</v>
      </c>
      <c r="R199" s="3" t="str">
        <f ca="1">IFERROR(__xludf.DUMMYFUNCTION("""COMPUTED_VALUE"""),"Bianca Faertes")</f>
        <v>Bianca Faertes</v>
      </c>
      <c r="S199" s="3" t="str">
        <f ca="1">IFERROR(__xludf.DUMMYFUNCTION("""COMPUTED_VALUE"""),"Isadora")</f>
        <v>Isadora</v>
      </c>
      <c r="T199" s="3" t="str">
        <f ca="1">IFERROR(__xludf.DUMMYFUNCTION("""COMPUTED_VALUE"""),"Hannah Oliveira")</f>
        <v>Hannah Oliveira</v>
      </c>
      <c r="U199" s="3" t="str">
        <f ca="1">IFERROR(__xludf.DUMMYFUNCTION("""COMPUTED_VALUE"""),"Jeanny Passigatte")</f>
        <v>Jeanny Passigatte</v>
      </c>
      <c r="V199" s="3" t="str">
        <f ca="1">IFERROR(__xludf.DUMMYFUNCTION("""COMPUTED_VALUE"""),"Não")</f>
        <v>Não</v>
      </c>
      <c r="W199" s="3" t="str">
        <f ca="1">IFERROR(__xludf.DUMMYFUNCTION("""COMPUTED_VALUE"""),"SEI-260007/011691/2024")</f>
        <v>SEI-260007/011691/2024</v>
      </c>
      <c r="X199" s="3" t="str">
        <f ca="1">IFERROR(__xludf.DUMMYFUNCTION("""COMPUTED_VALUE"""),"2- Instrução")</f>
        <v>2- Instrução</v>
      </c>
    </row>
    <row r="200" spans="1:24" x14ac:dyDescent="0.2">
      <c r="A200" s="3" t="str">
        <f ca="1">IFERROR(__xludf.DUMMYFUNCTION("""COMPUTED_VALUE"""),"487/2025")</f>
        <v>487/2025</v>
      </c>
      <c r="B200" s="3" t="str">
        <f ca="1">IFERROR(__xludf.DUMMYFUNCTION("""COMPUTED_VALUE"""),"SEI-260006/052805/2025")</f>
        <v>SEI-260006/052805/2025</v>
      </c>
      <c r="C200" s="3" t="str">
        <f ca="1">IFERROR(__xludf.DUMMYFUNCTION("""COMPUTED_VALUE"""),"Geraldo Luiz Ferreira Cerqueira, matr. 56291")</f>
        <v>Geraldo Luiz Ferreira Cerqueira, matr. 56291</v>
      </c>
      <c r="D200" s="3" t="str">
        <f ca="1">IFERROR(__xludf.DUMMYFUNCTION("""COMPUTED_VALUE"""),"Infrações disciplinares que podem levar à pena de demissão")</f>
        <v>Infrações disciplinares que podem levar à pena de demissão</v>
      </c>
      <c r="E200" s="3" t="str">
        <f ca="1">IFERROR(__xludf.DUMMYFUNCTION("""COMPUTED_VALUE"""),"Insubordinação")</f>
        <v>Insubordinação</v>
      </c>
      <c r="F200" s="3" t="str">
        <f ca="1">IFERROR(__xludf.DUMMYFUNCTION("""COMPUTED_VALUE"""),"Insubordinação.")</f>
        <v>Insubordinação.</v>
      </c>
      <c r="G200" s="3" t="str">
        <f ca="1">IFERROR(__xludf.DUMMYFUNCTION("""COMPUTED_VALUE"""),"Insubordinação grave e desídia no cumprimento dos deveres (incisos VII e IX do artigo 52 do Decreto-Lei 220/75)")</f>
        <v>Insubordinação grave e desídia no cumprimento dos deveres (incisos VII e IX do artigo 52 do Decreto-Lei 220/75)</v>
      </c>
      <c r="H200" s="3" t="str">
        <f ca="1">IFERROR(__xludf.DUMMYFUNCTION("""COMPUTED_VALUE"""),"à apuração dos fatos relacionados ao processo licitatório referente à contratação de serviços de limpeza e conservação, em especial quanto à ocorrência de sucessivas contratações emergenciais e possível omissão administrativa na condução do trâmite do pro"&amp;"cesso SEI-260007/010063/2023.")</f>
        <v>à apuração dos fatos relacionados ao processo licitatório referente à contratação de serviços de limpeza e conservação, em especial quanto à ocorrência de sucessivas contratações emergenciais e possível omissão administrativa na condução do trâmite do processo SEI-260007/010063/2023.</v>
      </c>
      <c r="I200" s="3"/>
      <c r="J200" s="5">
        <f ca="1">IFERROR(__xludf.DUMMYFUNCTION("""COMPUTED_VALUE"""),45931)</f>
        <v>45931</v>
      </c>
      <c r="K200" s="5">
        <f ca="1">IFERROR(__xludf.DUMMYFUNCTION("""COMPUTED_VALUE"""),45943)</f>
        <v>45943</v>
      </c>
      <c r="L200" s="5">
        <f ca="1">IFERROR(__xludf.DUMMYFUNCTION("""COMPUTED_VALUE"""),46123)</f>
        <v>46123</v>
      </c>
      <c r="M200" s="5">
        <f ca="1">IFERROR(__xludf.DUMMYFUNCTION("""COMPUTED_VALUE"""),46124)</f>
        <v>46124</v>
      </c>
      <c r="N200" s="3">
        <f ca="1">IFERROR(__xludf.DUMMYFUNCTION("""COMPUTED_VALUE"""),572)</f>
        <v>572</v>
      </c>
      <c r="O200" s="5">
        <f ca="1">IFERROR(__xludf.DUMMYFUNCTION("""COMPUTED_VALUE"""),46855)</f>
        <v>46855</v>
      </c>
      <c r="P200" s="3">
        <f ca="1">IFERROR(__xludf.DUMMYFUNCTION("""COMPUTED_VALUE"""),1667)</f>
        <v>1667</v>
      </c>
      <c r="Q200" s="5">
        <f ca="1">IFERROR(__xludf.DUMMYFUNCTION("""COMPUTED_VALUE"""),47950)</f>
        <v>47950</v>
      </c>
      <c r="R200" s="3" t="str">
        <f ca="1">IFERROR(__xludf.DUMMYFUNCTION("""COMPUTED_VALUE"""),"Rodrigo Marcellino")</f>
        <v>Rodrigo Marcellino</v>
      </c>
      <c r="S200" s="3" t="str">
        <f ca="1">IFERROR(__xludf.DUMMYFUNCTION("""COMPUTED_VALUE"""),"Micheline")</f>
        <v>Micheline</v>
      </c>
      <c r="T200" s="3" t="str">
        <f ca="1">IFERROR(__xludf.DUMMYFUNCTION("""COMPUTED_VALUE"""),"Marcelo Bento")</f>
        <v>Marcelo Bento</v>
      </c>
      <c r="U200" s="3" t="str">
        <f ca="1">IFERROR(__xludf.DUMMYFUNCTION("""COMPUTED_VALUE"""),"Marcelo Ferreira")</f>
        <v>Marcelo Ferreira</v>
      </c>
      <c r="V200" s="3" t="str">
        <f ca="1">IFERROR(__xludf.DUMMYFUNCTION("""COMPUTED_VALUE"""),"Não")</f>
        <v>Não</v>
      </c>
      <c r="W200" s="3" t="str">
        <f ca="1">IFERROR(__xludf.DUMMYFUNCTION("""COMPUTED_VALUE"""),"SEI-260006/043810/2024
")</f>
        <v xml:space="preserve">SEI-260006/043810/2024
</v>
      </c>
      <c r="X200" s="3" t="str">
        <f ca="1">IFERROR(__xludf.DUMMYFUNCTION("""COMPUTED_VALUE"""),"3-  Concluso p/ Indiciação")</f>
        <v>3-  Concluso p/ Indiciação</v>
      </c>
    </row>
    <row r="201" spans="1:24" x14ac:dyDescent="0.2">
      <c r="A201" s="3" t="str">
        <f ca="1">IFERROR(__xludf.DUMMYFUNCTION("""COMPUTED_VALUE"""),"489/2025")</f>
        <v>489/2025</v>
      </c>
      <c r="B201" s="3" t="str">
        <f ca="1">IFERROR(__xludf.DUMMYFUNCTION("""COMPUTED_VALUE"""),"SEI-260006/054138/2025")</f>
        <v>SEI-260006/054138/2025</v>
      </c>
      <c r="C201" s="3" t="str">
        <f ca="1">IFERROR(__xludf.DUMMYFUNCTION("""COMPUTED_VALUE"""),"Raphael Wasserrman Paes de Figueiredo, matr. 35742-6")</f>
        <v>Raphael Wasserrman Paes de Figueiredo, matr. 35742-6</v>
      </c>
      <c r="D201" s="3" t="str">
        <f ca="1">IFERROR(__xludf.DUMMYFUNCTION("""COMPUTED_VALUE"""),"Desvio de conduta")</f>
        <v>Desvio de conduta</v>
      </c>
      <c r="E201" s="3"/>
      <c r="F201" s="3" t="str">
        <f ca="1">IFERROR(__xludf.DUMMYFUNCTION("""COMPUTED_VALUE"""),"Outros.")</f>
        <v>Outros.</v>
      </c>
      <c r="G201" s="3" t="str">
        <f ca="1">IFERROR(__xludf.DUMMYFUNCTION("""COMPUTED_VALUE"""),"Discrição (art 39, IV do DL 220/75), Boa conduta (art 39, V do DL 220/75)")</f>
        <v>Discrição (art 39, IV do DL 220/75), Boa conduta (art 39, V do DL 220/75)</v>
      </c>
      <c r="H201" s="3" t="str">
        <f ca="1">IFERROR(__xludf.DUMMYFUNCTION("""COMPUTED_VALUE"""),"Indícios de violação dos incisos IV (discrição), V (boa conduta), VI (lealdade e respeito às instituições constitucionais e administrativas a que servir), VII (observância das normas legais e regulamentares) do artigo 39; inciso III do artigo 40 (valer-se"&amp;" do cargo ou função para lograr proveito pessoal em detrimento da dignidade da função pública); inciso I do artigo 50 (a pena de suspensão será aplicada em casos de: I - falta grave); incisos I e II, primeira parte do artigo 52 do Decreto-Lei 220/75 (a pe"&amp;"na de demissão será aplicada nos casos de: I - falta relacionada no art. 40, quando de natureza grave, a juízo da autoridade competente, e se comprovada má fé; II - incontinência pública e escandalosa; prática de jogos proibidos); e artigos correspondente"&amp;"s do Decreto nº 2479/79, mais alínea a e c do artigo 3º (são deveres fundamentais do servidor público: a) desempenhar rigorosamente as atribuições do cargo, função ou emprego que esteja exercendo; c) tratar com urbanidade os usuários dos serviços, procura"&amp;"ndo aperfeiçoar o processo de comunicação e contato com o público); alínea a do artigo 4º do Decreto nº 43.583/2012 (é vedado ao servidor público: a) usar do cargo, emprego ou função para obter ou permitir que alguém obtenha qualquer tipo de favorecimento"&amp;").")</f>
        <v>Indícios de violação dos incisos IV (discrição), V (boa conduta), VI (lealdade e respeito às instituições constitucionais e administrativas a que servir), VII (observância das normas legais e regulamentares) do artigo 39; inciso III do artigo 40 (valer-se do cargo ou função para lograr proveito pessoal em detrimento da dignidade da função pública); inciso I do artigo 50 (a pena de suspensão será aplicada em casos de: I - falta grave); incisos I e II, primeira parte do artigo 52 do Decreto-Lei 220/75 (a pena de demissão será aplicada nos casos de: I - falta relacionada no art. 40, quando de natureza grave, a juízo da autoridade competente, e se comprovada má fé; II - incontinência pública e escandalosa; prática de jogos proibidos); e artigos correspondentes do Decreto nº 2479/79, mais alínea a e c do artigo 3º (são deveres fundamentais do servidor público: a) desempenhar rigorosamente as atribuições do cargo, função ou emprego que esteja exercendo; c) tratar com urbanidade os usuários dos serviços, procurando aperfeiçoar o processo de comunicação e contato com o público); alínea a do artigo 4º do Decreto nº 43.583/2012 (é vedado ao servidor público: a) usar do cargo, emprego ou função para obter ou permitir que alguém obtenha qualquer tipo de favorecimento).</v>
      </c>
      <c r="I201" s="3"/>
      <c r="J201" s="5">
        <f ca="1">IFERROR(__xludf.DUMMYFUNCTION("""COMPUTED_VALUE"""),45936)</f>
        <v>45936</v>
      </c>
      <c r="K201" s="5">
        <f ca="1">IFERROR(__xludf.DUMMYFUNCTION("""COMPUTED_VALUE"""),45945)</f>
        <v>45945</v>
      </c>
      <c r="L201" s="5">
        <f ca="1">IFERROR(__xludf.DUMMYFUNCTION("""COMPUTED_VALUE"""),46125)</f>
        <v>46125</v>
      </c>
      <c r="M201" s="5">
        <f ca="1">IFERROR(__xludf.DUMMYFUNCTION("""COMPUTED_VALUE"""),46126)</f>
        <v>46126</v>
      </c>
      <c r="N201" s="3">
        <f ca="1">IFERROR(__xludf.DUMMYFUNCTION("""COMPUTED_VALUE"""),574)</f>
        <v>574</v>
      </c>
      <c r="O201" s="5">
        <f ca="1">IFERROR(__xludf.DUMMYFUNCTION("""COMPUTED_VALUE"""),46857)</f>
        <v>46857</v>
      </c>
      <c r="P201" s="3">
        <f ca="1">IFERROR(__xludf.DUMMYFUNCTION("""COMPUTED_VALUE"""),1669)</f>
        <v>1669</v>
      </c>
      <c r="Q201" s="5">
        <f ca="1">IFERROR(__xludf.DUMMYFUNCTION("""COMPUTED_VALUE"""),47952)</f>
        <v>47952</v>
      </c>
      <c r="R201" s="3" t="str">
        <f ca="1">IFERROR(__xludf.DUMMYFUNCTION("""COMPUTED_VALUE"""),"Marcelo Bento")</f>
        <v>Marcelo Bento</v>
      </c>
      <c r="S201" s="3" t="str">
        <f ca="1">IFERROR(__xludf.DUMMYFUNCTION("""COMPUTED_VALUE"""),"Franciane")</f>
        <v>Franciane</v>
      </c>
      <c r="T201" s="3" t="str">
        <f ca="1">IFERROR(__xludf.DUMMYFUNCTION("""COMPUTED_VALUE"""),"Patrícia Glioche")</f>
        <v>Patrícia Glioche</v>
      </c>
      <c r="U201" s="3" t="str">
        <f ca="1">IFERROR(__xludf.DUMMYFUNCTION("""COMPUTED_VALUE"""),"Thiago Rocha")</f>
        <v>Thiago Rocha</v>
      </c>
      <c r="V201" s="3" t="str">
        <f ca="1">IFERROR(__xludf.DUMMYFUNCTION("""COMPUTED_VALUE"""),"Não")</f>
        <v>Não</v>
      </c>
      <c r="W201" s="3" t="str">
        <f ca="1">IFERROR(__xludf.DUMMYFUNCTION("""COMPUTED_VALUE"""),"SEI-260007/017886/2021")</f>
        <v>SEI-260007/017886/2021</v>
      </c>
      <c r="X201" s="3" t="str">
        <f ca="1">IFERROR(__xludf.DUMMYFUNCTION("""COMPUTED_VALUE"""),"2- Instrução")</f>
        <v>2- Instrução</v>
      </c>
    </row>
    <row r="202" spans="1:24" x14ac:dyDescent="0.2">
      <c r="A202" s="3" t="str">
        <f ca="1">IFERROR(__xludf.DUMMYFUNCTION("""COMPUTED_VALUE"""),"490/2025")</f>
        <v>490/2025</v>
      </c>
      <c r="B202" s="3" t="str">
        <f ca="1">IFERROR(__xludf.DUMMYFUNCTION("""COMPUTED_VALUE"""),"SEI-260006/058866/2025")</f>
        <v>SEI-260006/058866/2025</v>
      </c>
      <c r="C202" s="3" t="str">
        <f ca="1">IFERROR(__xludf.DUMMYFUNCTION("""COMPUTED_VALUE"""),"Douglas Cabral Silva, matr. 36731-8")</f>
        <v>Douglas Cabral Silva, matr. 36731-8</v>
      </c>
      <c r="D202" s="3"/>
      <c r="E202" s="3"/>
      <c r="F202" s="3" t="str">
        <f ca="1">IFERROR(__xludf.DUMMYFUNCTION("""COMPUTED_VALUE"""),"Outros.")</f>
        <v>Outros.</v>
      </c>
      <c r="G202" s="3" t="str">
        <f ca="1">IFERROR(__xludf.DUMMYFUNCTION("""COMPUTED_VALUE"""),"urbanidade; discrição; boa conduta; valer-se do cargo ou função para lograr proveito pessoal em detrimento da dignidade da função pública; incontinência pública e escandalosa; e arts. 3o, alíneas ""d"", ""e"", ""f"" e ""n"", e 4o, alíneas ""a"", ""c"" e "&amp;"""e"" do Código de Ética Profissional dos servidores do Poder Executivo do Estado do Rio de Janeiro, Decreto estadual no 43.583/2012")</f>
        <v>urbanidade; discrição; boa conduta; valer-se do cargo ou função para lograr proveito pessoal em detrimento da dignidade da função pública; incontinência pública e escandalosa; e arts. 3o, alíneas "d", "e", "f" e "n", e 4o, alíneas "a", "c" e "e" do Código de Ética Profissional dos servidores do Poder Executivo do Estado do Rio de Janeiro, Decreto estadual no 43.583/2012</v>
      </c>
      <c r="H202" s="3" t="str">
        <f ca="1">IFERROR(__xludf.DUMMYFUNCTION("""COMPUTED_VALUE"""),"Apurar prática de supostos atos irregulares, que configuram, em tese, dentre outras infrações disciplinares, assédio sexual. Segundo despacho (117636215)")</f>
        <v>Apurar prática de supostos atos irregulares, que configuram, em tese, dentre outras infrações disciplinares, assédio sexual. Segundo despacho (117636215)</v>
      </c>
      <c r="I202" s="3"/>
      <c r="J202" s="7">
        <f ca="1">IFERROR(__xludf.DUMMYFUNCTION("""COMPUTED_VALUE"""),45959)</f>
        <v>45959</v>
      </c>
      <c r="K202" s="5">
        <f ca="1">IFERROR(__xludf.DUMMYFUNCTION("""COMPUTED_VALUE"""),45964)</f>
        <v>45964</v>
      </c>
      <c r="L202" s="5">
        <f ca="1">IFERROR(__xludf.DUMMYFUNCTION("""COMPUTED_VALUE"""),46144)</f>
        <v>46144</v>
      </c>
      <c r="M202" s="5">
        <f ca="1">IFERROR(__xludf.DUMMYFUNCTION("""COMPUTED_VALUE"""),46145)</f>
        <v>46145</v>
      </c>
      <c r="N202" s="3">
        <f ca="1">IFERROR(__xludf.DUMMYFUNCTION("""COMPUTED_VALUE"""),593)</f>
        <v>593</v>
      </c>
      <c r="O202" s="5">
        <f ca="1">IFERROR(__xludf.DUMMYFUNCTION("""COMPUTED_VALUE"""),46876)</f>
        <v>46876</v>
      </c>
      <c r="P202" s="3">
        <f ca="1">IFERROR(__xludf.DUMMYFUNCTION("""COMPUTED_VALUE"""),1688)</f>
        <v>1688</v>
      </c>
      <c r="Q202" s="5">
        <f ca="1">IFERROR(__xludf.DUMMYFUNCTION("""COMPUTED_VALUE"""),47971)</f>
        <v>47971</v>
      </c>
      <c r="R202" s="3" t="str">
        <f ca="1">IFERROR(__xludf.DUMMYFUNCTION("""COMPUTED_VALUE"""),"Gustavo Seabra")</f>
        <v>Gustavo Seabra</v>
      </c>
      <c r="S202" s="3" t="str">
        <f ca="1">IFERROR(__xludf.DUMMYFUNCTION("""COMPUTED_VALUE"""),"Patrícia")</f>
        <v>Patrícia</v>
      </c>
      <c r="T202" s="3" t="str">
        <f ca="1">IFERROR(__xludf.DUMMYFUNCTION("""COMPUTED_VALUE"""),"Débora Ribeiro")</f>
        <v>Débora Ribeiro</v>
      </c>
      <c r="U202" s="3" t="str">
        <f ca="1">IFERROR(__xludf.DUMMYFUNCTION("""COMPUTED_VALUE"""),"Hannah Oliveira")</f>
        <v>Hannah Oliveira</v>
      </c>
      <c r="V202" s="3" t="str">
        <f ca="1">IFERROR(__xludf.DUMMYFUNCTION("""COMPUTED_VALUE"""),"Não")</f>
        <v>Não</v>
      </c>
      <c r="W202" s="3" t="str">
        <f ca="1">IFERROR(__xludf.DUMMYFUNCTION("""COMPUTED_VALUE"""),"SEI-260006/049509/2025")</f>
        <v>SEI-260006/049509/2025</v>
      </c>
      <c r="X202" s="3" t="str">
        <f ca="1">IFERROR(__xludf.DUMMYFUNCTION("""COMPUTED_VALUE"""),"2- Instrução")</f>
        <v>2- Instrução</v>
      </c>
    </row>
    <row r="203" spans="1:24" x14ac:dyDescent="0.2">
      <c r="A203" s="3" t="str">
        <f ca="1">IFERROR(__xludf.DUMMYFUNCTION("""COMPUTED_VALUE"""),"491/2025")</f>
        <v>491/2025</v>
      </c>
      <c r="B203" s="3" t="str">
        <f ca="1">IFERROR(__xludf.DUMMYFUNCTION("""COMPUTED_VALUE"""),"SEI-260006/065200/2025")</f>
        <v>SEI-260006/065200/2025</v>
      </c>
      <c r="C203" s="3" t="str">
        <f ca="1">IFERROR(__xludf.DUMMYFUNCTION("""COMPUTED_VALUE"""),"ex servidora Renata Schnoor Hartfelder , 37560-0.")</f>
        <v>ex servidora Renata Schnoor Hartfelder , 37560-0.</v>
      </c>
      <c r="D203" s="3" t="str">
        <f ca="1">IFERROR(__xludf.DUMMYFUNCTION("""COMPUTED_VALUE"""),"Abandono do Cargo")</f>
        <v>Abandono do Cargo</v>
      </c>
      <c r="E203" s="3"/>
      <c r="F203" s="3" t="str">
        <f ca="1">IFERROR(__xludf.DUMMYFUNCTION("""COMPUTED_VALUE"""),"Outros.")</f>
        <v>Outros.</v>
      </c>
      <c r="G203" s="3" t="str">
        <f ca="1">IFERROR(__xludf.DUMMYFUNCTION("""COMPUTED_VALUE"""),"infração aos artigo 38, 39 incisos VI e VII, artigo 40 incisos III e XV, artigo 41 e artigo 52 inciso I, do Decreto-Lei nº 220/75 e apuração de eventual ato de improbidade administrativa.")</f>
        <v>infração aos artigo 38, 39 incisos VI e VII, artigo 40 incisos III e XV, artigo 41 e artigo 52 inciso I, do Decreto-Lei nº 220/75 e apuração de eventual ato de improbidade administrativa.</v>
      </c>
      <c r="H203" s="3"/>
      <c r="I203" s="3"/>
      <c r="J203" s="5">
        <f ca="1">IFERROR(__xludf.DUMMYFUNCTION("""COMPUTED_VALUE"""),45996)</f>
        <v>45996</v>
      </c>
      <c r="K203" s="5">
        <f ca="1">IFERROR(__xludf.DUMMYFUNCTION("""COMPUTED_VALUE"""),46002)</f>
        <v>46002</v>
      </c>
      <c r="L203" s="5">
        <f ca="1">IFERROR(__xludf.DUMMYFUNCTION("""COMPUTED_VALUE"""),46182)</f>
        <v>46182</v>
      </c>
      <c r="M203" s="5">
        <f ca="1">IFERROR(__xludf.DUMMYFUNCTION("""COMPUTED_VALUE"""),46183)</f>
        <v>46183</v>
      </c>
      <c r="N203" s="3">
        <f ca="1">IFERROR(__xludf.DUMMYFUNCTION("""COMPUTED_VALUE"""),631)</f>
        <v>631</v>
      </c>
      <c r="O203" s="5">
        <f ca="1">IFERROR(__xludf.DUMMYFUNCTION("""COMPUTED_VALUE"""),46914)</f>
        <v>46914</v>
      </c>
      <c r="P203" s="3">
        <f ca="1">IFERROR(__xludf.DUMMYFUNCTION("""COMPUTED_VALUE"""),1726)</f>
        <v>1726</v>
      </c>
      <c r="Q203" s="5">
        <f ca="1">IFERROR(__xludf.DUMMYFUNCTION("""COMPUTED_VALUE"""),48009)</f>
        <v>48009</v>
      </c>
      <c r="R203" s="3" t="str">
        <f ca="1">IFERROR(__xludf.DUMMYFUNCTION("""COMPUTED_VALUE"""),"Gustavo Seabra")</f>
        <v>Gustavo Seabra</v>
      </c>
      <c r="S203" s="3" t="str">
        <f ca="1">IFERROR(__xludf.DUMMYFUNCTION("""COMPUTED_VALUE"""),"Franciane")</f>
        <v>Franciane</v>
      </c>
      <c r="T203" s="3" t="str">
        <f ca="1">IFERROR(__xludf.DUMMYFUNCTION("""COMPUTED_VALUE"""),"Marcelo Ferreira")</f>
        <v>Marcelo Ferreira</v>
      </c>
      <c r="U203" s="3" t="str">
        <f ca="1">IFERROR(__xludf.DUMMYFUNCTION("""COMPUTED_VALUE"""),"Marcelo Bento")</f>
        <v>Marcelo Bento</v>
      </c>
      <c r="V203" s="3"/>
      <c r="W203" s="3" t="str">
        <f ca="1">IFERROR(__xludf.DUMMYFUNCTION("""COMPUTED_VALUE"""),"SEI-260006/011470/2025")</f>
        <v>SEI-260006/011470/2025</v>
      </c>
      <c r="X203" s="3" t="str">
        <f ca="1">IFERROR(__xludf.DUMMYFUNCTION("""COMPUTED_VALUE"""),"2- Instrução")</f>
        <v>2- Instrução</v>
      </c>
    </row>
    <row r="204" spans="1:24" x14ac:dyDescent="0.2">
      <c r="A204" s="3" t="str">
        <f ca="1">IFERROR(__xludf.DUMMYFUNCTION("""COMPUTED_VALUE"""),"492/2026")</f>
        <v>492/2026</v>
      </c>
      <c r="B204" s="3" t="str">
        <f ca="1">IFERROR(__xludf.DUMMYFUNCTION("""COMPUTED_VALUE"""),"SEI-260006/006533/2026
foi juntado ao SEI-260006/006535/2026  para tramitação conjunta.")</f>
        <v>SEI-260006/006533/2026
foi juntado ao SEI-260006/006535/2026  para tramitação conjunta.</v>
      </c>
      <c r="C204" s="3" t="str">
        <f ca="1">IFERROR(__xludf.DUMMYFUNCTION("""COMPUTED_VALUE"""),"Anderson Luiz dos Santos Ribeiro, matrícula nº 37.076-7.")</f>
        <v>Anderson Luiz dos Santos Ribeiro, matrícula nº 37.076-7.</v>
      </c>
      <c r="D204" s="3"/>
      <c r="E204" s="3"/>
      <c r="F204" s="3" t="str">
        <f ca="1">IFERROR(__xludf.DUMMYFUNCTION("""COMPUTED_VALUE"""),"Outros.")</f>
        <v>Outros.</v>
      </c>
      <c r="G204" s="3" t="str">
        <f ca="1">IFERROR(__xludf.DUMMYFUNCTION("""COMPUTED_VALUE"""),"infrações disciplinares previstas nos incisos III, IV, V e VI do artigo 39 e II do artigo 52 do Decreto-Lei nº 220/75")</f>
        <v>infrações disciplinares previstas nos incisos III, IV, V e VI do artigo 39 e II do artigo 52 do Decreto-Lei nº 220/75</v>
      </c>
      <c r="H204" s="3" t="str">
        <f ca="1">IFERROR(__xludf.DUMMYFUNCTION("""COMPUTED_VALUE"""),"CONDUTA INCOMPATÍVEL COM A FUNÇÃO PÚBLICA – INTIMIDAÇÃO DE TESTEMUNHAS – PERMANÊNCIA INJUSTIFICADA EM SETOR ALHEIO ÀS ATRIBUIÇÕES – TENTATIVA DE INGRESSO EM SALA DE DEPOIMENTO – ABORDAGENS INSISTENTES VISANDO INTERFERIR NA INSTRUÇÃO – ACIONAMENTO REITERAD"&amp;"O DE SEGURANÇA INSTITUCIONAL – VIOLAÇÃO DOS DEVERES DE URBANIDADE, DISCRIÇÃO, BOA CONDUTA E RESPEITO À HIERARQUIA (ARTS. 38 E 39, III, IV, V E VI, DO DECRETO-LEI Nº 220/75) – INDÍCIOS DE INCONTINÊNCIA PÚBLICA E ESCANDALOSA (ART. 52, II) – REQUISITOS DO FU"&amp;"MUS BONI IURIS E PERICULUM IN MORA PRESENTES
")</f>
        <v xml:space="preserve">CONDUTA INCOMPATÍVEL COM A FUNÇÃO PÚBLICA – INTIMIDAÇÃO DE TESTEMUNHAS – PERMANÊNCIA INJUSTIFICADA EM SETOR ALHEIO ÀS ATRIBUIÇÕES – TENTATIVA DE INGRESSO EM SALA DE DEPOIMENTO – ABORDAGENS INSISTENTES VISANDO INTERFERIR NA INSTRUÇÃO – ACIONAMENTO REITERADO DE SEGURANÇA INSTITUCIONAL – VIOLAÇÃO DOS DEVERES DE URBANIDADE, DISCRIÇÃO, BOA CONDUTA E RESPEITO À HIERARQUIA (ARTS. 38 E 39, III, IV, V E VI, DO DECRETO-LEI Nº 220/75) – INDÍCIOS DE INCONTINÊNCIA PÚBLICA E ESCANDALOSA (ART. 52, II) – REQUISITOS DO FUMUS BONI IURIS E PERICULUM IN MORA PRESENTES
</v>
      </c>
      <c r="I204" s="3" t="str">
        <f ca="1">IFERROR(__xludf.DUMMYFUNCTION("""COMPUTED_VALUE"""),"Sim")</f>
        <v>Sim</v>
      </c>
      <c r="J204" s="7">
        <f ca="1">IFERROR(__xludf.DUMMYFUNCTION("""COMPUTED_VALUE"""),45979)</f>
        <v>45979</v>
      </c>
      <c r="K204" s="5">
        <f ca="1">IFERROR(__xludf.DUMMYFUNCTION("""COMPUTED_VALUE"""),45988)</f>
        <v>45988</v>
      </c>
      <c r="L204" s="5">
        <f ca="1">IFERROR(__xludf.DUMMYFUNCTION("""COMPUTED_VALUE"""),46168)</f>
        <v>46168</v>
      </c>
      <c r="M204" s="5">
        <f ca="1">IFERROR(__xludf.DUMMYFUNCTION("""COMPUTED_VALUE"""),46169)</f>
        <v>46169</v>
      </c>
      <c r="N204" s="3">
        <f ca="1">IFERROR(__xludf.DUMMYFUNCTION("""COMPUTED_VALUE"""),617)</f>
        <v>617</v>
      </c>
      <c r="O204" s="5">
        <f ca="1">IFERROR(__xludf.DUMMYFUNCTION("""COMPUTED_VALUE"""),46900)</f>
        <v>46900</v>
      </c>
      <c r="P204" s="3">
        <f ca="1">IFERROR(__xludf.DUMMYFUNCTION("""COMPUTED_VALUE"""),1712)</f>
        <v>1712</v>
      </c>
      <c r="Q204" s="5">
        <f ca="1">IFERROR(__xludf.DUMMYFUNCTION("""COMPUTED_VALUE"""),47995)</f>
        <v>47995</v>
      </c>
      <c r="R204" s="3" t="str">
        <f ca="1">IFERROR(__xludf.DUMMYFUNCTION("""COMPUTED_VALUE"""),"Gabriel Moraes")</f>
        <v>Gabriel Moraes</v>
      </c>
      <c r="S204" s="3" t="str">
        <f ca="1">IFERROR(__xludf.DUMMYFUNCTION("""COMPUTED_VALUE"""),"Franciane")</f>
        <v>Franciane</v>
      </c>
      <c r="T204" s="3" t="str">
        <f ca="1">IFERROR(__xludf.DUMMYFUNCTION("""COMPUTED_VALUE"""),"Celso Luiz Pieroni")</f>
        <v>Celso Luiz Pieroni</v>
      </c>
      <c r="U204" s="3" t="str">
        <f ca="1">IFERROR(__xludf.DUMMYFUNCTION("""COMPUTED_VALUE"""),"Jeanny Passigatte")</f>
        <v>Jeanny Passigatte</v>
      </c>
      <c r="V204" s="3"/>
      <c r="W204" s="3" t="str">
        <f ca="1">IFERROR(__xludf.DUMMYFUNCTION("""COMPUTED_VALUE"""),"SEI-260006/042047/2025 ")</f>
        <v xml:space="preserve">SEI-260006/042047/2025 </v>
      </c>
      <c r="X204" s="3" t="str">
        <f ca="1">IFERROR(__xludf.DUMMYFUNCTION("""COMPUTED_VALUE"""),"Apensado em outro PAD")</f>
        <v>Apensado em outro PAD</v>
      </c>
    </row>
    <row r="205" spans="1:24" x14ac:dyDescent="0.2">
      <c r="A205" s="3" t="str">
        <f ca="1">IFERROR(__xludf.DUMMYFUNCTION("""COMPUTED_VALUE"""),"493/2026")</f>
        <v>493/2026</v>
      </c>
      <c r="B205" s="3" t="str">
        <f ca="1">IFERROR(__xludf.DUMMYFUNCTION("""COMPUTED_VALUE"""),"SEI-260006/006535/2026")</f>
        <v>SEI-260006/006535/2026</v>
      </c>
      <c r="C205" s="3" t="str">
        <f ca="1">IFERROR(__xludf.DUMMYFUNCTION("""COMPUTED_VALUE"""),"Anderson Luiz dos Santos Ribeiro, matrícula nº 37.076-7.")</f>
        <v>Anderson Luiz dos Santos Ribeiro, matrícula nº 37.076-7.</v>
      </c>
      <c r="D205" s="3"/>
      <c r="E205" s="3"/>
      <c r="F205" s="3" t="str">
        <f ca="1">IFERROR(__xludf.DUMMYFUNCTION("""COMPUTED_VALUE"""),"Outros.")</f>
        <v>Outros.</v>
      </c>
      <c r="G205" s="3" t="str">
        <f ca="1">IFERROR(__xludf.DUMMYFUNCTION("""COMPUTED_VALUE"""),"infrações disciplinares previstas nos incisos III, IV, V, VI e VII do artigo 39; inciso III do artigo 40; artigo 41; incisos I, II e II do artigo 50 e incisos I e II do artigo 52 do Decreto-Lei nº 220/75; ")</f>
        <v xml:space="preserve">infrações disciplinares previstas nos incisos III, IV, V, VI e VII do artigo 39; inciso III do artigo 40; artigo 41; incisos I, II e II do artigo 50 e incisos I e II do artigo 52 do Decreto-Lei nº 220/75; </v>
      </c>
      <c r="H205" s="3" t="str">
        <f ca="1">IFERROR(__xludf.DUMMYFUNCTION("""COMPUTED_VALUE"""),"CONDUTA INCOMPATÍVEL COM A FUNÇÃO PÚBLICA – INTIMIDAÇÃO DE TESTEMUNHAS – PERMANÊNCIA INJUSTIFICADA EM SETOR ALHEIO ÀS ATRIBUIÇÕES – TENTATIVA DE INGRESSO EM SALA DE DEPOIMENTO – ABORDAGENS INSISTENTES VISANDO INTERFERIR NA INSTRUÇÃO – ACIONAMENTO REITERAD"&amp;"O DE SEGURANÇA INSTITUCIONAL – VIOLAÇÃO DOS DEVERES DE URBANIDADE, DISCRIÇÃO, BOA CONDUTA E RESPEITO À HIERARQUIA (ARTS. 38 E 39, III, IV, V E VI, DO DECRETO-LEI Nº 220/75) – INDÍCIOS DE INCONTINÊNCIA PÚBLICA E ESCANDALOSA (ART. 52, II) – REQUISITOS DO FU"&amp;"MUS BONI IURIS E PERICULUM IN MORA PRESENTES 
")</f>
        <v xml:space="preserve">CONDUTA INCOMPATÍVEL COM A FUNÇÃO PÚBLICA – INTIMIDAÇÃO DE TESTEMUNHAS – PERMANÊNCIA INJUSTIFICADA EM SETOR ALHEIO ÀS ATRIBUIÇÕES – TENTATIVA DE INGRESSO EM SALA DE DEPOIMENTO – ABORDAGENS INSISTENTES VISANDO INTERFERIR NA INSTRUÇÃO – ACIONAMENTO REITERADO DE SEGURANÇA INSTITUCIONAL – VIOLAÇÃO DOS DEVERES DE URBANIDADE, DISCRIÇÃO, BOA CONDUTA E RESPEITO À HIERARQUIA (ARTS. 38 E 39, III, IV, V E VI, DO DECRETO-LEI Nº 220/75) – INDÍCIOS DE INCONTINÊNCIA PÚBLICA E ESCANDALOSA (ART. 52, II) – REQUISITOS DO FUMUS BONI IURIS E PERICULUM IN MORA PRESENTES 
</v>
      </c>
      <c r="I205" s="3" t="str">
        <f ca="1">IFERROR(__xludf.DUMMYFUNCTION("""COMPUTED_VALUE"""),"Sim")</f>
        <v>Sim</v>
      </c>
      <c r="J205" s="7">
        <f ca="1">IFERROR(__xludf.DUMMYFUNCTION("""COMPUTED_VALUE"""),46000)</f>
        <v>46000</v>
      </c>
      <c r="K205" s="7">
        <f ca="1">IFERROR(__xludf.DUMMYFUNCTION("""COMPUTED_VALUE"""),46007)</f>
        <v>46007</v>
      </c>
      <c r="L205" s="5">
        <f ca="1">IFERROR(__xludf.DUMMYFUNCTION("""COMPUTED_VALUE"""),46187)</f>
        <v>46187</v>
      </c>
      <c r="M205" s="5">
        <f ca="1">IFERROR(__xludf.DUMMYFUNCTION("""COMPUTED_VALUE"""),46188)</f>
        <v>46188</v>
      </c>
      <c r="N205" s="3">
        <f ca="1">IFERROR(__xludf.DUMMYFUNCTION("""COMPUTED_VALUE"""),636)</f>
        <v>636</v>
      </c>
      <c r="O205" s="5">
        <f ca="1">IFERROR(__xludf.DUMMYFUNCTION("""COMPUTED_VALUE"""),46919)</f>
        <v>46919</v>
      </c>
      <c r="P205" s="3">
        <f ca="1">IFERROR(__xludf.DUMMYFUNCTION("""COMPUTED_VALUE"""),1731)</f>
        <v>1731</v>
      </c>
      <c r="Q205" s="5">
        <f ca="1">IFERROR(__xludf.DUMMYFUNCTION("""COMPUTED_VALUE"""),48014)</f>
        <v>48014</v>
      </c>
      <c r="R205" s="3" t="str">
        <f ca="1">IFERROR(__xludf.DUMMYFUNCTION("""COMPUTED_VALUE"""),"Gabriel Moraes")</f>
        <v>Gabriel Moraes</v>
      </c>
      <c r="S205" s="3" t="str">
        <f ca="1">IFERROR(__xludf.DUMMYFUNCTION("""COMPUTED_VALUE"""),"Franciane")</f>
        <v>Franciane</v>
      </c>
      <c r="T205" s="3" t="str">
        <f ca="1">IFERROR(__xludf.DUMMYFUNCTION("""COMPUTED_VALUE"""),"Celso Luiz Pieroni")</f>
        <v>Celso Luiz Pieroni</v>
      </c>
      <c r="U205" s="3" t="str">
        <f ca="1">IFERROR(__xludf.DUMMYFUNCTION("""COMPUTED_VALUE"""),"Jeanny Passigatte")</f>
        <v>Jeanny Passigatte</v>
      </c>
      <c r="V205" s="3"/>
      <c r="W205" s="3" t="str">
        <f ca="1">IFERROR(__xludf.DUMMYFUNCTION("""COMPUTED_VALUE"""),"SEI-260006/049572/2025
SEI-260006/047372/2025
o despacho 125181427 fl 19 (120530755​​​​​​​, no original) , determinou ""a reunião para tramitação conjunta, considerando a conexão, dos seguintes procedimentos: SEI-260006/042047/2025; SEI-260006/026541/2024"&amp;" e SEI-260007/004642/2021""")</f>
        <v>SEI-260006/049572/2025
SEI-260006/047372/2025
o despacho 125181427 fl 19 (120530755​​​​​​​, no original) , determinou "a reunião para tramitação conjunta, considerando a conexão, dos seguintes procedimentos: SEI-260006/042047/2025; SEI-260006/026541/2024 e SEI-260007/004642/2021"</v>
      </c>
      <c r="X205" s="3" t="str">
        <f ca="1">IFERROR(__xludf.DUMMYFUNCTION("""COMPUTED_VALUE"""),"2- Instrução")</f>
        <v>2- Instrução</v>
      </c>
    </row>
    <row r="206" spans="1:24" x14ac:dyDescent="0.2">
      <c r="A206" s="3" t="str">
        <f ca="1">IFERROR(__xludf.DUMMYFUNCTION("""COMPUTED_VALUE"""),"494/2026")</f>
        <v>494/2026</v>
      </c>
      <c r="B206" s="3" t="str">
        <f ca="1">IFERROR(__xludf.DUMMYFUNCTION("""COMPUTED_VALUE"""),"SEI-260006/006536/2026")</f>
        <v>SEI-260006/006536/2026</v>
      </c>
      <c r="C206" s="3" t="str">
        <f ca="1">IFERROR(__xludf.DUMMYFUNCTION("""COMPUTED_VALUE"""),"Anderson Luiz dos Santos Ribeiro, matrícula nº 37.076-7.")</f>
        <v>Anderson Luiz dos Santos Ribeiro, matrícula nº 37.076-7.</v>
      </c>
      <c r="D206" s="3" t="str">
        <f ca="1">IFERROR(__xludf.DUMMYFUNCTION("""COMPUTED_VALUE"""),"Concurso Material (69 do CP)")</f>
        <v>Concurso Material (69 do CP)</v>
      </c>
      <c r="E206" s="3" t="str">
        <f ca="1">IFERROR(__xludf.DUMMYFUNCTION("""COMPUTED_VALUE""")," AMEAÇA E INTIMIDAÇÃO DE TESTEMUNHA – USO INDEVIDO DE IMAGEM EM E-MAIL INSTITUCIONAL – REITERAÇÃO DE CONDUTAS – VIOLAÇÃO AOS DEVERES FUNCIONAIS (ARTS. 39, 40, 41 E 44 DO DECRETO-LEI Nº 220/75) – OFENSA AO CÓDIGO DE ÉTICA DOS SERVIDORES PÚBLICOS DO ESTADO "&amp;"DO RIO DE JANEIRO (DECRETO Nº 43.583/2012) – COMPROMETIMENTO DA DISCIPLINA, URBANIDADE E DECORO – INFRAÇÃO DISCIPLINAR GRAVE – POSSIBILIDADE DE RESPONSABILIZAÇÃO CIVIL POR DANO MORAL ")</f>
        <v xml:space="preserve"> AMEAÇA E INTIMIDAÇÃO DE TESTEMUNHA – USO INDEVIDO DE IMAGEM EM E-MAIL INSTITUCIONAL – REITERAÇÃO DE CONDUTAS – VIOLAÇÃO AOS DEVERES FUNCIONAIS (ARTS. 39, 40, 41 E 44 DO DECRETO-LEI Nº 220/75) – OFENSA AO CÓDIGO DE ÉTICA DOS SERVIDORES PÚBLICOS DO ESTADO DO RIO DE JANEIRO (DECRETO Nº 43.583/2012) – COMPROMETIMENTO DA DISCIPLINA, URBANIDADE E DECORO – INFRAÇÃO DISCIPLINAR GRAVE – POSSIBILIDADE DE RESPONSABILIZAÇÃO CIVIL POR DANO MORAL </v>
      </c>
      <c r="F206" s="3" t="str">
        <f ca="1">IFERROR(__xludf.DUMMYFUNCTION("""COMPUTED_VALUE"""),"Outros.")</f>
        <v>Outros.</v>
      </c>
      <c r="G206" s="3" t="str">
        <f ca="1">IFERROR(__xludf.DUMMYFUNCTION("""COMPUTED_VALUE"""),"As condutas descritas caracterizam, em tese, crimes de ameaça (art. 147 do CP) e coação no curso do processo (art. 344 do CP), sem prejuízo de eventual enquadramento por constrangimento ilegal ou crimes contra a honra, além de infração administrativa disc"&amp;"iplinar grave e ilícito civil passível de indenização por dano moral.")</f>
        <v>As condutas descritas caracterizam, em tese, crimes de ameaça (art. 147 do CP) e coação no curso do processo (art. 344 do CP), sem prejuízo de eventual enquadramento por constrangimento ilegal ou crimes contra a honra, além de infração administrativa disciplinar grave e ilícito civil passível de indenização por dano moral.</v>
      </c>
      <c r="H206" s="3" t="str">
        <f ca="1">IFERROR(__xludf.DUMMYFUNCTION("""COMPUTED_VALUE""")," PROCESSO Nº SEI-260006/034550/2025- Considerando a manifes
tação 119113933 da PGUERJ. DETERMINO a instauração de proces
so administrativo disciplinar em face do servidor Anderson Luiz dos
 Santos Ribeiro, matr. nº 37.076-7.")</f>
        <v xml:space="preserve"> PROCESSO Nº SEI-260006/034550/2025- Considerando a manifes
tação 119113933 da PGUERJ. DETERMINO a instauração de proces
so administrativo disciplinar em face do servidor Anderson Luiz dos
 Santos Ribeiro, matr. nº 37.076-7.</v>
      </c>
      <c r="I206" s="3"/>
      <c r="J206" s="7">
        <f ca="1">IFERROR(__xludf.DUMMYFUNCTION("""COMPUTED_VALUE"""),45980)</f>
        <v>45980</v>
      </c>
      <c r="K206" s="5">
        <f ca="1">IFERROR(__xludf.DUMMYFUNCTION("""COMPUTED_VALUE"""),45986)</f>
        <v>45986</v>
      </c>
      <c r="L206" s="5">
        <f ca="1">IFERROR(__xludf.DUMMYFUNCTION("""COMPUTED_VALUE"""),46166)</f>
        <v>46166</v>
      </c>
      <c r="M206" s="5">
        <f ca="1">IFERROR(__xludf.DUMMYFUNCTION("""COMPUTED_VALUE"""),46167)</f>
        <v>46167</v>
      </c>
      <c r="N206" s="3">
        <f ca="1">IFERROR(__xludf.DUMMYFUNCTION("""COMPUTED_VALUE"""),615)</f>
        <v>615</v>
      </c>
      <c r="O206" s="5">
        <f ca="1">IFERROR(__xludf.DUMMYFUNCTION("""COMPUTED_VALUE"""),46898)</f>
        <v>46898</v>
      </c>
      <c r="P206" s="3">
        <f ca="1">IFERROR(__xludf.DUMMYFUNCTION("""COMPUTED_VALUE"""),1710)</f>
        <v>1710</v>
      </c>
      <c r="Q206" s="5">
        <f ca="1">IFERROR(__xludf.DUMMYFUNCTION("""COMPUTED_VALUE"""),47993)</f>
        <v>47993</v>
      </c>
      <c r="R206" s="3" t="str">
        <f ca="1">IFERROR(__xludf.DUMMYFUNCTION("""COMPUTED_VALUE"""),"Gabriel Moraes")</f>
        <v>Gabriel Moraes</v>
      </c>
      <c r="S206" s="3" t="str">
        <f ca="1">IFERROR(__xludf.DUMMYFUNCTION("""COMPUTED_VALUE"""),"Patrícia")</f>
        <v>Patrícia</v>
      </c>
      <c r="T206" s="3" t="str">
        <f ca="1">IFERROR(__xludf.DUMMYFUNCTION("""COMPUTED_VALUE"""),"Celso Luiz Pieroni")</f>
        <v>Celso Luiz Pieroni</v>
      </c>
      <c r="U206" s="3" t="str">
        <f ca="1">IFERROR(__xludf.DUMMYFUNCTION("""COMPUTED_VALUE"""),"Jeanny Passigatte")</f>
        <v>Jeanny Passigatte</v>
      </c>
      <c r="V206" s="3" t="str">
        <f ca="1">IFERROR(__xludf.DUMMYFUNCTION("""COMPUTED_VALUE"""),"Não")</f>
        <v>Não</v>
      </c>
      <c r="W206" s="3" t="str">
        <f ca="1">IFERROR(__xludf.DUMMYFUNCTION("""COMPUTED_VALUE"""),"SEI-260006/034550/2025")</f>
        <v>SEI-260006/034550/2025</v>
      </c>
      <c r="X206" s="3" t="str">
        <f ca="1">IFERROR(__xludf.DUMMYFUNCTION("""COMPUTED_VALUE"""),"2- Instrução")</f>
        <v>2- Instrução</v>
      </c>
    </row>
    <row r="207" spans="1:24" x14ac:dyDescent="0.2">
      <c r="A207" s="3" t="str">
        <f ca="1">IFERROR(__xludf.DUMMYFUNCTION("""COMPUTED_VALUE"""),"495/2026")</f>
        <v>495/2026</v>
      </c>
      <c r="B207" s="3" t="str">
        <f ca="1">IFERROR(__xludf.DUMMYFUNCTION("""COMPUTED_VALUE"""),"SEI-260006/008426/2026")</f>
        <v>SEI-260006/008426/2026</v>
      </c>
      <c r="C207" s="3" t="str">
        <f ca="1">IFERROR(__xludf.DUMMYFUNCTION("""COMPUTED_VALUE"""),"Anderson Luiz dos Santos Ribeiro, matrícula nº 37.076-7.")</f>
        <v>Anderson Luiz dos Santos Ribeiro, matrícula nº 37.076-7.</v>
      </c>
      <c r="D207" s="3"/>
      <c r="E207" s="3"/>
      <c r="F207" s="3" t="str">
        <f ca="1">IFERROR(__xludf.DUMMYFUNCTION("""COMPUTED_VALUE"""),"Outros.")</f>
        <v>Outros.</v>
      </c>
      <c r="G207" s="3" t="str">
        <f ca="1">IFERROR(__xludf.DUMMYFUNCTION("""COMPUTED_VALUE"""),"indícios de violação aos incisos III, IV, V, VI do artigo 39; inciso II do artigo 40; incisos I, II e III do artigo 50; incisos I e II do artigo 52 do Decreto-Lei 220/75 e alíneas c, d, e, f, n do artigo 3º do Decreto nº 43.583/2012")</f>
        <v>indícios de violação aos incisos III, IV, V, VI do artigo 39; inciso II do artigo 40; incisos I, II e III do artigo 50; incisos I e II do artigo 52 do Decreto-Lei 220/75 e alíneas c, d, e, f, n do artigo 3º do Decreto nº 43.583/2012</v>
      </c>
      <c r="H207" s="3" t="str">
        <f ca="1">IFERROR(__xludf.DUMMYFUNCTION("""COMPUTED_VALUE"""),"Relatos, Isadora, Felipe, Patrícia")</f>
        <v>Relatos, Isadora, Felipe, Patrícia</v>
      </c>
      <c r="I207" s="3" t="str">
        <f ca="1">IFERROR(__xludf.DUMMYFUNCTION("""COMPUTED_VALUE"""),"suspensão preventiva do servidor, com fulcro no artigo 43 da Lei 5.427/2009 combinado com o artigo 59 do Decreto Lei 220/75, pelo prazo inicial de 180 dias, podendo ser prorrogada caso a Comissão de Inquérito apresente justificativa que embase a manutençã"&amp;"o da medida, como também o seu afastamento físico das dependências da CGUERJ, a fim de assegurar a integridade física e psicológica dos servidores ali lotados;(DESPACHO DA rEITORA 119360627)")</f>
        <v>suspensão preventiva do servidor, com fulcro no artigo 43 da Lei 5.427/2009 combinado com o artigo 59 do Decreto Lei 220/75, pelo prazo inicial de 180 dias, podendo ser prorrogada caso a Comissão de Inquérito apresente justificativa que embase a manutenção da medida, como também o seu afastamento físico das dependências da CGUERJ, a fim de assegurar a integridade física e psicológica dos servidores ali lotados;(DESPACHO DA rEITORA 119360627)</v>
      </c>
      <c r="J207" s="7">
        <f ca="1">IFERROR(__xludf.DUMMYFUNCTION("""COMPUTED_VALUE"""),45986)</f>
        <v>45986</v>
      </c>
      <c r="K207" s="5">
        <f ca="1">IFERROR(__xludf.DUMMYFUNCTION("""COMPUTED_VALUE"""),45988)</f>
        <v>45988</v>
      </c>
      <c r="L207" s="5">
        <f ca="1">IFERROR(__xludf.DUMMYFUNCTION("""COMPUTED_VALUE"""),46168)</f>
        <v>46168</v>
      </c>
      <c r="M207" s="5">
        <f ca="1">IFERROR(__xludf.DUMMYFUNCTION("""COMPUTED_VALUE"""),46169)</f>
        <v>46169</v>
      </c>
      <c r="N207" s="3">
        <f ca="1">IFERROR(__xludf.DUMMYFUNCTION("""COMPUTED_VALUE"""),617)</f>
        <v>617</v>
      </c>
      <c r="O207" s="5">
        <f ca="1">IFERROR(__xludf.DUMMYFUNCTION("""COMPUTED_VALUE"""),46900)</f>
        <v>46900</v>
      </c>
      <c r="P207" s="3">
        <f ca="1">IFERROR(__xludf.DUMMYFUNCTION("""COMPUTED_VALUE"""),1712)</f>
        <v>1712</v>
      </c>
      <c r="Q207" s="5">
        <f ca="1">IFERROR(__xludf.DUMMYFUNCTION("""COMPUTED_VALUE"""),47995)</f>
        <v>47995</v>
      </c>
      <c r="R207" s="3" t="str">
        <f ca="1">IFERROR(__xludf.DUMMYFUNCTION("""COMPUTED_VALUE"""),"Gabriel Moraes")</f>
        <v>Gabriel Moraes</v>
      </c>
      <c r="S207" s="3" t="str">
        <f ca="1">IFERROR(__xludf.DUMMYFUNCTION("""COMPUTED_VALUE"""),"Micheline")</f>
        <v>Micheline</v>
      </c>
      <c r="T207" s="3" t="str">
        <f ca="1">IFERROR(__xludf.DUMMYFUNCTION("""COMPUTED_VALUE"""),"Celso Luiz Pieroni")</f>
        <v>Celso Luiz Pieroni</v>
      </c>
      <c r="U207" s="3" t="str">
        <f ca="1">IFERROR(__xludf.DUMMYFUNCTION("""COMPUTED_VALUE"""),"Jeanny Passigatte")</f>
        <v>Jeanny Passigatte</v>
      </c>
      <c r="V207" s="3"/>
      <c r="W207" s="3" t="str">
        <f ca="1">IFERROR(__xludf.DUMMYFUNCTION("""COMPUTED_VALUE"""),"SEI-260006/001898/2025
SEI-260006/025164/2025 também foi juntado ao PAD e é objeto de apuração")</f>
        <v>SEI-260006/001898/2025
SEI-260006/025164/2025 também foi juntado ao PAD e é objeto de apuração</v>
      </c>
      <c r="X207" s="3" t="str">
        <f ca="1">IFERROR(__xludf.DUMMYFUNCTION("""COMPUTED_VALUE"""),"2- Instrução")</f>
        <v>2- Instrução</v>
      </c>
    </row>
    <row r="208" spans="1:24" x14ac:dyDescent="0.2">
      <c r="A208" s="3" t="str">
        <f ca="1">IFERROR(__xludf.DUMMYFUNCTION("""COMPUTED_VALUE"""),"496/2026")</f>
        <v>496/2026</v>
      </c>
      <c r="B208" s="3" t="str">
        <f ca="1">IFERROR(__xludf.DUMMYFUNCTION("""COMPUTED_VALUE"""),"SEI-260006/010361/2026")</f>
        <v>SEI-260006/010361/2026</v>
      </c>
      <c r="C208" s="3" t="str">
        <f ca="1">IFERROR(__xludf.DUMMYFUNCTION("""COMPUTED_VALUE"""),"Diana Amado Baptista dos Santos. mat 383190")</f>
        <v>Diana Amado Baptista dos Santos. mat 383190</v>
      </c>
      <c r="D208" s="3"/>
      <c r="E208" s="3"/>
      <c r="F208" s="3"/>
      <c r="G208" s="3" t="str">
        <f ca="1">IFERROR(__xludf.DUMMYFUNCTION("""COMPUTED_VALUE"""),"indícios da prática de atos de assédio sexual, moral e discriminação de gênero, infirngindo os seguintes dispositivos legais: artigo 38; artigo 39, incisos III, IV e V; artigo 40, inciso III; artigo 50, inciso I; artigo 52, incisos I e II e artigo 216-A d"&amp;"o Código Penal.")</f>
        <v>indícios da prática de atos de assédio sexual, moral e discriminação de gênero, infirngindo os seguintes dispositivos legais: artigo 38; artigo 39, incisos III, IV e V; artigo 40, inciso III; artigo 50, inciso I; artigo 52, incisos I e II e artigo 216-A do Código Penal.</v>
      </c>
      <c r="H208" s="3" t="str">
        <f ca="1">IFERROR(__xludf.DUMMYFUNCTION("""COMPUTED_VALUE"""),"denúncia formulada pelo empregado terceirizado Victor dos Santos Soares em face da servidora Diana Amado, por supostos atos ocorridos no dia 20 de agosto de 2025 na Biblioteca CB/B.")</f>
        <v>denúncia formulada pelo empregado terceirizado Victor dos Santos Soares em face da servidora Diana Amado, por supostos atos ocorridos no dia 20 de agosto de 2025 na Biblioteca CB/B.</v>
      </c>
      <c r="I208" s="3"/>
      <c r="J208" s="5">
        <f ca="1">IFERROR(__xludf.DUMMYFUNCTION("""COMPUTED_VALUE"""),46090)</f>
        <v>46090</v>
      </c>
      <c r="K208" s="5">
        <f ca="1">IFERROR(__xludf.DUMMYFUNCTION("""COMPUTED_VALUE"""),46092)</f>
        <v>46092</v>
      </c>
      <c r="L208" s="5">
        <f ca="1">IFERROR(__xludf.DUMMYFUNCTION("""COMPUTED_VALUE"""),46272)</f>
        <v>46272</v>
      </c>
      <c r="M208" s="5">
        <f ca="1">IFERROR(__xludf.DUMMYFUNCTION("""COMPUTED_VALUE"""),46273)</f>
        <v>46273</v>
      </c>
      <c r="N208" s="3">
        <f ca="1">IFERROR(__xludf.DUMMYFUNCTION("""COMPUTED_VALUE"""),721)</f>
        <v>721</v>
      </c>
      <c r="O208" s="5">
        <f ca="1">IFERROR(__xludf.DUMMYFUNCTION("""COMPUTED_VALUE"""),47004)</f>
        <v>47004</v>
      </c>
      <c r="P208" s="3">
        <f ca="1">IFERROR(__xludf.DUMMYFUNCTION("""COMPUTED_VALUE"""),1816)</f>
        <v>1816</v>
      </c>
      <c r="Q208" s="5">
        <f ca="1">IFERROR(__xludf.DUMMYFUNCTION("""COMPUTED_VALUE"""),48099)</f>
        <v>48099</v>
      </c>
      <c r="R208" s="3" t="str">
        <f ca="1">IFERROR(__xludf.DUMMYFUNCTION("""COMPUTED_VALUE"""),"Gustavo Seabra")</f>
        <v>Gustavo Seabra</v>
      </c>
      <c r="S208" s="3" t="str">
        <f ca="1">IFERROR(__xludf.DUMMYFUNCTION("""COMPUTED_VALUE"""),"Micheline")</f>
        <v>Micheline</v>
      </c>
      <c r="T208" s="3" t="str">
        <f ca="1">IFERROR(__xludf.DUMMYFUNCTION("""COMPUTED_VALUE"""),"Débora Ribeiro")</f>
        <v>Débora Ribeiro</v>
      </c>
      <c r="U208" s="3" t="str">
        <f ca="1">IFERROR(__xludf.DUMMYFUNCTION("""COMPUTED_VALUE"""),"Hannah Oliveira")</f>
        <v>Hannah Oliveira</v>
      </c>
      <c r="V208" s="3"/>
      <c r="W208" s="3" t="str">
        <f ca="1">IFERROR(__xludf.DUMMYFUNCTION("""COMPUTED_VALUE"""),"SEI-260006/049392/2025")</f>
        <v>SEI-260006/049392/2025</v>
      </c>
      <c r="X208" s="3" t="str">
        <f ca="1">IFERROR(__xludf.DUMMYFUNCTION("""COMPUTED_VALUE"""),"2- Instrução")</f>
        <v>2- Instrução</v>
      </c>
    </row>
    <row r="209" spans="1:24" x14ac:dyDescent="0.2">
      <c r="A209" s="3" t="str">
        <f ca="1">IFERROR(__xludf.DUMMYFUNCTION("""COMPUTED_VALUE"""),"497/2026")</f>
        <v>497/2026</v>
      </c>
      <c r="B209" s="3" t="str">
        <f ca="1">IFERROR(__xludf.DUMMYFUNCTION("""COMPUTED_VALUE"""),"SEI-260006/018049/2026")</f>
        <v>SEI-260006/018049/2026</v>
      </c>
      <c r="C209" s="3" t="str">
        <f ca="1">IFERROR(__xludf.DUMMYFUNCTION("""COMPUTED_VALUE"""),"- Cássia Barreto Brandão, matr. 39521-0
- Gabriel de Sena Jardim, matr. 38990-8
- Vitor Stuart Gabriel de Pieri, matr. 38991-6")</f>
        <v>- Cássia Barreto Brandão, matr. 39521-0
- Gabriel de Sena Jardim, matr. 38990-8
- Vitor Stuart Gabriel de Pieri, matr. 38991-6</v>
      </c>
      <c r="D209" s="3" t="str">
        <f ca="1">IFERROR(__xludf.DUMMYFUNCTION("""COMPUTED_VALUE"""),"Desvio de conduta")</f>
        <v>Desvio de conduta</v>
      </c>
      <c r="E209" s="3" t="str">
        <f ca="1">IFERROR(__xludf.DUMMYFUNCTION("""COMPUTED_VALUE"""),"Desvio de conduta")</f>
        <v>Desvio de conduta</v>
      </c>
      <c r="F209" s="3" t="str">
        <f ca="1">IFERROR(__xludf.DUMMYFUNCTION("""COMPUTED_VALUE"""),"Assédio moral/sexual/discriminação.")</f>
        <v>Assédio moral/sexual/discriminação.</v>
      </c>
      <c r="G209" s="3" t="str">
        <f ca="1">IFERROR(__xludf.DUMMYFUNCTION("""COMPUTED_VALUE"""),"suposta prática de assédio moral institucional, abuso de poder e violação dos deveres de urbanidade, lealdade e dignidade da função pública (arts. 39, III, IV, V e VII, e Art. 52, V, do Decreto-Lei nº 220/75), considerando que a unificação justifica-se pe"&amp;"la conexão instrumental e união de desígnios na execução das condutas persecutórias")</f>
        <v>suposta prática de assédio moral institucional, abuso de poder e violação dos deveres de urbanidade, lealdade e dignidade da função pública (arts. 39, III, IV, V e VII, e Art. 52, V, do Decreto-Lei nº 220/75), considerando que a unificação justifica-se pela conexão instrumental e união de desígnios na execução das condutas persecutórias</v>
      </c>
      <c r="H209" s="3" t="str">
        <f ca="1">IFERROR(__xludf.DUMMYFUNCTION("""COMPUTED_VALUE"""),"denúncia administrativa apresentada pela docente Caroline Martins de Melo Bottino perante a Ouvidoria da UERJ, na qual relata a ocorrência de assédio moral institucional e discriminatório de gênero no âmbito do Instituto de Geografia. ")</f>
        <v xml:space="preserve">denúncia administrativa apresentada pela docente Caroline Martins de Melo Bottino perante a Ouvidoria da UERJ, na qual relata a ocorrência de assédio moral institucional e discriminatório de gênero no âmbito do Instituto de Geografia. </v>
      </c>
      <c r="I209" s="3" t="str">
        <f ca="1">IFERROR(__xludf.DUMMYFUNCTION("""COMPUTED_VALUE"""),"Não")</f>
        <v>Não</v>
      </c>
      <c r="J209" s="5">
        <f ca="1">IFERROR(__xludf.DUMMYFUNCTION("""COMPUTED_VALUE"""),46092)</f>
        <v>46092</v>
      </c>
      <c r="K209" s="5">
        <f ca="1">IFERROR(__xludf.DUMMYFUNCTION("""COMPUTED_VALUE"""),46094)</f>
        <v>46094</v>
      </c>
      <c r="L209" s="5">
        <f ca="1">IFERROR(__xludf.DUMMYFUNCTION("""COMPUTED_VALUE"""),46274)</f>
        <v>46274</v>
      </c>
      <c r="M209" s="5">
        <f ca="1">IFERROR(__xludf.DUMMYFUNCTION("""COMPUTED_VALUE"""),46275)</f>
        <v>46275</v>
      </c>
      <c r="N209" s="3">
        <f ca="1">IFERROR(__xludf.DUMMYFUNCTION("""COMPUTED_VALUE"""),723)</f>
        <v>723</v>
      </c>
      <c r="O209" s="5">
        <f ca="1">IFERROR(__xludf.DUMMYFUNCTION("""COMPUTED_VALUE"""),47006)</f>
        <v>47006</v>
      </c>
      <c r="P209" s="3">
        <f ca="1">IFERROR(__xludf.DUMMYFUNCTION("""COMPUTED_VALUE"""),1818)</f>
        <v>1818</v>
      </c>
      <c r="Q209" s="5">
        <f ca="1">IFERROR(__xludf.DUMMYFUNCTION("""COMPUTED_VALUE"""),48101)</f>
        <v>48101</v>
      </c>
      <c r="R209" s="3" t="str">
        <f ca="1">IFERROR(__xludf.DUMMYFUNCTION("""COMPUTED_VALUE"""),"Gabriel Moraes")</f>
        <v>Gabriel Moraes</v>
      </c>
      <c r="S209" s="3" t="str">
        <f ca="1">IFERROR(__xludf.DUMMYFUNCTION("""COMPUTED_VALUE"""),"Isadora")</f>
        <v>Isadora</v>
      </c>
      <c r="T209" s="3" t="str">
        <f ca="1">IFERROR(__xludf.DUMMYFUNCTION("""COMPUTED_VALUE"""),"Celso Luiz Pieroni")</f>
        <v>Celso Luiz Pieroni</v>
      </c>
      <c r="U209" s="3" t="str">
        <f ca="1">IFERROR(__xludf.DUMMYFUNCTION("""COMPUTED_VALUE"""),"Débora Ribeiro")</f>
        <v>Débora Ribeiro</v>
      </c>
      <c r="V209" s="3" t="str">
        <f ca="1">IFERROR(__xludf.DUMMYFUNCTION("""COMPUTED_VALUE"""),"Não")</f>
        <v>Não</v>
      </c>
      <c r="W209" s="3" t="str">
        <f ca="1">IFERROR(__xludf.DUMMYFUNCTION("""COMPUTED_VALUE"""),"SEI-260006/052440/2025")</f>
        <v>SEI-260006/052440/2025</v>
      </c>
      <c r="X209" s="3" t="str">
        <f ca="1">IFERROR(__xludf.DUMMYFUNCTION("""COMPUTED_VALUE"""),"2- Instrução")</f>
        <v>2- Instrução</v>
      </c>
    </row>
    <row r="210" spans="1:24" x14ac:dyDescent="0.2">
      <c r="A210" s="3" t="str">
        <f ca="1">IFERROR(__xludf.DUMMYFUNCTION("""COMPUTED_VALUE"""),"498/2026")</f>
        <v>498/2026</v>
      </c>
      <c r="B210" s="3" t="str">
        <f ca="1">IFERROR(__xludf.DUMMYFUNCTION("""COMPUTED_VALUE"""),"SEI-260006/020836/2026")</f>
        <v>SEI-260006/020836/2026</v>
      </c>
      <c r="C210" s="3" t="str">
        <f ca="1">IFERROR(__xludf.DUMMYFUNCTION("""COMPUTED_VALUE"""),"Bruna de Avelar Barros, matr. 37966-9
Victor Alberto Barbosa de Jesus dos Santos, matr. 37317-5")</f>
        <v>Bruna de Avelar Barros, matr. 37966-9
Victor Alberto Barbosa de Jesus dos Santos, matr. 37317-5</v>
      </c>
      <c r="D210" s="3" t="str">
        <f ca="1">IFERROR(__xludf.DUMMYFUNCTION("""COMPUTED_VALUE"""),"Irregularidades relacionadas à gestão nas contas ")</f>
        <v xml:space="preserve">Irregularidades relacionadas à gestão nas contas </v>
      </c>
      <c r="E210" s="3" t="str">
        <f ca="1">IFERROR(__xludf.DUMMYFUNCTION("""COMPUTED_VALUE"""),"Desvio de conduta")</f>
        <v>Desvio de conduta</v>
      </c>
      <c r="F210" s="3" t="str">
        <f ca="1">IFERROR(__xludf.DUMMYFUNCTION("""COMPUTED_VALUE"""),"Outros.")</f>
        <v>Outros.</v>
      </c>
      <c r="G210" s="3" t="str">
        <f ca="1">IFERROR(__xludf.DUMMYFUNCTION("""COMPUTED_VALUE"""),"Irregularidades relacionadas à gestão nas contas ")</f>
        <v xml:space="preserve">Irregularidades relacionadas à gestão nas contas </v>
      </c>
      <c r="H210" s="3" t="str">
        <f ca="1">IFERROR(__xludf.DUMMYFUNCTION("""COMPUTED_VALUE"""),"Apuração individualizada das condutas dos gestores de contas SIDES envolvidos nos pagamentos irregulares à empresa Elco Ribeiro Reformas e Pinturas nos exercícios de 2021, 2022 e 2023, identificados nos documentos 76314645, 80183118, 80382459 e 74041431 -"&amp;" fls. 54/56.")</f>
        <v>Apuração individualizada das condutas dos gestores de contas SIDES envolvidos nos pagamentos irregulares à empresa Elco Ribeiro Reformas e Pinturas nos exercícios de 2021, 2022 e 2023, identificados nos documentos 76314645, 80183118, 80382459 e 74041431 - fls. 54/56.</v>
      </c>
      <c r="I210" s="3" t="str">
        <f ca="1">IFERROR(__xludf.DUMMYFUNCTION("""COMPUTED_VALUE"""),"Não")</f>
        <v>Não</v>
      </c>
      <c r="J210" s="5">
        <f ca="1">IFERROR(__xludf.DUMMYFUNCTION("""COMPUTED_VALUE"""),46147)</f>
        <v>46147</v>
      </c>
      <c r="K210" s="5">
        <f ca="1">IFERROR(__xludf.DUMMYFUNCTION("""COMPUTED_VALUE"""),46150)</f>
        <v>46150</v>
      </c>
      <c r="L210" s="5">
        <f ca="1">IFERROR(__xludf.DUMMYFUNCTION("""COMPUTED_VALUE"""),46330)</f>
        <v>46330</v>
      </c>
      <c r="M210" s="5">
        <f ca="1">IFERROR(__xludf.DUMMYFUNCTION("""COMPUTED_VALUE"""),46331)</f>
        <v>46331</v>
      </c>
      <c r="N210" s="3">
        <f ca="1">IFERROR(__xludf.DUMMYFUNCTION("""COMPUTED_VALUE"""),779)</f>
        <v>779</v>
      </c>
      <c r="O210" s="5">
        <f ca="1">IFERROR(__xludf.DUMMYFUNCTION("""COMPUTED_VALUE"""),47062)</f>
        <v>47062</v>
      </c>
      <c r="P210" s="3">
        <f ca="1">IFERROR(__xludf.DUMMYFUNCTION("""COMPUTED_VALUE"""),1874)</f>
        <v>1874</v>
      </c>
      <c r="Q210" s="5">
        <f ca="1">IFERROR(__xludf.DUMMYFUNCTION("""COMPUTED_VALUE"""),48157)</f>
        <v>48157</v>
      </c>
      <c r="R210" s="3" t="str">
        <f ca="1">IFERROR(__xludf.DUMMYFUNCTION("""COMPUTED_VALUE"""),"Gabriel Moraes")</f>
        <v>Gabriel Moraes</v>
      </c>
      <c r="S210" s="3" t="str">
        <f ca="1">IFERROR(__xludf.DUMMYFUNCTION("""COMPUTED_VALUE"""),"Isadora")</f>
        <v>Isadora</v>
      </c>
      <c r="T210" s="3" t="str">
        <f ca="1">IFERROR(__xludf.DUMMYFUNCTION("""COMPUTED_VALUE"""),"Bianca Faertes")</f>
        <v>Bianca Faertes</v>
      </c>
      <c r="U210" s="3" t="str">
        <f ca="1">IFERROR(__xludf.DUMMYFUNCTION("""COMPUTED_VALUE"""),"Celso Luiz Pieroni")</f>
        <v>Celso Luiz Pieroni</v>
      </c>
      <c r="V210" s="3" t="str">
        <f ca="1">IFERROR(__xludf.DUMMYFUNCTION("""COMPUTED_VALUE"""),"Não")</f>
        <v>Não</v>
      </c>
      <c r="W210" s="3" t="str">
        <f ca="1">IFERROR(__xludf.DUMMYFUNCTION("""COMPUTED_VALUE"""),"SEI-260006/018863/2024")</f>
        <v>SEI-260006/018863/2024</v>
      </c>
      <c r="X210" s="3" t="str">
        <f ca="1">IFERROR(__xludf.DUMMYFUNCTION("""COMPUTED_VALUE"""),"2- Instrução")</f>
        <v>2- Instrução</v>
      </c>
    </row>
    <row r="211" spans="1:24" x14ac:dyDescent="0.2">
      <c r="A211" s="3" t="str">
        <f ca="1">IFERROR(__xludf.DUMMYFUNCTION("""COMPUTED_VALUE"""),"499/2026")</f>
        <v>499/2026</v>
      </c>
      <c r="B211" s="3" t="str">
        <f ca="1">IFERROR(__xludf.DUMMYFUNCTION("""COMPUTED_VALUE"""),"SEI-260006/021473/2026")</f>
        <v>SEI-260006/021473/2026</v>
      </c>
      <c r="C211" s="3" t="str">
        <f ca="1">IFERROR(__xludf.DUMMYFUNCTION("""COMPUTED_VALUE"""),"Eduardo de Carvalho Passos, matr. 42.901-9.")</f>
        <v>Eduardo de Carvalho Passos, matr. 42.901-9.</v>
      </c>
      <c r="D211" s="3"/>
      <c r="E211" s="3"/>
      <c r="F211" s="3"/>
      <c r="G211" s="3" t="str">
        <f ca="1">IFERROR(__xludf.DUMMYFUNCTION("""COMPUTED_VALUE"""),"nsubordinação, ineficiência habitual e desídia")</f>
        <v>nsubordinação, ineficiência habitual e desídia</v>
      </c>
      <c r="H211" s="3" t="str">
        <f ca="1">IFERROR(__xludf.DUMMYFUNCTION("""COMPUTED_VALUE""")," histórico funcional do servidor, embora em estágio probatório iniciado em 13/11/2024, revela condutas de extrema gravidade que extrapolam a inaptidão técnica, abrangendo erros operacionais críticos e comportamentos hostis. Tais fatos configuram, em tese,"&amp;" as infrações de insubordinação, ineficiência habitual e desídia (art. 52, VII, VIII e IX do Decreto-Lei nº 220/75),
-&gt; instauração de incidente de insanidade mental, em apenso aos autos principais do PAD; e")</f>
        <v xml:space="preserve"> histórico funcional do servidor, embora em estágio probatório iniciado em 13/11/2024, revela condutas de extrema gravidade que extrapolam a inaptidão técnica, abrangendo erros operacionais críticos e comportamentos hostis. Tais fatos configuram, em tese, as infrações de insubordinação, ineficiência habitual e desídia (art. 52, VII, VIII e IX do Decreto-Lei nº 220/75),
-&gt; instauração de incidente de insanidade mental, em apenso aos autos principais do PAD; e</v>
      </c>
      <c r="I211" s="3" t="str">
        <f ca="1">IFERROR(__xludf.DUMMYFUNCTION("""COMPUTED_VALUE""")," aplicação de medida cautelar, para determinar o afastamento preventivo do servidor de suas atividades presenciais, de modo a que seja designado para o desempenho de tarefas exclusivamente em regime remoto, na medida da compatibilidade com suas atribuiçõe"&amp;"s, até que o laudo pericial (decorrente do incidente de insanidade) forneça substrato seguro sobre sua capacidade laboral.")</f>
        <v xml:space="preserve"> aplicação de medida cautelar, para determinar o afastamento preventivo do servidor de suas atividades presenciais, de modo a que seja designado para o desempenho de tarefas exclusivamente em regime remoto, na medida da compatibilidade com suas atribuições, até que o laudo pericial (decorrente do incidente de insanidade) forneça substrato seguro sobre sua capacidade laboral.</v>
      </c>
      <c r="J211" s="5">
        <f ca="1">IFERROR(__xludf.DUMMYFUNCTION("""COMPUTED_VALUE"""),46155)</f>
        <v>46155</v>
      </c>
      <c r="K211" s="5">
        <f ca="1">IFERROR(__xludf.DUMMYFUNCTION("""COMPUTED_VALUE"""),46161)</f>
        <v>46161</v>
      </c>
      <c r="L211" s="5">
        <f ca="1">IFERROR(__xludf.DUMMYFUNCTION("""COMPUTED_VALUE"""),46341)</f>
        <v>46341</v>
      </c>
      <c r="M211" s="5">
        <f ca="1">IFERROR(__xludf.DUMMYFUNCTION("""COMPUTED_VALUE"""),46342)</f>
        <v>46342</v>
      </c>
      <c r="N211" s="3">
        <f ca="1">IFERROR(__xludf.DUMMYFUNCTION("""COMPUTED_VALUE"""),790)</f>
        <v>790</v>
      </c>
      <c r="O211" s="5">
        <f ca="1">IFERROR(__xludf.DUMMYFUNCTION("""COMPUTED_VALUE"""),47073)</f>
        <v>47073</v>
      </c>
      <c r="P211" s="3">
        <f ca="1">IFERROR(__xludf.DUMMYFUNCTION("""COMPUTED_VALUE"""),1885)</f>
        <v>1885</v>
      </c>
      <c r="Q211" s="5">
        <f ca="1">IFERROR(__xludf.DUMMYFUNCTION("""COMPUTED_VALUE"""),48168)</f>
        <v>48168</v>
      </c>
      <c r="R211" s="3" t="str">
        <f ca="1">IFERROR(__xludf.DUMMYFUNCTION("""COMPUTED_VALUE"""),"Alessandra Abelheira")</f>
        <v>Alessandra Abelheira</v>
      </c>
      <c r="S211" s="3" t="str">
        <f ca="1">IFERROR(__xludf.DUMMYFUNCTION("""COMPUTED_VALUE"""),"Micheline")</f>
        <v>Micheline</v>
      </c>
      <c r="T211" s="3" t="str">
        <f ca="1">IFERROR(__xludf.DUMMYFUNCTION("""COMPUTED_VALUE"""),"Ariane Serpa")</f>
        <v>Ariane Serpa</v>
      </c>
      <c r="U211" s="3" t="str">
        <f ca="1">IFERROR(__xludf.DUMMYFUNCTION("""COMPUTED_VALUE"""),"Hannah Oliveira")</f>
        <v>Hannah Oliveira</v>
      </c>
      <c r="V211" s="3"/>
      <c r="W211" s="3" t="str">
        <f ca="1">IFERROR(__xludf.DUMMYFUNCTION("""COMPUTED_VALUE"""),"SEI-260007/007873/2025")</f>
        <v>SEI-260007/007873/2025</v>
      </c>
      <c r="X211" s="3" t="str">
        <f ca="1">IFERROR(__xludf.DUMMYFUNCTION("""COMPUTED_VALUE"""),"2- Instrução")</f>
        <v>2- Instrução</v>
      </c>
    </row>
    <row r="212" spans="1:24" x14ac:dyDescent="0.2">
      <c r="A212" s="3" t="str">
        <f ca="1">IFERROR(__xludf.DUMMYFUNCTION("""COMPUTED_VALUE"""),"500/2026")</f>
        <v>500/2026</v>
      </c>
      <c r="B212" s="3" t="str">
        <f ca="1">IFERROR(__xludf.DUMMYFUNCTION("""COMPUTED_VALUE"""),"SEI-260006/025174/2026")</f>
        <v>SEI-260006/025174/2026</v>
      </c>
      <c r="C212" s="3" t="str">
        <f ca="1">IFERROR(__xludf.DUMMYFUNCTION("""COMPUTED_VALUE"""),"Danielle Bastos Lopes, matrícula nº 38503-9")</f>
        <v>Danielle Bastos Lopes, matrícula nº 38503-9</v>
      </c>
      <c r="D212" s="3"/>
      <c r="E212" s="3"/>
      <c r="F212" s="3"/>
      <c r="G212" s="3"/>
      <c r="H212" s="3" t="str">
        <f ca="1">IFERROR(__xludf.DUMMYFUNCTION("""COMPUTED_VALUE"""),"para apuração dos fatos constantes da denúncia inaugural, abrangendo, ainda, o objeto do SEI-260006/047150/2024, em razão da conexão, por indícios de descumprimentos dos deveres e e proibições dispostos no Estatuto Decreto-Lei 220/75, arts. 39, III, IV, V"&amp;" e VII (urbanidade, discrição, boa-conduta, observância das normas e regulamentos); artigo 50, I (falta grave); artigo 52, II (incontinência pública e escandalosa) e no Código de Ética Profissional dos Servidores do Poder Executivo do Estado do Rio de Jan"&amp;"eiro (Decreto estadual no 43.583/2012, arts. 3o , ""d"", ""f"" e ""n"", e 4o, ""a"", ""e"" e ""f"");")</f>
        <v>para apuração dos fatos constantes da denúncia inaugural, abrangendo, ainda, o objeto do SEI-260006/047150/2024, em razão da conexão, por indícios de descumprimentos dos deveres e e proibições dispostos no Estatuto Decreto-Lei 220/75, arts. 39, III, IV, V e VII (urbanidade, discrição, boa-conduta, observância das normas e regulamentos); artigo 50, I (falta grave); artigo 52, II (incontinência pública e escandalosa) e no Código de Ética Profissional dos Servidores do Poder Executivo do Estado do Rio de Janeiro (Decreto estadual no 43.583/2012, arts. 3o , "d", "f" e "n", e 4o, "a", "e" e "f");</v>
      </c>
      <c r="I212" s="3"/>
      <c r="J212" s="5">
        <f ca="1">IFERROR(__xludf.DUMMYFUNCTION("""COMPUTED_VALUE"""),46148)</f>
        <v>46148</v>
      </c>
      <c r="K212" s="5">
        <f ca="1">IFERROR(__xludf.DUMMYFUNCTION("""COMPUTED_VALUE"""),46150)</f>
        <v>46150</v>
      </c>
      <c r="L212" s="5">
        <f ca="1">IFERROR(__xludf.DUMMYFUNCTION("""COMPUTED_VALUE"""),46330)</f>
        <v>46330</v>
      </c>
      <c r="M212" s="5">
        <f ca="1">IFERROR(__xludf.DUMMYFUNCTION("""COMPUTED_VALUE"""),46331)</f>
        <v>46331</v>
      </c>
      <c r="N212" s="3">
        <f ca="1">IFERROR(__xludf.DUMMYFUNCTION("""COMPUTED_VALUE"""),779)</f>
        <v>779</v>
      </c>
      <c r="O212" s="5">
        <f ca="1">IFERROR(__xludf.DUMMYFUNCTION("""COMPUTED_VALUE"""),47062)</f>
        <v>47062</v>
      </c>
      <c r="P212" s="3">
        <f ca="1">IFERROR(__xludf.DUMMYFUNCTION("""COMPUTED_VALUE"""),1874)</f>
        <v>1874</v>
      </c>
      <c r="Q212" s="5">
        <f ca="1">IFERROR(__xludf.DUMMYFUNCTION("""COMPUTED_VALUE"""),48157)</f>
        <v>48157</v>
      </c>
      <c r="R212" s="3" t="str">
        <f ca="1">IFERROR(__xludf.DUMMYFUNCTION("""COMPUTED_VALUE"""),"Rodrigo Marcellino")</f>
        <v>Rodrigo Marcellino</v>
      </c>
      <c r="S212" s="3" t="str">
        <f ca="1">IFERROR(__xludf.DUMMYFUNCTION("""COMPUTED_VALUE"""),"Franciane")</f>
        <v>Franciane</v>
      </c>
      <c r="T212" s="3" t="str">
        <f ca="1">IFERROR(__xludf.DUMMYFUNCTION("""COMPUTED_VALUE"""),"Felipe Perdigão")</f>
        <v>Felipe Perdigão</v>
      </c>
      <c r="U212" s="3" t="str">
        <f ca="1">IFERROR(__xludf.DUMMYFUNCTION("""COMPUTED_VALUE"""),"Celso Luiz Pieroni")</f>
        <v>Celso Luiz Pieroni</v>
      </c>
      <c r="V212" s="3"/>
      <c r="W212" s="3" t="str">
        <f ca="1">IFERROR(__xludf.DUMMYFUNCTION("""COMPUTED_VALUE"""),"SEI-260006/013165/2025
posteriormente o SEI-260006/047150/2024 também passou a fazer parte do objeto, conforme despacho 134368189")</f>
        <v>SEI-260006/013165/2025
posteriormente o SEI-260006/047150/2024 também passou a fazer parte do objeto, conforme despacho 134368189</v>
      </c>
      <c r="X212" s="3" t="str">
        <f ca="1">IFERROR(__xludf.DUMMYFUNCTION("""COMPUTED_VALUE"""),"2- Instrução")</f>
        <v>2- Instrução</v>
      </c>
    </row>
    <row r="213" spans="1:24" x14ac:dyDescent="0.2">
      <c r="A213" s="3" t="str">
        <f ca="1">IFERROR(__xludf.DUMMYFUNCTION("""COMPUTED_VALUE"""),"501/2026")</f>
        <v>501/2026</v>
      </c>
      <c r="B213" s="3" t="str">
        <f ca="1">IFERROR(__xludf.DUMMYFUNCTION("""COMPUTED_VALUE"""),"SEI-260006/018206/2026")</f>
        <v>SEI-260006/018206/2026</v>
      </c>
      <c r="C213" s="3" t="str">
        <f ca="1">IFERROR(__xludf.DUMMYFUNCTION("""COMPUTED_VALUE"""),"Edmar José Alves dos Santos, matr. 33304-7")</f>
        <v>Edmar José Alves dos Santos, matr. 33304-7</v>
      </c>
      <c r="D213" s="3"/>
      <c r="E213" s="3"/>
      <c r="F213" s="3" t="str">
        <f ca="1">IFERROR(__xludf.DUMMYFUNCTION("""COMPUTED_VALUE"""),"Incontinência pública e escandalosa.")</f>
        <v>Incontinência pública e escandalosa.</v>
      </c>
      <c r="G213" s="3" t="str">
        <f ca="1">IFERROR(__xludf.DUMMYFUNCTION("""COMPUTED_VALUE"""),"apurar a ocorrência de incontinência pública e escandalosa e falta de decoro, nos termos dos artigos 44 e 52, inciso II, do Decreto-Lei 220/1975;")</f>
        <v>apurar a ocorrência de incontinência pública e escandalosa e falta de decoro, nos termos dos artigos 44 e 52, inciso II, do Decreto-Lei 220/1975;</v>
      </c>
      <c r="H213" s="3" t="str">
        <f ca="1">IFERROR(__xludf.DUMMYFUNCTION("""COMPUTED_VALUE"""),"PROCESSO Nº SEI-260007/004982/2021-Considerando que a
CINQA, em seu Relatório Final nº 110336088, acolheu oparecer da
ProcuradoriaGeral daUERJ - PGUERJ, DETERMINOa instauração
de novo Processo Administrativo Disciplinar (PAD), na forma do nº
120498902.")</f>
        <v>PROCESSO Nº SEI-260007/004982/2021-Considerando que a
CINQA, em seu Relatório Final nº 110336088, acolheu oparecer da
ProcuradoriaGeral daUERJ - PGUERJ, DETERMINOa instauração
de novo Processo Administrativo Disciplinar (PAD), na forma do nº
120498902.</v>
      </c>
      <c r="I213" s="3"/>
      <c r="J213" s="5">
        <f ca="1">IFERROR(__xludf.DUMMYFUNCTION("""COMPUTED_VALUE"""),46006)</f>
        <v>46006</v>
      </c>
      <c r="K213" s="5">
        <f ca="1">IFERROR(__xludf.DUMMYFUNCTION("""COMPUTED_VALUE"""),46008)</f>
        <v>46008</v>
      </c>
      <c r="L213" s="5">
        <f ca="1">IFERROR(__xludf.DUMMYFUNCTION("""COMPUTED_VALUE"""),46188)</f>
        <v>46188</v>
      </c>
      <c r="M213" s="5">
        <f ca="1">IFERROR(__xludf.DUMMYFUNCTION("""COMPUTED_VALUE"""),46189)</f>
        <v>46189</v>
      </c>
      <c r="N213" s="3">
        <f ca="1">IFERROR(__xludf.DUMMYFUNCTION("""COMPUTED_VALUE"""),637)</f>
        <v>637</v>
      </c>
      <c r="O213" s="5">
        <f ca="1">IFERROR(__xludf.DUMMYFUNCTION("""COMPUTED_VALUE"""),46920)</f>
        <v>46920</v>
      </c>
      <c r="P213" s="3">
        <f ca="1">IFERROR(__xludf.DUMMYFUNCTION("""COMPUTED_VALUE"""),1732)</f>
        <v>1732</v>
      </c>
      <c r="Q213" s="5">
        <f ca="1">IFERROR(__xludf.DUMMYFUNCTION("""COMPUTED_VALUE"""),48015)</f>
        <v>48015</v>
      </c>
      <c r="R213" s="3" t="str">
        <f ca="1">IFERROR(__xludf.DUMMYFUNCTION("""COMPUTED_VALUE"""),"Rodrigo Marcellino")</f>
        <v>Rodrigo Marcellino</v>
      </c>
      <c r="S213" s="3"/>
      <c r="T213" s="3" t="str">
        <f ca="1">IFERROR(__xludf.DUMMYFUNCTION("""COMPUTED_VALUE"""),"Celso Luiz Pieroni")</f>
        <v>Celso Luiz Pieroni</v>
      </c>
      <c r="U213" s="3" t="str">
        <f ca="1">IFERROR(__xludf.DUMMYFUNCTION("""COMPUTED_VALUE"""),"Gustavo Seabra")</f>
        <v>Gustavo Seabra</v>
      </c>
      <c r="V213" s="3"/>
      <c r="W213" s="3" t="str">
        <f ca="1">IFERROR(__xludf.DUMMYFUNCTION("""COMPUTED_VALUE"""),"SEI-260007/004982/2021")</f>
        <v>SEI-260007/004982/2021</v>
      </c>
      <c r="X213" s="3" t="str">
        <f ca="1">IFERROR(__xludf.DUMMYFUNCTION("""COMPUTED_VALUE"""),"S-Aguardando abertura")</f>
        <v>S-Aguardando abertura</v>
      </c>
    </row>
    <row r="214" spans="1:24" x14ac:dyDescent="0.2">
      <c r="A214" s="3" t="str">
        <f ca="1">IFERROR(__xludf.DUMMYFUNCTION("""COMPUTED_VALUE"""),"502/2026")</f>
        <v>502/2026</v>
      </c>
      <c r="B214" s="3" t="str">
        <f ca="1">IFERROR(__xludf.DUMMYFUNCTION("""COMPUTED_VALUE"""),"SEI-260006/029051/2026")</f>
        <v>SEI-260006/029051/2026</v>
      </c>
      <c r="C214" s="3" t="str">
        <f ca="1">IFERROR(__xludf.DUMMYFUNCTION("""COMPUTED_VALUE"""),"Julio Cesar Horta de Almeida, matrícula nº 7783-4,")</f>
        <v>Julio Cesar Horta de Almeida, matrícula nº 7783-4,</v>
      </c>
      <c r="D214" s="3"/>
      <c r="E214" s="3"/>
      <c r="F214" s="3"/>
      <c r="G214" s="3" t="str">
        <f ca="1">IFERROR(__xludf.DUMMYFUNCTION("""COMPUTED_VALUE"""),"indícios de violação aos seguintes deveres funcionais previstos no Decreto-Lei 220/75: urbanidade, discrição, boa-conduta, lealdade e respeito às instituições constitucionais e administrativas a que servir; observância das normas legais e regulamentares ("&amp;"incisos III; IV;V;VI;VII do artigo 39); falta grave (inciso I do artigo 50); incontinência pública e escandalosa (inciso II do artigo 52).; quanto à embriaguez em serviço, opina-se no sentido do não enquadramento no inciso III do artigo 52 mas sim no Inci"&amp;"so III do artigo 39, salvo melhor juízo, como falta de decoro ou urbanidade, bem como às alíneas a, d, f do artigo 3o e alínea a do artigo 4o do Decreto 43.583/2012;")</f>
        <v>indícios de violação aos seguintes deveres funcionais previstos no Decreto-Lei 220/75: urbanidade, discrição, boa-conduta, lealdade e respeito às instituições constitucionais e administrativas a que servir; observância das normas legais e regulamentares (incisos III; IV;V;VI;VII do artigo 39); falta grave (inciso I do artigo 50); incontinência pública e escandalosa (inciso II do artigo 52).; quanto à embriaguez em serviço, opina-se no sentido do não enquadramento no inciso III do artigo 52 mas sim no Inciso III do artigo 39, salvo melhor juízo, como falta de decoro ou urbanidade, bem como às alíneas a, d, f do artigo 3o e alínea a do artigo 4o do Decreto 43.583/2012;</v>
      </c>
      <c r="H214" s="3"/>
      <c r="I214" s="3"/>
      <c r="J214" s="5">
        <f ca="1">IFERROR(__xludf.DUMMYFUNCTION("""COMPUTED_VALUE"""),46050)</f>
        <v>46050</v>
      </c>
      <c r="K214" s="5">
        <f ca="1">IFERROR(__xludf.DUMMYFUNCTION("""COMPUTED_VALUE"""),46052)</f>
        <v>46052</v>
      </c>
      <c r="L214" s="5">
        <f ca="1">IFERROR(__xludf.DUMMYFUNCTION("""COMPUTED_VALUE"""),46232)</f>
        <v>46232</v>
      </c>
      <c r="M214" s="5">
        <f ca="1">IFERROR(__xludf.DUMMYFUNCTION("""COMPUTED_VALUE"""),46233)</f>
        <v>46233</v>
      </c>
      <c r="N214" s="3">
        <f ca="1">IFERROR(__xludf.DUMMYFUNCTION("""COMPUTED_VALUE"""),681)</f>
        <v>681</v>
      </c>
      <c r="O214" s="5">
        <f ca="1">IFERROR(__xludf.DUMMYFUNCTION("""COMPUTED_VALUE"""),46964)</f>
        <v>46964</v>
      </c>
      <c r="P214" s="3">
        <f ca="1">IFERROR(__xludf.DUMMYFUNCTION("""COMPUTED_VALUE"""),1776)</f>
        <v>1776</v>
      </c>
      <c r="Q214" s="5">
        <f ca="1">IFERROR(__xludf.DUMMYFUNCTION("""COMPUTED_VALUE"""),48059)</f>
        <v>48059</v>
      </c>
      <c r="R214" s="3" t="str">
        <f ca="1">IFERROR(__xludf.DUMMYFUNCTION("""COMPUTED_VALUE"""),"Vanessa Queiroz")</f>
        <v>Vanessa Queiroz</v>
      </c>
      <c r="S214" s="3" t="str">
        <f ca="1">IFERROR(__xludf.DUMMYFUNCTION("""COMPUTED_VALUE"""),"Franciane")</f>
        <v>Franciane</v>
      </c>
      <c r="T214" s="3" t="str">
        <f ca="1">IFERROR(__xludf.DUMMYFUNCTION("""COMPUTED_VALUE"""),"Felipe Perdigão")</f>
        <v>Felipe Perdigão</v>
      </c>
      <c r="U214" s="3" t="str">
        <f ca="1">IFERROR(__xludf.DUMMYFUNCTION("""COMPUTED_VALUE"""),"Celso Luiz Pieroni")</f>
        <v>Celso Luiz Pieroni</v>
      </c>
      <c r="V214" s="3"/>
      <c r="W214" s="3" t="str">
        <f ca="1">IFERROR(__xludf.DUMMYFUNCTION("""COMPUTED_VALUE"""),"SEI-260007/023297/2023")</f>
        <v>SEI-260007/023297/2023</v>
      </c>
      <c r="X214" s="3" t="str">
        <f ca="1">IFERROR(__xludf.DUMMYFUNCTION("""COMPUTED_VALUE"""),"2- Instrução")</f>
        <v>2- Instrução</v>
      </c>
    </row>
    <row r="215" spans="1:24" x14ac:dyDescent="0.2">
      <c r="A215" s="3" t="str">
        <f ca="1">IFERROR(__xludf.DUMMYFUNCTION("""COMPUTED_VALUE"""),"503/2026")</f>
        <v>503/2026</v>
      </c>
      <c r="B215" s="3" t="str">
        <f ca="1">IFERROR(__xludf.DUMMYFUNCTION("""COMPUTED_VALUE"""),"SEI-260006/029111/2026")</f>
        <v>SEI-260006/029111/2026</v>
      </c>
      <c r="C215" s="3" t="str">
        <f ca="1">IFERROR(__xludf.DUMMYFUNCTION("""COMPUTED_VALUE"""),"Elizabeth de Souza Gomes, matrícula nº 37.741-6")</f>
        <v>Elizabeth de Souza Gomes, matrícula nº 37.741-6</v>
      </c>
      <c r="D215" s="3"/>
      <c r="E215" s="3"/>
      <c r="F215" s="3"/>
      <c r="G215" s="3"/>
      <c r="H215" s="3" t="str">
        <f ca="1">IFERROR(__xludf.DUMMYFUNCTION("""COMPUTED_VALUE""")," apuração da responsabilidade pelas irregularidades funcionais decorrentes da acumulação ilícita de vínculos e descumprimento deliberado de ordens da Administração Pública.")</f>
        <v xml:space="preserve"> apuração da responsabilidade pelas irregularidades funcionais decorrentes da acumulação ilícita de vínculos e descumprimento deliberado de ordens da Administração Pública.</v>
      </c>
      <c r="I215" s="3"/>
      <c r="J215" s="5">
        <f ca="1">IFERROR(__xludf.DUMMYFUNCTION("""COMPUTED_VALUE"""),46174)</f>
        <v>46174</v>
      </c>
      <c r="K215" s="5">
        <f ca="1">IFERROR(__xludf.DUMMYFUNCTION("""COMPUTED_VALUE"""),46181)</f>
        <v>46181</v>
      </c>
      <c r="L215" s="5">
        <f ca="1">IFERROR(__xludf.DUMMYFUNCTION("""COMPUTED_VALUE"""),46361)</f>
        <v>46361</v>
      </c>
      <c r="M215" s="5">
        <f ca="1">IFERROR(__xludf.DUMMYFUNCTION("""COMPUTED_VALUE"""),46362)</f>
        <v>46362</v>
      </c>
      <c r="N215" s="3">
        <f ca="1">IFERROR(__xludf.DUMMYFUNCTION("""COMPUTED_VALUE"""),810)</f>
        <v>810</v>
      </c>
      <c r="O215" s="5">
        <f ca="1">IFERROR(__xludf.DUMMYFUNCTION("""COMPUTED_VALUE"""),47093)</f>
        <v>47093</v>
      </c>
      <c r="P215" s="3">
        <f ca="1">IFERROR(__xludf.DUMMYFUNCTION("""COMPUTED_VALUE"""),1905)</f>
        <v>1905</v>
      </c>
      <c r="Q215" s="5">
        <f ca="1">IFERROR(__xludf.DUMMYFUNCTION("""COMPUTED_VALUE"""),48188)</f>
        <v>48188</v>
      </c>
      <c r="R215" s="3" t="str">
        <f ca="1">IFERROR(__xludf.DUMMYFUNCTION("""COMPUTED_VALUE"""),"Alessandra Abelheira")</f>
        <v>Alessandra Abelheira</v>
      </c>
      <c r="S215" s="3" t="str">
        <f ca="1">IFERROR(__xludf.DUMMYFUNCTION("""COMPUTED_VALUE"""),"Micheline")</f>
        <v>Micheline</v>
      </c>
      <c r="T215" s="3" t="str">
        <f ca="1">IFERROR(__xludf.DUMMYFUNCTION("""COMPUTED_VALUE"""),"Felipe Perdigão")</f>
        <v>Felipe Perdigão</v>
      </c>
      <c r="U215" s="3" t="str">
        <f ca="1">IFERROR(__xludf.DUMMYFUNCTION("""COMPUTED_VALUE"""),"Ariane Serpa")</f>
        <v>Ariane Serpa</v>
      </c>
      <c r="V215" s="3"/>
      <c r="W215" s="3" t="str">
        <f ca="1">IFERROR(__xludf.DUMMYFUNCTION("""COMPUTED_VALUE"""),"E-26/007/104823/2018")</f>
        <v>E-26/007/104823/2018</v>
      </c>
      <c r="X215" s="3" t="str">
        <f ca="1">IFERROR(__xludf.DUMMYFUNCTION("""COMPUTED_VALUE"""),"2- Instrução")</f>
        <v>2- Instrução</v>
      </c>
    </row>
    <row r="216" spans="1:24" x14ac:dyDescent="0.2">
      <c r="A216" s="3" t="str">
        <f ca="1">IFERROR(__xludf.DUMMYFUNCTION("""COMPUTED_VALUE"""),"504/2026")</f>
        <v>504/2026</v>
      </c>
      <c r="B216" s="3" t="str">
        <f ca="1">IFERROR(__xludf.DUMMYFUNCTION("""COMPUTED_VALUE"""),"SEI-260006/029081/2026")</f>
        <v>SEI-260006/029081/2026</v>
      </c>
      <c r="C216" s="3" t="str">
        <f ca="1">IFERROR(__xludf.DUMMYFUNCTION("""COMPUTED_VALUE"""),"Ângela Alfano Campos, matrícula nº 35955-4, ID 44263414/01")</f>
        <v>Ângela Alfano Campos, matrícula nº 35955-4, ID 44263414/01</v>
      </c>
      <c r="D216" s="3"/>
      <c r="E216" s="3"/>
      <c r="F216" s="3"/>
      <c r="G216" s="3"/>
      <c r="H216" s="3" t="str">
        <f ca="1">IFERROR(__xludf.DUMMYFUNCTION("""COMPUTED_VALUE"""),"faltas injustificadas, com fulcro no inciso V do artigo 52 do Decreto Lei 220/75, tendo em vista a presença de robustos indícios de materialidade e autoria da infração disciplinar de abandono de cargo.")</f>
        <v>faltas injustificadas, com fulcro no inciso V do artigo 52 do Decreto Lei 220/75, tendo em vista a presença de robustos indícios de materialidade e autoria da infração disciplinar de abandono de cargo.</v>
      </c>
      <c r="I216" s="3"/>
      <c r="J216" s="5">
        <f ca="1">IFERROR(__xludf.DUMMYFUNCTION("""COMPUTED_VALUE"""),46190)</f>
        <v>46190</v>
      </c>
      <c r="K216" s="5">
        <f ca="1">IFERROR(__xludf.DUMMYFUNCTION("""COMPUTED_VALUE"""),46198)</f>
        <v>46198</v>
      </c>
      <c r="L216" s="5">
        <f ca="1">IFERROR(__xludf.DUMMYFUNCTION("""COMPUTED_VALUE"""),46378)</f>
        <v>46378</v>
      </c>
      <c r="M216" s="5">
        <f ca="1">IFERROR(__xludf.DUMMYFUNCTION("""COMPUTED_VALUE"""),46379)</f>
        <v>46379</v>
      </c>
      <c r="N216" s="3">
        <f ca="1">IFERROR(__xludf.DUMMYFUNCTION("""COMPUTED_VALUE"""),827)</f>
        <v>827</v>
      </c>
      <c r="O216" s="5">
        <f ca="1">IFERROR(__xludf.DUMMYFUNCTION("""COMPUTED_VALUE"""),47110)</f>
        <v>47110</v>
      </c>
      <c r="P216" s="3">
        <f ca="1">IFERROR(__xludf.DUMMYFUNCTION("""COMPUTED_VALUE"""),1922)</f>
        <v>1922</v>
      </c>
      <c r="Q216" s="5">
        <f ca="1">IFERROR(__xludf.DUMMYFUNCTION("""COMPUTED_VALUE"""),48205)</f>
        <v>48205</v>
      </c>
      <c r="R216" s="3" t="str">
        <f ca="1">IFERROR(__xludf.DUMMYFUNCTION("""COMPUTED_VALUE"""),"Alessandra Abelheira")</f>
        <v>Alessandra Abelheira</v>
      </c>
      <c r="S216" s="3" t="str">
        <f ca="1">IFERROR(__xludf.DUMMYFUNCTION("""COMPUTED_VALUE"""),"Franciane")</f>
        <v>Franciane</v>
      </c>
      <c r="T216" s="3" t="str">
        <f ca="1">IFERROR(__xludf.DUMMYFUNCTION("""COMPUTED_VALUE"""),"Celso Luiz Pieroni")</f>
        <v>Celso Luiz Pieroni</v>
      </c>
      <c r="U216" s="3" t="str">
        <f ca="1">IFERROR(__xludf.DUMMYFUNCTION("""COMPUTED_VALUE"""),"Ariane Serpa")</f>
        <v>Ariane Serpa</v>
      </c>
      <c r="V216" s="3"/>
      <c r="W216" s="3" t="str">
        <f ca="1">IFERROR(__xludf.DUMMYFUNCTION("""COMPUTED_VALUE"""),"SEI-260006/049156/2025")</f>
        <v>SEI-260006/049156/2025</v>
      </c>
      <c r="X216" s="3" t="str">
        <f ca="1">IFERROR(__xludf.DUMMYFUNCTION("""COMPUTED_VALUE"""),"2- Instrução")</f>
        <v>2- Instrução</v>
      </c>
    </row>
    <row r="217" spans="1:24" x14ac:dyDescent="0.2">
      <c r="A217" s="3" t="str">
        <f ca="1">IFERROR(__xludf.DUMMYFUNCTION("""COMPUTED_VALUE"""),"505/2026")</f>
        <v>505/2026</v>
      </c>
      <c r="B217" s="3" t="str">
        <f ca="1">IFERROR(__xludf.DUMMYFUNCTION("""COMPUTED_VALUE"""),"SEI-260006/029085/2026")</f>
        <v>SEI-260006/029085/2026</v>
      </c>
      <c r="C217" s="3" t="str">
        <f ca="1">IFERROR(__xludf.DUMMYFUNCTION("""COMPUTED_VALUE"""),"Luana Nery da Silva, matrícula nº 41.575-2")</f>
        <v>Luana Nery da Silva, matrícula nº 41.575-2</v>
      </c>
      <c r="D217" s="3" t="str">
        <f ca="1">IFERROR(__xludf.DUMMYFUNCTION("""COMPUTED_VALUE"""),"Abandono do Cargo")</f>
        <v>Abandono do Cargo</v>
      </c>
      <c r="E217" s="3" t="str">
        <f ca="1">IFERROR(__xludf.DUMMYFUNCTION("""COMPUTED_VALUE"""),"Abandono de cargo")</f>
        <v>Abandono de cargo</v>
      </c>
      <c r="F217" s="3" t="str">
        <f ca="1">IFERROR(__xludf.DUMMYFUNCTION("""COMPUTED_VALUE"""),"Abandono de cargo/ Inassiduidade habitual.")</f>
        <v>Abandono de cargo/ Inassiduidade habitual.</v>
      </c>
      <c r="G217" s="3" t="str">
        <f ca="1">IFERROR(__xludf.DUMMYFUNCTION("""COMPUTED_VALUE"""),"Faltas injustificadas")</f>
        <v>Faltas injustificadas</v>
      </c>
      <c r="H217" s="3" t="str">
        <f ca="1">IFERROR(__xludf.DUMMYFUNCTION("""COMPUTED_VALUE"""),"a instauração de Processo Administrativo Disciplinar em desfavor da servidora Luana Nery da Silva, matrícula nº 41.575-2, com fulcro no artigo 52, inciso V, parágrafo primeiro do Decreto-Lei estadual nº 220/1975, para fins de regular apuração da infração "&amp;"administrativa de abandono de cargo decorrente de faltas injustificadas contínuas registradas a contar de 14 de maio de 2025;")</f>
        <v>a instauração de Processo Administrativo Disciplinar em desfavor da servidora Luana Nery da Silva, matrícula nº 41.575-2, com fulcro no artigo 52, inciso V, parágrafo primeiro do Decreto-Lei estadual nº 220/1975, para fins de regular apuração da infração administrativa de abandono de cargo decorrente de faltas injustificadas contínuas registradas a contar de 14 de maio de 2025;</v>
      </c>
      <c r="I217" s="3"/>
      <c r="J217" s="5">
        <f ca="1">IFERROR(__xludf.DUMMYFUNCTION("""COMPUTED_VALUE"""),46191)</f>
        <v>46191</v>
      </c>
      <c r="K217" s="5">
        <f ca="1">IFERROR(__xludf.DUMMYFUNCTION("""COMPUTED_VALUE"""),46198)</f>
        <v>46198</v>
      </c>
      <c r="L217" s="5">
        <f ca="1">IFERROR(__xludf.DUMMYFUNCTION("""COMPUTED_VALUE"""),46378)</f>
        <v>46378</v>
      </c>
      <c r="M217" s="5">
        <f ca="1">IFERROR(__xludf.DUMMYFUNCTION("""COMPUTED_VALUE"""),46379)</f>
        <v>46379</v>
      </c>
      <c r="N217" s="3">
        <f ca="1">IFERROR(__xludf.DUMMYFUNCTION("""COMPUTED_VALUE"""),827)</f>
        <v>827</v>
      </c>
      <c r="O217" s="5">
        <f ca="1">IFERROR(__xludf.DUMMYFUNCTION("""COMPUTED_VALUE"""),47110)</f>
        <v>47110</v>
      </c>
      <c r="P217" s="3">
        <f ca="1">IFERROR(__xludf.DUMMYFUNCTION("""COMPUTED_VALUE"""),1922)</f>
        <v>1922</v>
      </c>
      <c r="Q217" s="5">
        <f ca="1">IFERROR(__xludf.DUMMYFUNCTION("""COMPUTED_VALUE"""),48205)</f>
        <v>48205</v>
      </c>
      <c r="R217" s="3" t="str">
        <f ca="1">IFERROR(__xludf.DUMMYFUNCTION("""COMPUTED_VALUE"""),"Bianca Faertes")</f>
        <v>Bianca Faertes</v>
      </c>
      <c r="S217" s="3" t="str">
        <f ca="1">IFERROR(__xludf.DUMMYFUNCTION("""COMPUTED_VALUE"""),"Patrícia")</f>
        <v>Patrícia</v>
      </c>
      <c r="T217" s="3" t="str">
        <f ca="1">IFERROR(__xludf.DUMMYFUNCTION("""COMPUTED_VALUE"""),"Thiago Rocha")</f>
        <v>Thiago Rocha</v>
      </c>
      <c r="U217" s="3" t="str">
        <f ca="1">IFERROR(__xludf.DUMMYFUNCTION("""COMPUTED_VALUE"""),"Felipe Perdigão")</f>
        <v>Felipe Perdigão</v>
      </c>
      <c r="V217" s="3"/>
      <c r="W217" s="3" t="str">
        <f ca="1">IFERROR(__xludf.DUMMYFUNCTION("""COMPUTED_VALUE"""),"SEI-260006/030831/2025")</f>
        <v>SEI-260006/030831/2025</v>
      </c>
      <c r="X217" s="3" t="str">
        <f ca="1">IFERROR(__xludf.DUMMYFUNCTION("""COMPUTED_VALUE"""),"2- Instrução")</f>
        <v>2- Instrução</v>
      </c>
    </row>
    <row r="218" spans="1:24" x14ac:dyDescent="0.2">
      <c r="A218" s="3" t="str">
        <f ca="1">IFERROR(__xludf.DUMMYFUNCTION("""COMPUTED_VALUE"""),"506/2026")</f>
        <v>506/2026</v>
      </c>
      <c r="B218" s="3" t="str">
        <f ca="1">IFERROR(__xludf.DUMMYFUNCTION("""COMPUTED_VALUE"""),"SEI-260006/031050/2026")</f>
        <v>SEI-260006/031050/2026</v>
      </c>
      <c r="C218" s="3" t="str">
        <f ca="1">IFERROR(__xludf.DUMMYFUNCTION("""COMPUTED_VALUE"""),"Alessandra Dantas do Nascimento, matr. 35538-8")</f>
        <v>Alessandra Dantas do Nascimento, matr. 35538-8</v>
      </c>
      <c r="D218" s="3" t="str">
        <f ca="1">IFERROR(__xludf.DUMMYFUNCTION("""COMPUTED_VALUE"""),"Abandono do Cargo")</f>
        <v>Abandono do Cargo</v>
      </c>
      <c r="E218" s="3" t="str">
        <f ca="1">IFERROR(__xludf.DUMMYFUNCTION("""COMPUTED_VALUE"""),"Abandono de cargo")</f>
        <v>Abandono de cargo</v>
      </c>
      <c r="F218" s="3" t="str">
        <f ca="1">IFERROR(__xludf.DUMMYFUNCTION("""COMPUTED_VALUE"""),"Abandono de cargo/ Inassiduidade habitual.")</f>
        <v>Abandono de cargo/ Inassiduidade habitual.</v>
      </c>
      <c r="G218" s="3" t="str">
        <f ca="1">IFERROR(__xludf.DUMMYFUNCTION("""COMPUTED_VALUE"""),"Faltas injustificadas")</f>
        <v>Faltas injustificadas</v>
      </c>
      <c r="H218" s="3" t="str">
        <f ca="1">IFERROR(__xludf.DUMMYFUNCTION("""COMPUTED_VALUE"""),"Apuração de faltas injustificadas da servidora Alessandra Dantas do Nascimento, matrícula nº. 35538-8, ID 44046774/01, ocupante do cargo de Técnico Universitário II/ Técnico em Enfermagem, lotado no HUPE/SECLI, nos períodos de 12/08/2025 a 24/08/2025,  17"&amp;"/09/2025 a 30/09/2025 e 09/10/2025 a 14/10/2025.")</f>
        <v>Apuração de faltas injustificadas da servidora Alessandra Dantas do Nascimento, matrícula nº. 35538-8, ID 44046774/01, ocupante do cargo de Técnico Universitário II/ Técnico em Enfermagem, lotado no HUPE/SECLI, nos períodos de 12/08/2025 a 24/08/2025,  17/09/2025 a 30/09/2025 e 09/10/2025 a 14/10/2025.</v>
      </c>
      <c r="I218" s="3"/>
      <c r="J218" s="5">
        <f ca="1">IFERROR(__xludf.DUMMYFUNCTION("""COMPUTED_VALUE"""),46209)</f>
        <v>46209</v>
      </c>
      <c r="K218" s="5">
        <f ca="1">IFERROR(__xludf.DUMMYFUNCTION("""COMPUTED_VALUE"""),46211)</f>
        <v>46211</v>
      </c>
      <c r="L218" s="5">
        <f ca="1">IFERROR(__xludf.DUMMYFUNCTION("""COMPUTED_VALUE"""),46391)</f>
        <v>46391</v>
      </c>
      <c r="M218" s="5">
        <f ca="1">IFERROR(__xludf.DUMMYFUNCTION("""COMPUTED_VALUE"""),46392)</f>
        <v>46392</v>
      </c>
      <c r="N218" s="3">
        <f ca="1">IFERROR(__xludf.DUMMYFUNCTION("""COMPUTED_VALUE"""),840)</f>
        <v>840</v>
      </c>
      <c r="O218" s="5">
        <f ca="1">IFERROR(__xludf.DUMMYFUNCTION("""COMPUTED_VALUE"""),47123)</f>
        <v>47123</v>
      </c>
      <c r="P218" s="3">
        <f ca="1">IFERROR(__xludf.DUMMYFUNCTION("""COMPUTED_VALUE"""),1935)</f>
        <v>1935</v>
      </c>
      <c r="Q218" s="5">
        <f ca="1">IFERROR(__xludf.DUMMYFUNCTION("""COMPUTED_VALUE"""),48218)</f>
        <v>48218</v>
      </c>
      <c r="R218" s="3" t="str">
        <f ca="1">IFERROR(__xludf.DUMMYFUNCTION("""COMPUTED_VALUE"""),"Alessandra Abelheira")</f>
        <v>Alessandra Abelheira</v>
      </c>
      <c r="S218" s="3" t="str">
        <f ca="1">IFERROR(__xludf.DUMMYFUNCTION("""COMPUTED_VALUE"""),"Micheline")</f>
        <v>Micheline</v>
      </c>
      <c r="T218" s="3" t="str">
        <f ca="1">IFERROR(__xludf.DUMMYFUNCTION("""COMPUTED_VALUE"""),"Karolynne Rocha")</f>
        <v>Karolynne Rocha</v>
      </c>
      <c r="U218" s="3" t="str">
        <f ca="1">IFERROR(__xludf.DUMMYFUNCTION("""COMPUTED_VALUE"""),"Marcelo Ferreira")</f>
        <v>Marcelo Ferreira</v>
      </c>
      <c r="V218" s="3"/>
      <c r="W218" s="3" t="str">
        <f ca="1">IFERROR(__xludf.DUMMYFUNCTION("""COMPUTED_VALUE"""),"SEI-260006/049158/2025")</f>
        <v>SEI-260006/049158/2025</v>
      </c>
      <c r="X218" s="3" t="str">
        <f ca="1">IFERROR(__xludf.DUMMYFUNCTION("""COMPUTED_VALUE"""),"2- Instrução")</f>
        <v>2- Instrução</v>
      </c>
    </row>
    <row r="219" spans="1:24" x14ac:dyDescent="0.2">
      <c r="A219" s="3" t="str">
        <f ca="1">IFERROR(__xludf.DUMMYFUNCTION("""COMPUTED_VALUE"""),"507/2026")</f>
        <v>507/2026</v>
      </c>
      <c r="B219" s="3" t="str">
        <f ca="1">IFERROR(__xludf.DUMMYFUNCTION("""COMPUTED_VALUE"""),"SEI-260006/034393/2026")</f>
        <v>SEI-260006/034393/2026</v>
      </c>
      <c r="C219" s="3" t="str">
        <f ca="1">IFERROR(__xludf.DUMMYFUNCTION("""COMPUTED_VALUE"""),"Mila Muraro de Almeida, matr. 40603-3")</f>
        <v>Mila Muraro de Almeida, matr. 40603-3</v>
      </c>
      <c r="D219" s="3" t="str">
        <f ca="1">IFERROR(__xludf.DUMMYFUNCTION("""COMPUTED_VALUE"""),"Abandono do Cargo")</f>
        <v>Abandono do Cargo</v>
      </c>
      <c r="E219" s="3" t="str">
        <f ca="1">IFERROR(__xludf.DUMMYFUNCTION("""COMPUTED_VALUE"""),"Abandono de cargo")</f>
        <v>Abandono de cargo</v>
      </c>
      <c r="F219" s="3" t="str">
        <f ca="1">IFERROR(__xludf.DUMMYFUNCTION("""COMPUTED_VALUE"""),"Abandono de cargo/ Inassiduidade habitual.")</f>
        <v>Abandono de cargo/ Inassiduidade habitual.</v>
      </c>
      <c r="G219" s="3" t="str">
        <f ca="1">IFERROR(__xludf.DUMMYFUNCTION("""COMPUTED_VALUE"""),"Faltas injustificadas")</f>
        <v>Faltas injustificadas</v>
      </c>
      <c r="H219" s="3" t="str">
        <f ca="1">IFERROR(__xludf.DUMMYFUNCTION("""COMPUTED_VALUE"""),"Apuração de possível abandono de cargo em razão de ausências injustificadas no período de 17/01/2023 a 25/04/2023
SEI-260006/034393/2026")</f>
        <v>Apuração de possível abandono de cargo em razão de ausências injustificadas no período de 17/01/2023 a 25/04/2023
SEI-260006/034393/2026</v>
      </c>
      <c r="I219" s="3"/>
      <c r="J219" s="5">
        <f ca="1">IFERROR(__xludf.DUMMYFUNCTION("""COMPUTED_VALUE"""),46226)</f>
        <v>46226</v>
      </c>
      <c r="K219" s="5">
        <f ca="1">IFERROR(__xludf.DUMMYFUNCTION("""COMPUTED_VALUE"""),46231)</f>
        <v>46231</v>
      </c>
      <c r="L219" s="5">
        <f ca="1">IFERROR(__xludf.DUMMYFUNCTION("""COMPUTED_VALUE"""),46411)</f>
        <v>46411</v>
      </c>
      <c r="M219" s="5">
        <f ca="1">IFERROR(__xludf.DUMMYFUNCTION("""COMPUTED_VALUE"""),46412)</f>
        <v>46412</v>
      </c>
      <c r="N219" s="3">
        <f ca="1">IFERROR(__xludf.DUMMYFUNCTION("""COMPUTED_VALUE"""),860)</f>
        <v>860</v>
      </c>
      <c r="O219" s="5">
        <f ca="1">IFERROR(__xludf.DUMMYFUNCTION("""COMPUTED_VALUE"""),47143)</f>
        <v>47143</v>
      </c>
      <c r="P219" s="3">
        <f ca="1">IFERROR(__xludf.DUMMYFUNCTION("""COMPUTED_VALUE"""),1955)</f>
        <v>1955</v>
      </c>
      <c r="Q219" s="5">
        <f ca="1">IFERROR(__xludf.DUMMYFUNCTION("""COMPUTED_VALUE"""),48238)</f>
        <v>48238</v>
      </c>
      <c r="R219" s="3" t="str">
        <f ca="1">IFERROR(__xludf.DUMMYFUNCTION("""COMPUTED_VALUE"""),"Bianca Faertes")</f>
        <v>Bianca Faertes</v>
      </c>
      <c r="S219" s="3" t="str">
        <f ca="1">IFERROR(__xludf.DUMMYFUNCTION("""COMPUTED_VALUE"""),"Débora")</f>
        <v>Débora</v>
      </c>
      <c r="T219" s="3" t="str">
        <f ca="1">IFERROR(__xludf.DUMMYFUNCTION("""COMPUTED_VALUE"""),"Ariane Serpa")</f>
        <v>Ariane Serpa</v>
      </c>
      <c r="U219" s="3" t="str">
        <f ca="1">IFERROR(__xludf.DUMMYFUNCTION("""COMPUTED_VALUE"""),"Thiago Rocha")</f>
        <v>Thiago Rocha</v>
      </c>
      <c r="V219" s="3"/>
      <c r="W219" s="3" t="str">
        <f ca="1">IFERROR(__xludf.DUMMYFUNCTION("""COMPUTED_VALUE"""),"SEI-260007/019153/2023")</f>
        <v>SEI-260007/019153/2023</v>
      </c>
      <c r="X219" s="3" t="str">
        <f ca="1">IFERROR(__xludf.DUMMYFUNCTION("""COMPUTED_VALUE"""),"2- Instrução")</f>
        <v>2- Instrução</v>
      </c>
    </row>
    <row r="220" spans="1:24" x14ac:dyDescent="0.2">
      <c r="A220" s="3" t="str">
        <f ca="1">IFERROR(__xludf.DUMMYFUNCTION("""COMPUTED_VALUE"""),"508/2026")</f>
        <v>508/2026</v>
      </c>
      <c r="B220" s="3" t="str">
        <f ca="1">IFERROR(__xludf.DUMMYFUNCTION("""COMPUTED_VALUE"""),"SEI-260006/034431/2026")</f>
        <v>SEI-260006/034431/2026</v>
      </c>
      <c r="C220" s="3" t="str">
        <f ca="1">IFERROR(__xludf.DUMMYFUNCTION("""COMPUTED_VALUE"""),"Francismar Alex Lopes de Carvalho, matr. 39568-1")</f>
        <v>Francismar Alex Lopes de Carvalho, matr. 39568-1</v>
      </c>
      <c r="D220" s="3" t="str">
        <f ca="1">IFERROR(__xludf.DUMMYFUNCTION("""COMPUTED_VALUE"""),"Abandono do Cargo")</f>
        <v>Abandono do Cargo</v>
      </c>
      <c r="E220" s="3" t="str">
        <f ca="1">IFERROR(__xludf.DUMMYFUNCTION("""COMPUTED_VALUE"""),"Abandono de cargo")</f>
        <v>Abandono de cargo</v>
      </c>
      <c r="F220" s="3" t="str">
        <f ca="1">IFERROR(__xludf.DUMMYFUNCTION("""COMPUTED_VALUE"""),"Abandono de cargo/ Inassiduidade habitual.")</f>
        <v>Abandono de cargo/ Inassiduidade habitual.</v>
      </c>
      <c r="G220" s="3" t="str">
        <f ca="1">IFERROR(__xludf.DUMMYFUNCTION("""COMPUTED_VALUE"""),"Faltas injustificadas")</f>
        <v>Faltas injustificadas</v>
      </c>
      <c r="H220" s="3" t="str">
        <f ca="1">IFERROR(__xludf.DUMMYFUNCTION("""COMPUTED_VALUE"""),"Apuração de infração disiciplinar de abandono de cargo, nos termos do art. 52, V e §1º, do Decreto-lei nº 220/75, em tese perpetrada pelo servidor Francismar Alex Lopes de Carvalho, matrícula nº 39568-1, ID 50838695/01, admitido na UERJ em 30/06/2016, no "&amp;"cargo de professor associado e lotado no Departamento de História do Instituto de Filosofia e Ciências Humanas - IFCH, nos períodos de 11/08/2025 a 28/09/2025 e de 30/09/2025 a 31/12/2025.
SEI-260006/034431/2026")</f>
        <v>Apuração de infração disiciplinar de abandono de cargo, nos termos do art. 52, V e §1º, do Decreto-lei nº 220/75, em tese perpetrada pelo servidor Francismar Alex Lopes de Carvalho, matrícula nº 39568-1, ID 50838695/01, admitido na UERJ em 30/06/2016, no cargo de professor associado e lotado no Departamento de História do Instituto de Filosofia e Ciências Humanas - IFCH, nos períodos de 11/08/2025 a 28/09/2025 e de 30/09/2025 a 31/12/2025.
SEI-260006/034431/2026</v>
      </c>
      <c r="I220" s="3"/>
      <c r="J220" s="5">
        <f ca="1">IFERROR(__xludf.DUMMYFUNCTION("""COMPUTED_VALUE"""),46211)</f>
        <v>46211</v>
      </c>
      <c r="K220" s="5">
        <f ca="1">IFERROR(__xludf.DUMMYFUNCTION("""COMPUTED_VALUE"""),46213)</f>
        <v>46213</v>
      </c>
      <c r="L220" s="5">
        <f ca="1">IFERROR(__xludf.DUMMYFUNCTION("""COMPUTED_VALUE"""),46393)</f>
        <v>46393</v>
      </c>
      <c r="M220" s="5">
        <f ca="1">IFERROR(__xludf.DUMMYFUNCTION("""COMPUTED_VALUE"""),46394)</f>
        <v>46394</v>
      </c>
      <c r="N220" s="3">
        <f ca="1">IFERROR(__xludf.DUMMYFUNCTION("""COMPUTED_VALUE"""),842)</f>
        <v>842</v>
      </c>
      <c r="O220" s="5">
        <f ca="1">IFERROR(__xludf.DUMMYFUNCTION("""COMPUTED_VALUE"""),47125)</f>
        <v>47125</v>
      </c>
      <c r="P220" s="3">
        <f ca="1">IFERROR(__xludf.DUMMYFUNCTION("""COMPUTED_VALUE"""),1937)</f>
        <v>1937</v>
      </c>
      <c r="Q220" s="5">
        <f ca="1">IFERROR(__xludf.DUMMYFUNCTION("""COMPUTED_VALUE"""),48220)</f>
        <v>48220</v>
      </c>
      <c r="R220" s="3" t="str">
        <f ca="1">IFERROR(__xludf.DUMMYFUNCTION("""COMPUTED_VALUE"""),"Rodrigo Marcellino")</f>
        <v>Rodrigo Marcellino</v>
      </c>
      <c r="S220" s="3" t="str">
        <f ca="1">IFERROR(__xludf.DUMMYFUNCTION("""COMPUTED_VALUE"""),"Franciane")</f>
        <v>Franciane</v>
      </c>
      <c r="T220" s="3" t="str">
        <f ca="1">IFERROR(__xludf.DUMMYFUNCTION("""COMPUTED_VALUE"""),"Felipe Perdigão")</f>
        <v>Felipe Perdigão</v>
      </c>
      <c r="U220" s="3" t="str">
        <f ca="1">IFERROR(__xludf.DUMMYFUNCTION("""COMPUTED_VALUE"""),"Marcelo Ferreira")</f>
        <v>Marcelo Ferreira</v>
      </c>
      <c r="V220" s="3"/>
      <c r="W220" s="3" t="str">
        <f ca="1">IFERROR(__xludf.DUMMYFUNCTION("""COMPUTED_VALUE"""),"SEI-260006/049781/2025")</f>
        <v>SEI-260006/049781/2025</v>
      </c>
      <c r="X220" s="3" t="str">
        <f ca="1">IFERROR(__xludf.DUMMYFUNCTION("""COMPUTED_VALUE"""),"2- Instrução")</f>
        <v>2- Instrução</v>
      </c>
    </row>
    <row r="221" spans="1:24" x14ac:dyDescent="0.2">
      <c r="A221" s="3" t="str">
        <f ca="1">IFERROR(__xludf.DUMMYFUNCTION("""COMPUTED_VALUE"""),"509/2026")</f>
        <v>509/2026</v>
      </c>
      <c r="B221" s="3" t="str">
        <f ca="1">IFERROR(__xludf.DUMMYFUNCTION("""COMPUTED_VALUE"""),"SEI-260006/034458/2026")</f>
        <v>SEI-260006/034458/2026</v>
      </c>
      <c r="C221" s="3" t="str">
        <f ca="1">IFERROR(__xludf.DUMMYFUNCTION("""COMPUTED_VALUE"""),"Ygor Delfino da Silva, matr. 40621-5")</f>
        <v>Ygor Delfino da Silva, matr. 40621-5</v>
      </c>
      <c r="D221" s="3" t="str">
        <f ca="1">IFERROR(__xludf.DUMMYFUNCTION("""COMPUTED_VALUE"""),"Acumulação Ilegal")</f>
        <v>Acumulação Ilegal</v>
      </c>
      <c r="E221" s="3" t="str">
        <f ca="1">IFERROR(__xludf.DUMMYFUNCTION("""COMPUTED_VALUE"""),"Acumulação de cargos")</f>
        <v>Acumulação de cargos</v>
      </c>
      <c r="F221" s="3" t="str">
        <f ca="1">IFERROR(__xludf.DUMMYFUNCTION("""COMPUTED_VALUE"""),"Acumulação de cargos.")</f>
        <v>Acumulação de cargos.</v>
      </c>
      <c r="G221" s="3" t="str">
        <f ca="1">IFERROR(__xludf.DUMMYFUNCTION("""COMPUTED_VALUE"""),"Acumulação de cargos")</f>
        <v>Acumulação de cargos</v>
      </c>
      <c r="H221" s="3" t="str">
        <f ca="1">IFERROR(__xludf.DUMMYFUNCTION("""COMPUTED_VALUE"""),"Apuração da conduta de acumulação ilícita de cargos públicos e de omissão na declaração na posse.
SEI-260006/034458/2026")</f>
        <v>Apuração da conduta de acumulação ilícita de cargos públicos e de omissão na declaração na posse.
SEI-260006/034458/2026</v>
      </c>
      <c r="I221" s="3" t="str">
        <f ca="1">IFERROR(__xludf.DUMMYFUNCTION("""COMPUTED_VALUE"""),"Não")</f>
        <v>Não</v>
      </c>
      <c r="J221" s="5">
        <f ca="1">IFERROR(__xludf.DUMMYFUNCTION("""COMPUTED_VALUE"""),46211)</f>
        <v>46211</v>
      </c>
      <c r="K221" s="5">
        <f ca="1">IFERROR(__xludf.DUMMYFUNCTION("""COMPUTED_VALUE"""),46213)</f>
        <v>46213</v>
      </c>
      <c r="L221" s="5">
        <f ca="1">IFERROR(__xludf.DUMMYFUNCTION("""COMPUTED_VALUE"""),46393)</f>
        <v>46393</v>
      </c>
      <c r="M221" s="5">
        <f ca="1">IFERROR(__xludf.DUMMYFUNCTION("""COMPUTED_VALUE"""),46394)</f>
        <v>46394</v>
      </c>
      <c r="N221" s="3">
        <f ca="1">IFERROR(__xludf.DUMMYFUNCTION("""COMPUTED_VALUE"""),842)</f>
        <v>842</v>
      </c>
      <c r="O221" s="5">
        <f ca="1">IFERROR(__xludf.DUMMYFUNCTION("""COMPUTED_VALUE"""),47125)</f>
        <v>47125</v>
      </c>
      <c r="P221" s="3">
        <f ca="1">IFERROR(__xludf.DUMMYFUNCTION("""COMPUTED_VALUE"""),1937)</f>
        <v>1937</v>
      </c>
      <c r="Q221" s="5">
        <f ca="1">IFERROR(__xludf.DUMMYFUNCTION("""COMPUTED_VALUE"""),48220)</f>
        <v>48220</v>
      </c>
      <c r="R221" s="3" t="str">
        <f ca="1">IFERROR(__xludf.DUMMYFUNCTION("""COMPUTED_VALUE"""),"Vanessa Queiroz")</f>
        <v>Vanessa Queiroz</v>
      </c>
      <c r="S221" s="3" t="str">
        <f ca="1">IFERROR(__xludf.DUMMYFUNCTION("""COMPUTED_VALUE"""),"Isadora")</f>
        <v>Isadora</v>
      </c>
      <c r="T221" s="3" t="str">
        <f ca="1">IFERROR(__xludf.DUMMYFUNCTION("""COMPUTED_VALUE"""),"Ariane Serpa")</f>
        <v>Ariane Serpa</v>
      </c>
      <c r="U221" s="3" t="str">
        <f ca="1">IFERROR(__xludf.DUMMYFUNCTION("""COMPUTED_VALUE"""),"Thiago Rocha")</f>
        <v>Thiago Rocha</v>
      </c>
      <c r="V221" s="3" t="str">
        <f ca="1">IFERROR(__xludf.DUMMYFUNCTION("""COMPUTED_VALUE"""),"Não")</f>
        <v>Não</v>
      </c>
      <c r="W221" s="3" t="str">
        <f ca="1">IFERROR(__xludf.DUMMYFUNCTION("""COMPUTED_VALUE"""),"SEI-260007/032089/2023")</f>
        <v>SEI-260007/032089/2023</v>
      </c>
      <c r="X221" s="3" t="str">
        <f ca="1">IFERROR(__xludf.DUMMYFUNCTION("""COMPUTED_VALUE"""),"2- Instrução")</f>
        <v>2- Instrução</v>
      </c>
    </row>
    <row r="222" spans="1:24" x14ac:dyDescent="0.2">
      <c r="A222" s="3" t="str">
        <f ca="1">IFERROR(__xludf.DUMMYFUNCTION("""COMPUTED_VALUE"""),"510/2026")</f>
        <v>510/2026</v>
      </c>
      <c r="B222" s="3" t="str">
        <f ca="1">IFERROR(__xludf.DUMMYFUNCTION("""COMPUTED_VALUE"""),"SEI-260006/035524/2026")</f>
        <v>SEI-260006/035524/2026</v>
      </c>
      <c r="C222" s="3" t="str">
        <f ca="1">IFERROR(__xludf.DUMMYFUNCTION("""COMPUTED_VALUE"""),"Camilla da Silva Dias, matr. 37204-5")</f>
        <v>Camilla da Silva Dias, matr. 37204-5</v>
      </c>
      <c r="D222" s="3" t="str">
        <f ca="1">IFERROR(__xludf.DUMMYFUNCTION("""COMPUTED_VALUE"""),"Abandono do Cargo")</f>
        <v>Abandono do Cargo</v>
      </c>
      <c r="E222" s="3" t="str">
        <f ca="1">IFERROR(__xludf.DUMMYFUNCTION("""COMPUTED_VALUE"""),"Abandono de cargo")</f>
        <v>Abandono de cargo</v>
      </c>
      <c r="F222" s="3" t="str">
        <f ca="1">IFERROR(__xludf.DUMMYFUNCTION("""COMPUTED_VALUE"""),"Abandono de cargo/ Inassiduidade habitual.")</f>
        <v>Abandono de cargo/ Inassiduidade habitual.</v>
      </c>
      <c r="G222" s="3" t="str">
        <f ca="1">IFERROR(__xludf.DUMMYFUNCTION("""COMPUTED_VALUE"""),"Faltas injustificadas")</f>
        <v>Faltas injustificadas</v>
      </c>
      <c r="H222" s="3" t="str">
        <f ca="1">IFERROR(__xludf.DUMMYFUNCTION("""COMPUTED_VALUE"""),"Apuração de possível abandono de cargo em razão de faltas injustificadas no período de 16/08/2024 a 10/11/2024.
SEI-260006/035524/2026")</f>
        <v>Apuração de possível abandono de cargo em razão de faltas injustificadas no período de 16/08/2024 a 10/11/2024.
SEI-260006/035524/2026</v>
      </c>
      <c r="I222" s="3" t="str">
        <f ca="1">IFERROR(__xludf.DUMMYFUNCTION("""COMPUTED_VALUE"""),"Não")</f>
        <v>Não</v>
      </c>
      <c r="J222" s="5">
        <f ca="1">IFERROR(__xludf.DUMMYFUNCTION("""COMPUTED_VALUE"""),46226)</f>
        <v>46226</v>
      </c>
      <c r="K222" s="5">
        <f ca="1">IFERROR(__xludf.DUMMYFUNCTION("""COMPUTED_VALUE"""),46231)</f>
        <v>46231</v>
      </c>
      <c r="L222" s="5">
        <f ca="1">IFERROR(__xludf.DUMMYFUNCTION("""COMPUTED_VALUE"""),46411)</f>
        <v>46411</v>
      </c>
      <c r="M222" s="5">
        <f ca="1">IFERROR(__xludf.DUMMYFUNCTION("""COMPUTED_VALUE"""),46412)</f>
        <v>46412</v>
      </c>
      <c r="N222" s="3">
        <f ca="1">IFERROR(__xludf.DUMMYFUNCTION("""COMPUTED_VALUE"""),860)</f>
        <v>860</v>
      </c>
      <c r="O222" s="5">
        <f ca="1">IFERROR(__xludf.DUMMYFUNCTION("""COMPUTED_VALUE"""),47143)</f>
        <v>47143</v>
      </c>
      <c r="P222" s="3">
        <f ca="1">IFERROR(__xludf.DUMMYFUNCTION("""COMPUTED_VALUE"""),1955)</f>
        <v>1955</v>
      </c>
      <c r="Q222" s="5">
        <f ca="1">IFERROR(__xludf.DUMMYFUNCTION("""COMPUTED_VALUE"""),48238)</f>
        <v>48238</v>
      </c>
      <c r="R222" s="3" t="str">
        <f ca="1">IFERROR(__xludf.DUMMYFUNCTION("""COMPUTED_VALUE"""),"Bianca Faertes")</f>
        <v>Bianca Faertes</v>
      </c>
      <c r="S222" s="3" t="str">
        <f ca="1">IFERROR(__xludf.DUMMYFUNCTION("""COMPUTED_VALUE"""),"Patrícia")</f>
        <v>Patrícia</v>
      </c>
      <c r="T222" s="3" t="str">
        <f ca="1">IFERROR(__xludf.DUMMYFUNCTION("""COMPUTED_VALUE"""),"Gustavo Mozart")</f>
        <v>Gustavo Mozart</v>
      </c>
      <c r="U222" s="3" t="str">
        <f ca="1">IFERROR(__xludf.DUMMYFUNCTION("""COMPUTED_VALUE"""),"Thiago Rocha")</f>
        <v>Thiago Rocha</v>
      </c>
      <c r="V222" s="3" t="str">
        <f ca="1">IFERROR(__xludf.DUMMYFUNCTION("""COMPUTED_VALUE"""),"Não")</f>
        <v>Não</v>
      </c>
      <c r="W222" s="3" t="str">
        <f ca="1">IFERROR(__xludf.DUMMYFUNCTION("""COMPUTED_VALUE"""),"SEI-260006/048715/2024")</f>
        <v>SEI-260006/048715/2024</v>
      </c>
      <c r="X222" s="3" t="str">
        <f ca="1">IFERROR(__xludf.DUMMYFUNCTION("""COMPUTED_VALUE"""),"2- Instrução")</f>
        <v>2- Instrução</v>
      </c>
    </row>
    <row r="223" spans="1:24" x14ac:dyDescent="0.2">
      <c r="A223" s="3" t="str">
        <f ca="1">IFERROR(__xludf.DUMMYFUNCTION("""COMPUTED_VALUE"""),"511/2026")</f>
        <v>511/2026</v>
      </c>
      <c r="B223" s="3" t="str">
        <f ca="1">IFERROR(__xludf.DUMMYFUNCTION("""COMPUTED_VALUE"""),"SEI-260006/035811/2026")</f>
        <v>SEI-260006/035811/2026</v>
      </c>
      <c r="C223" s="3" t="str">
        <f ca="1">IFERROR(__xludf.DUMMYFUNCTION("""COMPUTED_VALUE"""),"Aline Aparecida Silva de Souza, matr. 36156-8")</f>
        <v>Aline Aparecida Silva de Souza, matr. 36156-8</v>
      </c>
      <c r="D223" s="3" t="str">
        <f ca="1">IFERROR(__xludf.DUMMYFUNCTION("""COMPUTED_VALUE"""),"Abandono do Cargo")</f>
        <v>Abandono do Cargo</v>
      </c>
      <c r="E223" s="3" t="str">
        <f ca="1">IFERROR(__xludf.DUMMYFUNCTION("""COMPUTED_VALUE"""),"Abandono de cargo")</f>
        <v>Abandono de cargo</v>
      </c>
      <c r="F223" s="3" t="str">
        <f ca="1">IFERROR(__xludf.DUMMYFUNCTION("""COMPUTED_VALUE"""),"Abandono de cargo/ Inassiduidade habitual.")</f>
        <v>Abandono de cargo/ Inassiduidade habitual.</v>
      </c>
      <c r="G223" s="3" t="str">
        <f ca="1">IFERROR(__xludf.DUMMYFUNCTION("""COMPUTED_VALUE"""),"Faltas injustificadas")</f>
        <v>Faltas injustificadas</v>
      </c>
      <c r="H223" s="3" t="str">
        <f ca="1">IFERROR(__xludf.DUMMYFUNCTION("""COMPUTED_VALUE"""),"Apuração de possível abandono de cargo em razão de faltas injustificadas nos períodos de 18/12/2021 a 02/01/2022 e de 01/03/2022 até o presente.
SEI-260006/035811/2026")</f>
        <v>Apuração de possível abandono de cargo em razão de faltas injustificadas nos períodos de 18/12/2021 a 02/01/2022 e de 01/03/2022 até o presente.
SEI-260006/035811/2026</v>
      </c>
      <c r="I223" s="3" t="str">
        <f ca="1">IFERROR(__xludf.DUMMYFUNCTION("""COMPUTED_VALUE"""),"Não")</f>
        <v>Não</v>
      </c>
      <c r="J223" s="5">
        <f ca="1">IFERROR(__xludf.DUMMYFUNCTION("""COMPUTED_VALUE"""),46220)</f>
        <v>46220</v>
      </c>
      <c r="K223" s="5">
        <f ca="1">IFERROR(__xludf.DUMMYFUNCTION("""COMPUTED_VALUE"""),46225)</f>
        <v>46225</v>
      </c>
      <c r="L223" s="5">
        <f ca="1">IFERROR(__xludf.DUMMYFUNCTION("""COMPUTED_VALUE"""),46405)</f>
        <v>46405</v>
      </c>
      <c r="M223" s="5">
        <f ca="1">IFERROR(__xludf.DUMMYFUNCTION("""COMPUTED_VALUE"""),46406)</f>
        <v>46406</v>
      </c>
      <c r="N223" s="3">
        <f ca="1">IFERROR(__xludf.DUMMYFUNCTION("""COMPUTED_VALUE"""),854)</f>
        <v>854</v>
      </c>
      <c r="O223" s="5">
        <f ca="1">IFERROR(__xludf.DUMMYFUNCTION("""COMPUTED_VALUE"""),47137)</f>
        <v>47137</v>
      </c>
      <c r="P223" s="3">
        <f ca="1">IFERROR(__xludf.DUMMYFUNCTION("""COMPUTED_VALUE"""),1949)</f>
        <v>1949</v>
      </c>
      <c r="Q223" s="5">
        <f ca="1">IFERROR(__xludf.DUMMYFUNCTION("""COMPUTED_VALUE"""),48232)</f>
        <v>48232</v>
      </c>
      <c r="R223" s="3" t="str">
        <f ca="1">IFERROR(__xludf.DUMMYFUNCTION("""COMPUTED_VALUE"""),"Vanessa Queiroz")</f>
        <v>Vanessa Queiroz</v>
      </c>
      <c r="S223" s="3" t="str">
        <f ca="1">IFERROR(__xludf.DUMMYFUNCTION("""COMPUTED_VALUE"""),"Franciane")</f>
        <v>Franciane</v>
      </c>
      <c r="T223" s="3" t="str">
        <f ca="1">IFERROR(__xludf.DUMMYFUNCTION("""COMPUTED_VALUE"""),"Gustavo Mozart")</f>
        <v>Gustavo Mozart</v>
      </c>
      <c r="U223" s="3" t="str">
        <f ca="1">IFERROR(__xludf.DUMMYFUNCTION("""COMPUTED_VALUE"""),"Marcelo Ferreira")</f>
        <v>Marcelo Ferreira</v>
      </c>
      <c r="V223" s="3" t="str">
        <f ca="1">IFERROR(__xludf.DUMMYFUNCTION("""COMPUTED_VALUE"""),"Não")</f>
        <v>Não</v>
      </c>
      <c r="W223" s="3" t="str">
        <f ca="1">IFERROR(__xludf.DUMMYFUNCTION("""COMPUTED_VALUE"""),"SEI-260006/006019/2026")</f>
        <v>SEI-260006/006019/2026</v>
      </c>
      <c r="X223" s="3" t="str">
        <f ca="1">IFERROR(__xludf.DUMMYFUNCTION("""COMPUTED_VALUE"""),"2- Instrução")</f>
        <v>2- Instrução</v>
      </c>
    </row>
    <row r="224" spans="1:24" x14ac:dyDescent="0.2">
      <c r="A224" s="3" t="str">
        <f ca="1">IFERROR(__xludf.DUMMYFUNCTION("""COMPUTED_VALUE"""),"512/2026")</f>
        <v>512/2026</v>
      </c>
      <c r="B224" s="3" t="str">
        <f ca="1">IFERROR(__xludf.DUMMYFUNCTION("""COMPUTED_VALUE"""),"SEI-260006/037730/2026")</f>
        <v>SEI-260006/037730/2026</v>
      </c>
      <c r="C224" s="3" t="str">
        <f ca="1">IFERROR(__xludf.DUMMYFUNCTION("""COMPUTED_VALUE"""),"Pedro Rafael Martins de Marchi, matr. 41925-9")</f>
        <v>Pedro Rafael Martins de Marchi, matr. 41925-9</v>
      </c>
      <c r="D224" s="3" t="str">
        <f ca="1">IFERROR(__xludf.DUMMYFUNCTION("""COMPUTED_VALUE"""),"Abandono do Cargo")</f>
        <v>Abandono do Cargo</v>
      </c>
      <c r="E224" s="3" t="str">
        <f ca="1">IFERROR(__xludf.DUMMYFUNCTION("""COMPUTED_VALUE"""),"Abandono de cargo")</f>
        <v>Abandono de cargo</v>
      </c>
      <c r="F224" s="3" t="str">
        <f ca="1">IFERROR(__xludf.DUMMYFUNCTION("""COMPUTED_VALUE"""),"Abandono de cargo/ Inassiduidade habitual.")</f>
        <v>Abandono de cargo/ Inassiduidade habitual.</v>
      </c>
      <c r="G224" s="3" t="str">
        <f ca="1">IFERROR(__xludf.DUMMYFUNCTION("""COMPUTED_VALUE"""),"Faltas injustificadas")</f>
        <v>Faltas injustificadas</v>
      </c>
      <c r="H224" s="3" t="str">
        <f ca="1">IFERROR(__xludf.DUMMYFUNCTION("""COMPUTED_VALUE"""),"Apuração de possível abandono de cargo em razão de faltas injustificadas do servidor no período de 06/03/2025 a 31/03/2025 e de 01/06/2025 em diante.")</f>
        <v>Apuração de possível abandono de cargo em razão de faltas injustificadas do servidor no período de 06/03/2025 a 31/03/2025 e de 01/06/2025 em diante.</v>
      </c>
      <c r="I224" s="3"/>
      <c r="J224" s="5">
        <f ca="1">IFERROR(__xludf.DUMMYFUNCTION("""COMPUTED_VALUE"""),46247)</f>
        <v>46247</v>
      </c>
      <c r="K224" s="5">
        <f ca="1">IFERROR(__xludf.DUMMYFUNCTION("""COMPUTED_VALUE"""),46248)</f>
        <v>46248</v>
      </c>
      <c r="L224" s="5">
        <f ca="1">IFERROR(__xludf.DUMMYFUNCTION("""COMPUTED_VALUE"""),46428)</f>
        <v>46428</v>
      </c>
      <c r="M224" s="5">
        <f ca="1">IFERROR(__xludf.DUMMYFUNCTION("""COMPUTED_VALUE"""),46429)</f>
        <v>46429</v>
      </c>
      <c r="N224" s="3">
        <f ca="1">IFERROR(__xludf.DUMMYFUNCTION("""COMPUTED_VALUE"""),877)</f>
        <v>877</v>
      </c>
      <c r="O224" s="5">
        <f ca="1">IFERROR(__xludf.DUMMYFUNCTION("""COMPUTED_VALUE"""),47160)</f>
        <v>47160</v>
      </c>
      <c r="P224" s="3">
        <f ca="1">IFERROR(__xludf.DUMMYFUNCTION("""COMPUTED_VALUE"""),1972)</f>
        <v>1972</v>
      </c>
      <c r="Q224" s="5">
        <f ca="1">IFERROR(__xludf.DUMMYFUNCTION("""COMPUTED_VALUE"""),48255)</f>
        <v>48255</v>
      </c>
      <c r="R224" s="3" t="str">
        <f ca="1">IFERROR(__xludf.DUMMYFUNCTION("""COMPUTED_VALUE"""),"Gustavo Seabra")</f>
        <v>Gustavo Seabra</v>
      </c>
      <c r="S224" s="3" t="str">
        <f ca="1">IFERROR(__xludf.DUMMYFUNCTION("""COMPUTED_VALUE"""),"Micheline")</f>
        <v>Micheline</v>
      </c>
      <c r="T224" s="3" t="str">
        <f ca="1">IFERROR(__xludf.DUMMYFUNCTION("""COMPUTED_VALUE"""),"Celso Luiz Pieroni")</f>
        <v>Celso Luiz Pieroni</v>
      </c>
      <c r="U224" s="3" t="str">
        <f ca="1">IFERROR(__xludf.DUMMYFUNCTION("""COMPUTED_VALUE"""),"Gustavo Mozart")</f>
        <v>Gustavo Mozart</v>
      </c>
      <c r="V224" s="3" t="str">
        <f ca="1">IFERROR(__xludf.DUMMYFUNCTION("""COMPUTED_VALUE"""),"Não")</f>
        <v>Não</v>
      </c>
      <c r="W224" s="3" t="str">
        <f ca="1">IFERROR(__xludf.DUMMYFUNCTION("""COMPUTED_VALUE"""),"SEI-260006/018678/2025")</f>
        <v>SEI-260006/018678/2025</v>
      </c>
      <c r="X224" s="3" t="str">
        <f ca="1">IFERROR(__xludf.DUMMYFUNCTION("""COMPUTED_VALUE"""),"2- Instrução")</f>
        <v>2- Instrução</v>
      </c>
    </row>
    <row r="225" spans="1:24" x14ac:dyDescent="0.2">
      <c r="A225" s="3" t="str">
        <f ca="1">IFERROR(__xludf.DUMMYFUNCTION("""COMPUTED_VALUE"""),"513/2026")</f>
        <v>513/2026</v>
      </c>
      <c r="B225" s="3" t="str">
        <f ca="1">IFERROR(__xludf.DUMMYFUNCTION("""COMPUTED_VALUE"""),"SEI-260006/037744/2026")</f>
        <v>SEI-260006/037744/2026</v>
      </c>
      <c r="C225" s="3" t="str">
        <f ca="1">IFERROR(__xludf.DUMMYFUNCTION("""COMPUTED_VALUE"""),"Rafael Ferreira da Costa, matr. 34842-5")</f>
        <v>Rafael Ferreira da Costa, matr. 34842-5</v>
      </c>
      <c r="D225" s="3" t="str">
        <f ca="1">IFERROR(__xludf.DUMMYFUNCTION("""COMPUTED_VALUE"""),"Acumulação Ilegal")</f>
        <v>Acumulação Ilegal</v>
      </c>
      <c r="E225" s="3" t="str">
        <f ca="1">IFERROR(__xludf.DUMMYFUNCTION("""COMPUTED_VALUE"""),"Acumulação de cargos")</f>
        <v>Acumulação de cargos</v>
      </c>
      <c r="F225" s="3" t="str">
        <f ca="1">IFERROR(__xludf.DUMMYFUNCTION("""COMPUTED_VALUE"""),"Acumulação de cargos.")</f>
        <v>Acumulação de cargos.</v>
      </c>
      <c r="G225" s="3" t="str">
        <f ca="1">IFERROR(__xludf.DUMMYFUNCTION("""COMPUTED_VALUE"""),"Acumulação de cargos")</f>
        <v>Acumulação de cargos</v>
      </c>
      <c r="H225" s="3" t="str">
        <f ca="1">IFERROR(__xludf.DUMMYFUNCTION("""COMPUTED_VALUE"""),"Apuração de possível nova tríplice acumulação de cargos públicos no período de 18/04/2024 a 24/05/2024, mantendo simultaneamente os vínculos de Enfermeiro na UERJ (matr. 34842-5), Professor Adjunto na UERJ (matr. 42531-4) e Enfermeiro na Prefeitura de Duq"&amp;"ue de Caxias (matr. 15870-4).")</f>
        <v>Apuração de possível nova tríplice acumulação de cargos públicos no período de 18/04/2024 a 24/05/2024, mantendo simultaneamente os vínculos de Enfermeiro na UERJ (matr. 34842-5), Professor Adjunto na UERJ (matr. 42531-4) e Enfermeiro na Prefeitura de Duque de Caxias (matr. 15870-4).</v>
      </c>
      <c r="I225" s="3"/>
      <c r="J225" s="5">
        <f ca="1">IFERROR(__xludf.DUMMYFUNCTION("""COMPUTED_VALUE"""),46226)</f>
        <v>46226</v>
      </c>
      <c r="K225" s="5">
        <f ca="1">IFERROR(__xludf.DUMMYFUNCTION("""COMPUTED_VALUE"""),46231)</f>
        <v>46231</v>
      </c>
      <c r="L225" s="5">
        <f ca="1">IFERROR(__xludf.DUMMYFUNCTION("""COMPUTED_VALUE"""),46411)</f>
        <v>46411</v>
      </c>
      <c r="M225" s="5">
        <f ca="1">IFERROR(__xludf.DUMMYFUNCTION("""COMPUTED_VALUE"""),46412)</f>
        <v>46412</v>
      </c>
      <c r="N225" s="3">
        <f ca="1">IFERROR(__xludf.DUMMYFUNCTION("""COMPUTED_VALUE"""),860)</f>
        <v>860</v>
      </c>
      <c r="O225" s="5">
        <f ca="1">IFERROR(__xludf.DUMMYFUNCTION("""COMPUTED_VALUE"""),47143)</f>
        <v>47143</v>
      </c>
      <c r="P225" s="3">
        <f ca="1">IFERROR(__xludf.DUMMYFUNCTION("""COMPUTED_VALUE"""),1955)</f>
        <v>1955</v>
      </c>
      <c r="Q225" s="5">
        <f ca="1">IFERROR(__xludf.DUMMYFUNCTION("""COMPUTED_VALUE"""),48238)</f>
        <v>48238</v>
      </c>
      <c r="R225" s="3" t="str">
        <f ca="1">IFERROR(__xludf.DUMMYFUNCTION("""COMPUTED_VALUE"""),"Bianca Faertes")</f>
        <v>Bianca Faertes</v>
      </c>
      <c r="S225" s="3" t="str">
        <f ca="1">IFERROR(__xludf.DUMMYFUNCTION("""COMPUTED_VALUE"""),"Patrícia")</f>
        <v>Patrícia</v>
      </c>
      <c r="T225" s="3" t="str">
        <f ca="1">IFERROR(__xludf.DUMMYFUNCTION("""COMPUTED_VALUE"""),"Ariane Serpa")</f>
        <v>Ariane Serpa</v>
      </c>
      <c r="U225" s="3" t="str">
        <f ca="1">IFERROR(__xludf.DUMMYFUNCTION("""COMPUTED_VALUE"""),"Gustavo Mozart")</f>
        <v>Gustavo Mozart</v>
      </c>
      <c r="V225" s="3" t="str">
        <f ca="1">IFERROR(__xludf.DUMMYFUNCTION("""COMPUTED_VALUE"""),"Não")</f>
        <v>Não</v>
      </c>
      <c r="W225" s="3" t="str">
        <f ca="1">IFERROR(__xludf.DUMMYFUNCTION("""COMPUTED_VALUE"""),"SEI-260007/002779/2020")</f>
        <v>SEI-260007/002779/2020</v>
      </c>
      <c r="X225" s="3" t="str">
        <f ca="1">IFERROR(__xludf.DUMMYFUNCTION("""COMPUTED_VALUE"""),"2- Instrução")</f>
        <v>2- Instrução</v>
      </c>
    </row>
    <row r="226" spans="1:24" x14ac:dyDescent="0.2">
      <c r="A226" s="3" t="str">
        <f ca="1">IFERROR(__xludf.DUMMYFUNCTION("""COMPUTED_VALUE"""),"514/2026")</f>
        <v>514/2026</v>
      </c>
      <c r="B226" s="3" t="str">
        <f ca="1">IFERROR(__xludf.DUMMYFUNCTION("""COMPUTED_VALUE"""),"SEI-260006/040128/2026")</f>
        <v>SEI-260006/040128/2026</v>
      </c>
      <c r="C226" s="3" t="str">
        <f ca="1">IFERROR(__xludf.DUMMYFUNCTION("""COMPUTED_VALUE"""),"Paulo Alex Nacif Lube Junior, matr. 42590-0")</f>
        <v>Paulo Alex Nacif Lube Junior, matr. 42590-0</v>
      </c>
      <c r="D226" s="3" t="str">
        <f ca="1">IFERROR(__xludf.DUMMYFUNCTION("""COMPUTED_VALUE"""),"Assédio moral/sexual/discriminação.")</f>
        <v>Assédio moral/sexual/discriminação.</v>
      </c>
      <c r="E226" s="3" t="str">
        <f ca="1">IFERROR(__xludf.DUMMYFUNCTION("""COMPUTED_VALUE"""),"Assédio moral")</f>
        <v>Assédio moral</v>
      </c>
      <c r="F226" s="3" t="str">
        <f ca="1">IFERROR(__xludf.DUMMYFUNCTION("""COMPUTED_VALUE"""),"Assédio moral/sexual/discriminação.")</f>
        <v>Assédio moral/sexual/discriminação.</v>
      </c>
      <c r="G226" s="3" t="str">
        <f ca="1">IFERROR(__xludf.DUMMYFUNCTION("""COMPUTED_VALUE"""),"Assédio moral
Perseguição
Descumprimentos deveres funcionais")</f>
        <v>Assédio moral
Perseguição
Descumprimentos deveres funcionais</v>
      </c>
      <c r="H226" s="3" t="str">
        <f ca="1">IFERROR(__xludf.DUMMYFUNCTION("""COMPUTED_VALUE"""),"Apuração de indícios de cometimento de assédio moral, perseguição e descumprimento de deveres funcionais.")</f>
        <v>Apuração de indícios de cometimento de assédio moral, perseguição e descumprimento de deveres funcionais.</v>
      </c>
      <c r="I226" s="3" t="str">
        <f ca="1">IFERROR(__xludf.DUMMYFUNCTION("""COMPUTED_VALUE"""),"Não")</f>
        <v>Não</v>
      </c>
      <c r="J226" s="5">
        <f ca="1">IFERROR(__xludf.DUMMYFUNCTION("""COMPUTED_VALUE"""),46254)</f>
        <v>46254</v>
      </c>
      <c r="K226" s="5">
        <f ca="1">IFERROR(__xludf.DUMMYFUNCTION("""COMPUTED_VALUE"""),46255)</f>
        <v>46255</v>
      </c>
      <c r="L226" s="5">
        <f ca="1">IFERROR(__xludf.DUMMYFUNCTION("""COMPUTED_VALUE"""),46435)</f>
        <v>46435</v>
      </c>
      <c r="M226" s="5">
        <f ca="1">IFERROR(__xludf.DUMMYFUNCTION("""COMPUTED_VALUE"""),46436)</f>
        <v>46436</v>
      </c>
      <c r="N226" s="3">
        <f ca="1">IFERROR(__xludf.DUMMYFUNCTION("""COMPUTED_VALUE"""),884)</f>
        <v>884</v>
      </c>
      <c r="O226" s="5">
        <f ca="1">IFERROR(__xludf.DUMMYFUNCTION("""COMPUTED_VALUE"""),47167)</f>
        <v>47167</v>
      </c>
      <c r="P226" s="3">
        <f ca="1">IFERROR(__xludf.DUMMYFUNCTION("""COMPUTED_VALUE"""),1979)</f>
        <v>1979</v>
      </c>
      <c r="Q226" s="5">
        <f ca="1">IFERROR(__xludf.DUMMYFUNCTION("""COMPUTED_VALUE"""),48262)</f>
        <v>48262</v>
      </c>
      <c r="R226" s="3" t="str">
        <f ca="1">IFERROR(__xludf.DUMMYFUNCTION("""COMPUTED_VALUE"""),"Vanessa Queiroz")</f>
        <v>Vanessa Queiroz</v>
      </c>
      <c r="S226" s="3" t="str">
        <f ca="1">IFERROR(__xludf.DUMMYFUNCTION("""COMPUTED_VALUE"""),"Débora")</f>
        <v>Débora</v>
      </c>
      <c r="T226" s="3" t="str">
        <f ca="1">IFERROR(__xludf.DUMMYFUNCTION("""COMPUTED_VALUE"""),"Felipe Perdigão")</f>
        <v>Felipe Perdigão</v>
      </c>
      <c r="U226" s="3" t="str">
        <f ca="1">IFERROR(__xludf.DUMMYFUNCTION("""COMPUTED_VALUE"""),"Hannah Oliveira")</f>
        <v>Hannah Oliveira</v>
      </c>
      <c r="V226" s="3" t="str">
        <f ca="1">IFERROR(__xludf.DUMMYFUNCTION("""COMPUTED_VALUE"""),"Não")</f>
        <v>Não</v>
      </c>
      <c r="W226" s="3" t="str">
        <f ca="1">IFERROR(__xludf.DUMMYFUNCTION("""COMPUTED_VALUE"""),"SEI-260006/064914/2025")</f>
        <v>SEI-260006/064914/2025</v>
      </c>
      <c r="X226" s="3" t="str">
        <f ca="1">IFERROR(__xludf.DUMMYFUNCTION("""COMPUTED_VALUE"""),"2- Instrução")</f>
        <v>2- Instrução</v>
      </c>
    </row>
    <row r="227" spans="1:24" x14ac:dyDescent="0.2">
      <c r="A227" s="3" t="str">
        <f ca="1">IFERROR(__xludf.DUMMYFUNCTION("""COMPUTED_VALUE"""),"515/2026")</f>
        <v>515/2026</v>
      </c>
      <c r="B227" s="3" t="str">
        <f ca="1">IFERROR(__xludf.DUMMYFUNCTION("""COMPUTED_VALUE"""),"SEI-260006/040210/2026")</f>
        <v>SEI-260006/040210/2026</v>
      </c>
      <c r="C227" s="3" t="str">
        <f ca="1">IFERROR(__xludf.DUMMYFUNCTION("""COMPUTED_VALUE"""),"Glauce Albuquerque Barzano, matr. 38846-2")</f>
        <v>Glauce Albuquerque Barzano, matr. 38846-2</v>
      </c>
      <c r="D227" s="3" t="str">
        <f ca="1">IFERROR(__xludf.DUMMYFUNCTION("""COMPUTED_VALUE"""),"Abandono do Cargo")</f>
        <v>Abandono do Cargo</v>
      </c>
      <c r="E227" s="3" t="str">
        <f ca="1">IFERROR(__xludf.DUMMYFUNCTION("""COMPUTED_VALUE"""),"Abandono de cargo")</f>
        <v>Abandono de cargo</v>
      </c>
      <c r="F227" s="3" t="str">
        <f ca="1">IFERROR(__xludf.DUMMYFUNCTION("""COMPUTED_VALUE"""),"Abandono de cargo/ Inassiduidade habitual.")</f>
        <v>Abandono de cargo/ Inassiduidade habitual.</v>
      </c>
      <c r="G227" s="3" t="str">
        <f ca="1">IFERROR(__xludf.DUMMYFUNCTION("""COMPUTED_VALUE"""),"Faltas injustificadas")</f>
        <v>Faltas injustificadas</v>
      </c>
      <c r="H227" s="3" t="str">
        <f ca="1">IFERROR(__xludf.DUMMYFUNCTION("""COMPUTED_VALUE"""),"Apuração de faltas injustificadas no período de 06/06/2025 a 24/06/2025.")</f>
        <v>Apuração de faltas injustificadas no período de 06/06/2025 a 24/06/2025.</v>
      </c>
      <c r="I227" s="3" t="str">
        <f ca="1">IFERROR(__xludf.DUMMYFUNCTION("""COMPUTED_VALUE"""),"Não")</f>
        <v>Não</v>
      </c>
      <c r="J227" s="5">
        <f ca="1">IFERROR(__xludf.DUMMYFUNCTION("""COMPUTED_VALUE"""),46254)</f>
        <v>46254</v>
      </c>
      <c r="K227" s="5">
        <f ca="1">IFERROR(__xludf.DUMMYFUNCTION("""COMPUTED_VALUE"""),46255)</f>
        <v>46255</v>
      </c>
      <c r="L227" s="5">
        <f ca="1">IFERROR(__xludf.DUMMYFUNCTION("""COMPUTED_VALUE"""),46435)</f>
        <v>46435</v>
      </c>
      <c r="M227" s="5">
        <f ca="1">IFERROR(__xludf.DUMMYFUNCTION("""COMPUTED_VALUE"""),46436)</f>
        <v>46436</v>
      </c>
      <c r="N227" s="3">
        <f ca="1">IFERROR(__xludf.DUMMYFUNCTION("""COMPUTED_VALUE"""),884)</f>
        <v>884</v>
      </c>
      <c r="O227" s="5">
        <f ca="1">IFERROR(__xludf.DUMMYFUNCTION("""COMPUTED_VALUE"""),47167)</f>
        <v>47167</v>
      </c>
      <c r="P227" s="3">
        <f ca="1">IFERROR(__xludf.DUMMYFUNCTION("""COMPUTED_VALUE"""),1979)</f>
        <v>1979</v>
      </c>
      <c r="Q227" s="5">
        <f ca="1">IFERROR(__xludf.DUMMYFUNCTION("""COMPUTED_VALUE"""),48262)</f>
        <v>48262</v>
      </c>
      <c r="R227" s="3" t="str">
        <f ca="1">IFERROR(__xludf.DUMMYFUNCTION("""COMPUTED_VALUE"""),"Alessandra Abelheira")</f>
        <v>Alessandra Abelheira</v>
      </c>
      <c r="S227" s="3" t="str">
        <f ca="1">IFERROR(__xludf.DUMMYFUNCTION("""COMPUTED_VALUE"""),"Isadora")</f>
        <v>Isadora</v>
      </c>
      <c r="T227" s="3" t="str">
        <f ca="1">IFERROR(__xludf.DUMMYFUNCTION("""COMPUTED_VALUE"""),"Ariane Serpa")</f>
        <v>Ariane Serpa</v>
      </c>
      <c r="U227" s="3" t="str">
        <f ca="1">IFERROR(__xludf.DUMMYFUNCTION("""COMPUTED_VALUE"""),"Marcelo Ferreira")</f>
        <v>Marcelo Ferreira</v>
      </c>
      <c r="V227" s="3" t="str">
        <f ca="1">IFERROR(__xludf.DUMMYFUNCTION("""COMPUTED_VALUE"""),"Não")</f>
        <v>Não</v>
      </c>
      <c r="W227" s="3" t="str">
        <f ca="1">IFERROR(__xludf.DUMMYFUNCTION("""COMPUTED_VALUE"""),"SEI-260006/036976/2025")</f>
        <v>SEI-260006/036976/2025</v>
      </c>
      <c r="X227" s="3" t="str">
        <f ca="1">IFERROR(__xludf.DUMMYFUNCTION("""COMPUTED_VALUE"""),"2- Instrução")</f>
        <v>2- Instrução</v>
      </c>
    </row>
    <row r="228" spans="1:24" x14ac:dyDescent="0.2">
      <c r="A228" s="3" t="str">
        <f ca="1">IFERROR(__xludf.DUMMYFUNCTION("""COMPUTED_VALUE"""),"516/2026")</f>
        <v>516/2026</v>
      </c>
      <c r="B228" s="3" t="str">
        <f ca="1">IFERROR(__xludf.DUMMYFUNCTION("""COMPUTED_VALUE"""),"SEI-260006/041874/2026")</f>
        <v>SEI-260006/041874/2026</v>
      </c>
      <c r="C228" s="3" t="str">
        <f ca="1">IFERROR(__xludf.DUMMYFUNCTION("""COMPUTED_VALUE"""),"Cláudia Henrique da Costa (matrícula nº 32.399-8) e Eduardo Martins Gonçalves (matrícula nº 41.579-4),")</f>
        <v>Cláudia Henrique da Costa (matrícula nº 32.399-8) e Eduardo Martins Gonçalves (matrícula nº 41.579-4),</v>
      </c>
      <c r="D228" s="3"/>
      <c r="E228" s="3"/>
      <c r="F228" s="3"/>
      <c r="G228" s="3"/>
      <c r="H228" s="3" t="str">
        <f ca="1">IFERROR(__xludf.DUMMYFUNCTION("""COMPUTED_VALUE"""),"por infração aos deveres funcionais estatuídos no Decreto-Lei 220/75, notadamente os incisos V, VI, VII e X do artigo 39, incisos I e II do artigo 50 e artigo 51 do referido diploma, visando a imposição das sanções disciplinares cabíveis e o ressarcimento"&amp;" integral dos valores pagos indevidamente;")</f>
        <v>por infração aos deveres funcionais estatuídos no Decreto-Lei 220/75, notadamente os incisos V, VI, VII e X do artigo 39, incisos I e II do artigo 50 e artigo 51 do referido diploma, visando a imposição das sanções disciplinares cabíveis e o ressarcimento integral dos valores pagos indevidamente;</v>
      </c>
      <c r="I228" s="3"/>
      <c r="J228" s="5">
        <f ca="1">IFERROR(__xludf.DUMMYFUNCTION("""COMPUTED_VALUE"""),46246)</f>
        <v>46246</v>
      </c>
      <c r="K228" s="5">
        <f ca="1">IFERROR(__xludf.DUMMYFUNCTION("""COMPUTED_VALUE"""),46247)</f>
        <v>46247</v>
      </c>
      <c r="L228" s="5">
        <f ca="1">IFERROR(__xludf.DUMMYFUNCTION("""COMPUTED_VALUE"""),46427)</f>
        <v>46427</v>
      </c>
      <c r="M228" s="5">
        <f ca="1">IFERROR(__xludf.DUMMYFUNCTION("""COMPUTED_VALUE"""),46428)</f>
        <v>46428</v>
      </c>
      <c r="N228" s="3">
        <f ca="1">IFERROR(__xludf.DUMMYFUNCTION("""COMPUTED_VALUE"""),876)</f>
        <v>876</v>
      </c>
      <c r="O228" s="5">
        <f ca="1">IFERROR(__xludf.DUMMYFUNCTION("""COMPUTED_VALUE"""),47159)</f>
        <v>47159</v>
      </c>
      <c r="P228" s="3">
        <f ca="1">IFERROR(__xludf.DUMMYFUNCTION("""COMPUTED_VALUE"""),1971)</f>
        <v>1971</v>
      </c>
      <c r="Q228" s="5">
        <f ca="1">IFERROR(__xludf.DUMMYFUNCTION("""COMPUTED_VALUE"""),48254)</f>
        <v>48254</v>
      </c>
      <c r="R228" s="3" t="str">
        <f ca="1">IFERROR(__xludf.DUMMYFUNCTION("""COMPUTED_VALUE"""),"Gabriel Moraes")</f>
        <v>Gabriel Moraes</v>
      </c>
      <c r="S228" s="3" t="str">
        <f ca="1">IFERROR(__xludf.DUMMYFUNCTION("""COMPUTED_VALUE"""),"Patrícia")</f>
        <v>Patrícia</v>
      </c>
      <c r="T228" s="3" t="str">
        <f ca="1">IFERROR(__xludf.DUMMYFUNCTION("""COMPUTED_VALUE"""),"Ariane Serpa")</f>
        <v>Ariane Serpa</v>
      </c>
      <c r="U228" s="3" t="str">
        <f ca="1">IFERROR(__xludf.DUMMYFUNCTION("""COMPUTED_VALUE"""),"Hannah Oliveira")</f>
        <v>Hannah Oliveira</v>
      </c>
      <c r="V228" s="3"/>
      <c r="W228" s="3" t="str">
        <f ca="1">IFERROR(__xludf.DUMMYFUNCTION("""COMPUTED_VALUE"""),"SEI-260007/007831/2025")</f>
        <v>SEI-260007/007831/2025</v>
      </c>
      <c r="X228" s="3" t="str">
        <f ca="1">IFERROR(__xludf.DUMMYFUNCTION("""COMPUTED_VALUE"""),"1-  Aguardando instalação")</f>
        <v>1-  Aguardando instalação</v>
      </c>
    </row>
    <row r="229" spans="1:24" x14ac:dyDescent="0.2">
      <c r="A229" s="3" t="str">
        <f ca="1">IFERROR(__xludf.DUMMYFUNCTION("""COMPUTED_VALUE"""),"517/2026")</f>
        <v>517/2026</v>
      </c>
      <c r="B229" s="3" t="str">
        <f ca="1">IFERROR(__xludf.DUMMYFUNCTION("""COMPUTED_VALUE"""),"SEI-260006/042444/2026")</f>
        <v>SEI-260006/042444/2026</v>
      </c>
      <c r="C229" s="3" t="str">
        <f ca="1">IFERROR(__xludf.DUMMYFUNCTION("""COMPUTED_VALUE"""),"Gerson Oliveira dos Anjos Junior, matr. 33517-4
Francisco José dos Santos Alves, matr. 35247-6")</f>
        <v>Gerson Oliveira dos Anjos Junior, matr. 33517-4
Francisco José dos Santos Alves, matr. 35247-6</v>
      </c>
      <c r="D229" s="3" t="str">
        <f ca="1">IFERROR(__xludf.DUMMYFUNCTION("""COMPUTED_VALUE"""),"Desvio de conduta")</f>
        <v>Desvio de conduta</v>
      </c>
      <c r="E229" s="3" t="str">
        <f ca="1">IFERROR(__xludf.DUMMYFUNCTION("""COMPUTED_VALUE"""),"Desvio de conduta")</f>
        <v>Desvio de conduta</v>
      </c>
      <c r="F229" s="3" t="str">
        <f ca="1">IFERROR(__xludf.DUMMYFUNCTION("""COMPUTED_VALUE"""),"Outros.")</f>
        <v>Outros.</v>
      </c>
      <c r="G229" s="3" t="str">
        <f ca="1">IFERROR(__xludf.DUMMYFUNCTION("""COMPUTED_VALUE"""),"Outros")</f>
        <v>Outros</v>
      </c>
      <c r="H229" s="3" t="str">
        <f ca="1">IFERROR(__xludf.DUMMYFUNCTION("""COMPUTED_VALUE"""),"Apuração de responsabilidade disciplinar decorrente de desentendimentos e supostos ilícitos funcionais ocorridos nas dependências da Faculdade de Administração e Finanças (FAF/UERJ);")</f>
        <v>Apuração de responsabilidade disciplinar decorrente de desentendimentos e supostos ilícitos funcionais ocorridos nas dependências da Faculdade de Administração e Finanças (FAF/UERJ);</v>
      </c>
      <c r="I229" s="3" t="str">
        <f ca="1">IFERROR(__xludf.DUMMYFUNCTION("""COMPUTED_VALUE"""),"Não")</f>
        <v>Não</v>
      </c>
      <c r="J229" s="5">
        <f ca="1">IFERROR(__xludf.DUMMYFUNCTION("""COMPUTED_VALUE"""),46245)</f>
        <v>46245</v>
      </c>
      <c r="K229" s="5">
        <f ca="1">IFERROR(__xludf.DUMMYFUNCTION("""COMPUTED_VALUE"""),46247)</f>
        <v>46247</v>
      </c>
      <c r="L229" s="5">
        <f ca="1">IFERROR(__xludf.DUMMYFUNCTION("""COMPUTED_VALUE"""),46427)</f>
        <v>46427</v>
      </c>
      <c r="M229" s="5">
        <f ca="1">IFERROR(__xludf.DUMMYFUNCTION("""COMPUTED_VALUE"""),46428)</f>
        <v>46428</v>
      </c>
      <c r="N229" s="3">
        <f ca="1">IFERROR(__xludf.DUMMYFUNCTION("""COMPUTED_VALUE"""),876)</f>
        <v>876</v>
      </c>
      <c r="O229" s="5">
        <f ca="1">IFERROR(__xludf.DUMMYFUNCTION("""COMPUTED_VALUE"""),47159)</f>
        <v>47159</v>
      </c>
      <c r="P229" s="3">
        <f ca="1">IFERROR(__xludf.DUMMYFUNCTION("""COMPUTED_VALUE"""),1971)</f>
        <v>1971</v>
      </c>
      <c r="Q229" s="5">
        <f ca="1">IFERROR(__xludf.DUMMYFUNCTION("""COMPUTED_VALUE"""),48254)</f>
        <v>48254</v>
      </c>
      <c r="R229" s="3" t="str">
        <f ca="1">IFERROR(__xludf.DUMMYFUNCTION("""COMPUTED_VALUE"""),"Rodrigo Marcellino")</f>
        <v>Rodrigo Marcellino</v>
      </c>
      <c r="S229" s="3" t="str">
        <f ca="1">IFERROR(__xludf.DUMMYFUNCTION("""COMPUTED_VALUE"""),"Micheline")</f>
        <v>Micheline</v>
      </c>
      <c r="T229" s="3" t="str">
        <f ca="1">IFERROR(__xludf.DUMMYFUNCTION("""COMPUTED_VALUE"""),"Celso Luiz Pieroni")</f>
        <v>Celso Luiz Pieroni</v>
      </c>
      <c r="U229" s="3" t="str">
        <f ca="1">IFERROR(__xludf.DUMMYFUNCTION("""COMPUTED_VALUE"""),"Thiago Rocha")</f>
        <v>Thiago Rocha</v>
      </c>
      <c r="V229" s="3" t="str">
        <f ca="1">IFERROR(__xludf.DUMMYFUNCTION("""COMPUTED_VALUE"""),"Não")</f>
        <v>Não</v>
      </c>
      <c r="W229" s="3" t="str">
        <f ca="1">IFERROR(__xludf.DUMMYFUNCTION("""COMPUTED_VALUE"""),"SEI-260006/037624/2025")</f>
        <v>SEI-260006/037624/2025</v>
      </c>
      <c r="X229" s="3" t="str">
        <f ca="1">IFERROR(__xludf.DUMMYFUNCTION("""COMPUTED_VALUE"""),"1-  Aguardando instalação")</f>
        <v>1-  Aguardando instalação</v>
      </c>
    </row>
    <row r="230" spans="1:24" x14ac:dyDescent="0.2">
      <c r="A230" s="3" t="str">
        <f ca="1">IFERROR(__xludf.DUMMYFUNCTION("""COMPUTED_VALUE"""),"518/2026")</f>
        <v>518/2026</v>
      </c>
      <c r="B230" s="3" t="str">
        <f ca="1">IFERROR(__xludf.DUMMYFUNCTION("""COMPUTED_VALUE"""),"SEI-260006/043267/2026")</f>
        <v>SEI-260006/043267/2026</v>
      </c>
      <c r="C230" s="3" t="str">
        <f ca="1">IFERROR(__xludf.DUMMYFUNCTION("""COMPUTED_VALUE"""),"Creuza Dolores da Silva de Moura 380774, Marcos Bastos Pereira 0317008  e Celso Mário Costa Lara 353144")</f>
        <v>Creuza Dolores da Silva de Moura 380774, Marcos Bastos Pereira 0317008  e Celso Mário Costa Lara 353144</v>
      </c>
      <c r="D230" s="3"/>
      <c r="E230" s="3"/>
      <c r="F230" s="3"/>
      <c r="G230" s="3"/>
      <c r="H230" s="3" t="str">
        <f ca="1">IFERROR(__xludf.DUMMYFUNCTION("""COMPUTED_VALUE"""),"PROCESSO Nº SEI-260006/011075/2026 - ACOLHO a manifestação da CGUERJ 140789817 e DETERMINO a instauração de processo administrativo disciplinar na forma do despacho 140960586")</f>
        <v>PROCESSO Nº SEI-260006/011075/2026 - ACOLHO a manifestação da CGUERJ 140789817 e DETERMINO a instauração de processo administrativo disciplinar na forma do despacho 140960586</v>
      </c>
      <c r="I230" s="3"/>
      <c r="J230" s="5">
        <f ca="1">IFERROR(__xludf.DUMMYFUNCTION("""COMPUTED_VALUE"""),46273)</f>
        <v>46273</v>
      </c>
      <c r="K230" s="5">
        <f ca="1">IFERROR(__xludf.DUMMYFUNCTION("""COMPUTED_VALUE"""),46275)</f>
        <v>46275</v>
      </c>
      <c r="L230" s="5">
        <f ca="1">IFERROR(__xludf.DUMMYFUNCTION("""COMPUTED_VALUE"""),46455)</f>
        <v>46455</v>
      </c>
      <c r="M230" s="5">
        <f ca="1">IFERROR(__xludf.DUMMYFUNCTION("""COMPUTED_VALUE"""),46456)</f>
        <v>46456</v>
      </c>
      <c r="N230" s="3">
        <f ca="1">IFERROR(__xludf.DUMMYFUNCTION("""COMPUTED_VALUE"""),904)</f>
        <v>904</v>
      </c>
      <c r="O230" s="5">
        <f ca="1">IFERROR(__xludf.DUMMYFUNCTION("""COMPUTED_VALUE"""),47187)</f>
        <v>47187</v>
      </c>
      <c r="P230" s="3">
        <f ca="1">IFERROR(__xludf.DUMMYFUNCTION("""COMPUTED_VALUE"""),2000)</f>
        <v>2000</v>
      </c>
      <c r="Q230" s="5">
        <f ca="1">IFERROR(__xludf.DUMMYFUNCTION("""COMPUTED_VALUE"""),48283)</f>
        <v>48283</v>
      </c>
      <c r="R230" s="3" t="str">
        <f ca="1">IFERROR(__xludf.DUMMYFUNCTION("""COMPUTED_VALUE"""),"Marcelo Bento")</f>
        <v>Marcelo Bento</v>
      </c>
      <c r="S230" s="3" t="str">
        <f ca="1">IFERROR(__xludf.DUMMYFUNCTION("""COMPUTED_VALUE"""),"Débora")</f>
        <v>Débora</v>
      </c>
      <c r="T230" s="3" t="str">
        <f ca="1">IFERROR(__xludf.DUMMYFUNCTION("""COMPUTED_VALUE"""),"Gustavo Mozart")</f>
        <v>Gustavo Mozart</v>
      </c>
      <c r="U230" s="3" t="str">
        <f ca="1">IFERROR(__xludf.DUMMYFUNCTION("""COMPUTED_VALUE"""),"Patrícia Glioche")</f>
        <v>Patrícia Glioche</v>
      </c>
      <c r="V230" s="3"/>
      <c r="W230" s="3" t="str">
        <f ca="1">IFERROR(__xludf.DUMMYFUNCTION("""COMPUTED_VALUE"""),"SEI-260006/011075/2026")</f>
        <v>SEI-260006/011075/2026</v>
      </c>
      <c r="X230" s="3" t="str">
        <f ca="1">IFERROR(__xludf.DUMMYFUNCTION("""COMPUTED_VALUE"""),"1-  Aguardando instalação")</f>
        <v>1-  Aguardando instalação</v>
      </c>
    </row>
    <row r="231" spans="1:24" x14ac:dyDescent="0.2">
      <c r="A231" s="3"/>
      <c r="B231" s="3"/>
      <c r="C231" s="3" t="str">
        <f ca="1">IFERROR(__xludf.DUMMYFUNCTION("""COMPUTED_VALUE"""),"Anderson Luiz dos Santos Ribeiro, matrícula 37.076-7")</f>
        <v>Anderson Luiz dos Santos Ribeiro, matrícula 37.076-7</v>
      </c>
      <c r="D231" s="3"/>
      <c r="E231" s="3"/>
      <c r="F231" s="3"/>
      <c r="G231" s="3"/>
      <c r="H231" s="3" t="str">
        <f ca="1">IFERROR(__xludf.DUMMYFUNCTION("""COMPUTED_VALUE"""),"PROCESSO Nº SEI-260006/032061/2026 - ACOLHO o parecer da PGUERJ e DETERMINO a instauração de processo administrativo disciplinar, na forma do despacho 139539070. Processo nº SEI260006/032061/2026.")</f>
        <v>PROCESSO Nº SEI-260006/032061/2026 - ACOLHO o parecer da PGUERJ e DETERMINO a instauração de processo administrativo disciplinar, na forma do despacho 139539070. Processo nº SEI260006/032061/2026.</v>
      </c>
      <c r="I231" s="3"/>
      <c r="J231" s="5">
        <f ca="1">IFERROR(__xludf.DUMMYFUNCTION("""COMPUTED_VALUE"""),46255)</f>
        <v>46255</v>
      </c>
      <c r="K231" s="5">
        <f ca="1">IFERROR(__xludf.DUMMYFUNCTION("""COMPUTED_VALUE"""),46258)</f>
        <v>46258</v>
      </c>
      <c r="L231" s="5">
        <f ca="1">IFERROR(__xludf.DUMMYFUNCTION("""COMPUTED_VALUE"""),46438)</f>
        <v>46438</v>
      </c>
      <c r="M231" s="5">
        <f ca="1">IFERROR(__xludf.DUMMYFUNCTION("""COMPUTED_VALUE"""),46439)</f>
        <v>46439</v>
      </c>
      <c r="N231" s="3">
        <f ca="1">IFERROR(__xludf.DUMMYFUNCTION("""COMPUTED_VALUE"""),887)</f>
        <v>887</v>
      </c>
      <c r="O231" s="5">
        <f ca="1">IFERROR(__xludf.DUMMYFUNCTION("""COMPUTED_VALUE"""),47170)</f>
        <v>47170</v>
      </c>
      <c r="P231" s="3">
        <f ca="1">IFERROR(__xludf.DUMMYFUNCTION("""COMPUTED_VALUE"""),1982)</f>
        <v>1982</v>
      </c>
      <c r="Q231" s="5">
        <f ca="1">IFERROR(__xludf.DUMMYFUNCTION("""COMPUTED_VALUE"""),48265)</f>
        <v>48265</v>
      </c>
      <c r="R231" s="3"/>
      <c r="S231" s="3"/>
      <c r="T231" s="3"/>
      <c r="U231" s="3"/>
      <c r="V231" s="3"/>
      <c r="W231" s="3" t="str">
        <f ca="1">IFERROR(__xludf.DUMMYFUNCTION("""COMPUTED_VALUE"""),"SEI-260006/032061/2026")</f>
        <v>SEI-260006/032061/2026</v>
      </c>
      <c r="X231" s="3" t="str">
        <f ca="1">IFERROR(__xludf.DUMMYFUNCTION("""COMPUTED_VALUE"""),"S-Aguardando abertura")</f>
        <v>S-Aguardando abertura</v>
      </c>
    </row>
    <row r="232" spans="1:24" x14ac:dyDescent="0.2">
      <c r="A232" s="3"/>
      <c r="B232" s="3"/>
      <c r="C232" s="3"/>
      <c r="D232" s="3"/>
      <c r="E232" s="3"/>
      <c r="F232" s="3"/>
      <c r="G232" s="3"/>
      <c r="H232" s="3"/>
      <c r="I232" s="3"/>
      <c r="J232" s="3"/>
      <c r="K232" s="3"/>
      <c r="L232" s="5">
        <f ca="1">IFERROR(__xludf.DUMMYFUNCTION("""COMPUTED_VALUE"""),180)</f>
        <v>180</v>
      </c>
      <c r="M232" s="5">
        <f ca="1">IFERROR(__xludf.DUMMYFUNCTION("""COMPUTED_VALUE"""),181)</f>
        <v>181</v>
      </c>
      <c r="N232" s="3" t="str">
        <f ca="1">IFERROR(__xludf.DUMMYFUNCTION("""COMPUTED_VALUE""")," ")</f>
        <v xml:space="preserve"> </v>
      </c>
      <c r="O232" s="5">
        <f ca="1">IFERROR(__xludf.DUMMYFUNCTION("""COMPUTED_VALUE"""),911)</f>
        <v>911</v>
      </c>
      <c r="P232" s="3">
        <f ca="1">IFERROR(__xludf.DUMMYFUNCTION("""COMPUTED_VALUE"""),-44276)</f>
        <v>-44276</v>
      </c>
      <c r="Q232" s="5">
        <f ca="1">IFERROR(__xludf.DUMMYFUNCTION("""COMPUTED_VALUE"""),2007)</f>
        <v>2007</v>
      </c>
      <c r="R232" s="3"/>
      <c r="S232" s="3"/>
      <c r="T232" s="3"/>
      <c r="U232" s="3"/>
      <c r="V232" s="3"/>
      <c r="W232" s="3"/>
      <c r="X232" s="3"/>
    </row>
    <row r="233" spans="1:24" x14ac:dyDescent="0.2">
      <c r="A233" s="3"/>
      <c r="B233" s="3"/>
      <c r="C233" s="3"/>
      <c r="D233" s="3"/>
      <c r="E233" s="3"/>
      <c r="F233" s="3"/>
      <c r="G233" s="3"/>
      <c r="H233" s="3"/>
      <c r="I233" s="3"/>
      <c r="J233" s="3"/>
      <c r="K233" s="3"/>
      <c r="L233" s="5">
        <f ca="1">IFERROR(__xludf.DUMMYFUNCTION("""COMPUTED_VALUE"""),180)</f>
        <v>180</v>
      </c>
      <c r="M233" s="5">
        <f ca="1">IFERROR(__xludf.DUMMYFUNCTION("""COMPUTED_VALUE"""),181)</f>
        <v>181</v>
      </c>
      <c r="N233" s="3" t="str">
        <f ca="1">IFERROR(__xludf.DUMMYFUNCTION("""COMPUTED_VALUE""")," ")</f>
        <v xml:space="preserve"> </v>
      </c>
      <c r="O233" s="5">
        <f ca="1">IFERROR(__xludf.DUMMYFUNCTION("""COMPUTED_VALUE"""),911)</f>
        <v>911</v>
      </c>
      <c r="P233" s="3">
        <f ca="1">IFERROR(__xludf.DUMMYFUNCTION("""COMPUTED_VALUE"""),-44276)</f>
        <v>-44276</v>
      </c>
      <c r="Q233" s="5">
        <f ca="1">IFERROR(__xludf.DUMMYFUNCTION("""COMPUTED_VALUE"""),2007)</f>
        <v>2007</v>
      </c>
      <c r="R233" s="3"/>
      <c r="S233" s="3"/>
      <c r="T233" s="3"/>
      <c r="U233" s="3"/>
      <c r="V233" s="3"/>
      <c r="W233" s="3"/>
      <c r="X233" s="3"/>
    </row>
    <row r="234" spans="1:24" x14ac:dyDescent="0.2">
      <c r="A234" s="3"/>
      <c r="B234" s="3"/>
      <c r="C234" s="3"/>
      <c r="D234" s="3"/>
      <c r="E234" s="3"/>
      <c r="F234" s="3"/>
      <c r="G234" s="3"/>
      <c r="H234" s="3"/>
      <c r="I234" s="3"/>
      <c r="J234" s="3"/>
      <c r="K234" s="3"/>
      <c r="L234" s="5">
        <f ca="1">IFERROR(__xludf.DUMMYFUNCTION("""COMPUTED_VALUE"""),180)</f>
        <v>180</v>
      </c>
      <c r="M234" s="5">
        <f ca="1">IFERROR(__xludf.DUMMYFUNCTION("""COMPUTED_VALUE"""),181)</f>
        <v>181</v>
      </c>
      <c r="N234" s="3" t="str">
        <f ca="1">IFERROR(__xludf.DUMMYFUNCTION("""COMPUTED_VALUE""")," ")</f>
        <v xml:space="preserve"> </v>
      </c>
      <c r="O234" s="5">
        <f ca="1">IFERROR(__xludf.DUMMYFUNCTION("""COMPUTED_VALUE"""),911)</f>
        <v>911</v>
      </c>
      <c r="P234" s="3">
        <f ca="1">IFERROR(__xludf.DUMMYFUNCTION("""COMPUTED_VALUE"""),-44276)</f>
        <v>-44276</v>
      </c>
      <c r="Q234" s="5">
        <f ca="1">IFERROR(__xludf.DUMMYFUNCTION("""COMPUTED_VALUE"""),2007)</f>
        <v>2007</v>
      </c>
      <c r="R234" s="3"/>
      <c r="S234" s="3"/>
      <c r="T234" s="3"/>
      <c r="U234" s="3"/>
      <c r="V234" s="3"/>
      <c r="W234" s="3"/>
      <c r="X234" s="3"/>
    </row>
    <row r="235" spans="1:24" x14ac:dyDescent="0.2">
      <c r="A235" s="3"/>
      <c r="B235" s="3"/>
      <c r="C235" s="3"/>
      <c r="D235" s="3"/>
      <c r="E235" s="3"/>
      <c r="F235" s="3"/>
      <c r="G235" s="3"/>
      <c r="H235" s="3"/>
      <c r="I235" s="3"/>
      <c r="J235" s="3"/>
      <c r="K235" s="3"/>
      <c r="L235" s="5">
        <f ca="1">IFERROR(__xludf.DUMMYFUNCTION("""COMPUTED_VALUE"""),180)</f>
        <v>180</v>
      </c>
      <c r="M235" s="5">
        <f ca="1">IFERROR(__xludf.DUMMYFUNCTION("""COMPUTED_VALUE"""),181)</f>
        <v>181</v>
      </c>
      <c r="N235" s="3" t="str">
        <f ca="1">IFERROR(__xludf.DUMMYFUNCTION("""COMPUTED_VALUE""")," ")</f>
        <v xml:space="preserve"> </v>
      </c>
      <c r="O235" s="5">
        <f ca="1">IFERROR(__xludf.DUMMYFUNCTION("""COMPUTED_VALUE"""),911)</f>
        <v>911</v>
      </c>
      <c r="P235" s="3">
        <f ca="1">IFERROR(__xludf.DUMMYFUNCTION("""COMPUTED_VALUE"""),-44276)</f>
        <v>-44276</v>
      </c>
      <c r="Q235" s="5">
        <f ca="1">IFERROR(__xludf.DUMMYFUNCTION("""COMPUTED_VALUE"""),2007)</f>
        <v>2007</v>
      </c>
      <c r="R235" s="3"/>
      <c r="S235" s="3"/>
      <c r="T235" s="3"/>
      <c r="U235" s="3"/>
      <c r="V235" s="3"/>
      <c r="W235" s="3"/>
      <c r="X235" s="3"/>
    </row>
    <row r="236" spans="1:24" x14ac:dyDescent="0.2">
      <c r="A236" s="3"/>
      <c r="B236" s="3"/>
      <c r="C236" s="3"/>
      <c r="D236" s="3"/>
      <c r="E236" s="3"/>
      <c r="F236" s="3"/>
      <c r="G236" s="3"/>
      <c r="H236" s="3"/>
      <c r="I236" s="3"/>
      <c r="J236" s="3"/>
      <c r="K236" s="3"/>
      <c r="L236" s="5">
        <f ca="1">IFERROR(__xludf.DUMMYFUNCTION("""COMPUTED_VALUE"""),180)</f>
        <v>180</v>
      </c>
      <c r="M236" s="5">
        <f ca="1">IFERROR(__xludf.DUMMYFUNCTION("""COMPUTED_VALUE"""),181)</f>
        <v>181</v>
      </c>
      <c r="N236" s="3" t="str">
        <f ca="1">IFERROR(__xludf.DUMMYFUNCTION("""COMPUTED_VALUE""")," ")</f>
        <v xml:space="preserve"> </v>
      </c>
      <c r="O236" s="5">
        <f ca="1">IFERROR(__xludf.DUMMYFUNCTION("""COMPUTED_VALUE"""),911)</f>
        <v>911</v>
      </c>
      <c r="P236" s="3">
        <f ca="1">IFERROR(__xludf.DUMMYFUNCTION("""COMPUTED_VALUE"""),-44276)</f>
        <v>-44276</v>
      </c>
      <c r="Q236" s="5">
        <f ca="1">IFERROR(__xludf.DUMMYFUNCTION("""COMPUTED_VALUE"""),2007)</f>
        <v>2007</v>
      </c>
      <c r="R236" s="3"/>
      <c r="S236" s="3"/>
      <c r="T236" s="3"/>
      <c r="U236" s="3"/>
      <c r="V236" s="3"/>
      <c r="W236" s="3"/>
      <c r="X236" s="3"/>
    </row>
    <row r="237" spans="1:24" x14ac:dyDescent="0.2">
      <c r="A237" s="3"/>
      <c r="B237" s="3"/>
      <c r="C237" s="3"/>
      <c r="D237" s="3"/>
      <c r="E237" s="3"/>
      <c r="F237" s="3"/>
      <c r="G237" s="3"/>
      <c r="H237" s="3"/>
      <c r="I237" s="3"/>
      <c r="J237" s="3"/>
      <c r="K237" s="3"/>
      <c r="L237" s="5">
        <f ca="1">IFERROR(__xludf.DUMMYFUNCTION("""COMPUTED_VALUE"""),180)</f>
        <v>180</v>
      </c>
      <c r="M237" s="5">
        <f ca="1">IFERROR(__xludf.DUMMYFUNCTION("""COMPUTED_VALUE"""),181)</f>
        <v>181</v>
      </c>
      <c r="N237" s="3" t="str">
        <f ca="1">IFERROR(__xludf.DUMMYFUNCTION("""COMPUTED_VALUE""")," ")</f>
        <v xml:space="preserve"> </v>
      </c>
      <c r="O237" s="5">
        <f ca="1">IFERROR(__xludf.DUMMYFUNCTION("""COMPUTED_VALUE"""),911)</f>
        <v>911</v>
      </c>
      <c r="P237" s="3">
        <f ca="1">IFERROR(__xludf.DUMMYFUNCTION("""COMPUTED_VALUE"""),-44276)</f>
        <v>-44276</v>
      </c>
      <c r="Q237" s="5">
        <f ca="1">IFERROR(__xludf.DUMMYFUNCTION("""COMPUTED_VALUE"""),2007)</f>
        <v>2007</v>
      </c>
      <c r="R237" s="3"/>
      <c r="S237" s="3"/>
      <c r="T237" s="3"/>
      <c r="U237" s="3"/>
      <c r="V237" s="3"/>
      <c r="W237" s="3"/>
      <c r="X237" s="3"/>
    </row>
    <row r="238" spans="1:24" x14ac:dyDescent="0.2">
      <c r="A238" s="3"/>
      <c r="B238" s="3"/>
      <c r="C238" s="3"/>
      <c r="D238" s="3"/>
      <c r="E238" s="3"/>
      <c r="F238" s="3"/>
      <c r="G238" s="3"/>
      <c r="H238" s="3"/>
      <c r="I238" s="3"/>
      <c r="J238" s="3"/>
      <c r="K238" s="3"/>
      <c r="L238" s="5">
        <f ca="1">IFERROR(__xludf.DUMMYFUNCTION("""COMPUTED_VALUE"""),180)</f>
        <v>180</v>
      </c>
      <c r="M238" s="5">
        <f ca="1">IFERROR(__xludf.DUMMYFUNCTION("""COMPUTED_VALUE"""),181)</f>
        <v>181</v>
      </c>
      <c r="N238" s="3" t="str">
        <f ca="1">IFERROR(__xludf.DUMMYFUNCTION("""COMPUTED_VALUE""")," ")</f>
        <v xml:space="preserve"> </v>
      </c>
      <c r="O238" s="5">
        <f ca="1">IFERROR(__xludf.DUMMYFUNCTION("""COMPUTED_VALUE"""),911)</f>
        <v>911</v>
      </c>
      <c r="P238" s="3">
        <f ca="1">IFERROR(__xludf.DUMMYFUNCTION("""COMPUTED_VALUE"""),-44276)</f>
        <v>-44276</v>
      </c>
      <c r="Q238" s="5">
        <f ca="1">IFERROR(__xludf.DUMMYFUNCTION("""COMPUTED_VALUE"""),2007)</f>
        <v>2007</v>
      </c>
      <c r="R238" s="3"/>
      <c r="S238" s="3"/>
      <c r="T238" s="3"/>
      <c r="U238" s="3"/>
      <c r="V238" s="3"/>
      <c r="W238" s="3"/>
      <c r="X238" s="3"/>
    </row>
    <row r="239" spans="1:24" x14ac:dyDescent="0.2">
      <c r="A239" s="3"/>
      <c r="B239" s="3"/>
      <c r="C239" s="3"/>
      <c r="D239" s="3"/>
      <c r="E239" s="3"/>
      <c r="F239" s="3"/>
      <c r="G239" s="3"/>
      <c r="H239" s="3"/>
      <c r="I239" s="3"/>
      <c r="J239" s="3"/>
      <c r="K239" s="3"/>
      <c r="L239" s="5">
        <f ca="1">IFERROR(__xludf.DUMMYFUNCTION("""COMPUTED_VALUE"""),180)</f>
        <v>180</v>
      </c>
      <c r="M239" s="5">
        <f ca="1">IFERROR(__xludf.DUMMYFUNCTION("""COMPUTED_VALUE"""),181)</f>
        <v>181</v>
      </c>
      <c r="N239" s="3" t="str">
        <f ca="1">IFERROR(__xludf.DUMMYFUNCTION("""COMPUTED_VALUE""")," ")</f>
        <v xml:space="preserve"> </v>
      </c>
      <c r="O239" s="5">
        <f ca="1">IFERROR(__xludf.DUMMYFUNCTION("""COMPUTED_VALUE"""),911)</f>
        <v>911</v>
      </c>
      <c r="P239" s="3">
        <f ca="1">IFERROR(__xludf.DUMMYFUNCTION("""COMPUTED_VALUE"""),-44276)</f>
        <v>-44276</v>
      </c>
      <c r="Q239" s="5">
        <f ca="1">IFERROR(__xludf.DUMMYFUNCTION("""COMPUTED_VALUE"""),2007)</f>
        <v>2007</v>
      </c>
      <c r="R239" s="3"/>
      <c r="S239" s="3"/>
      <c r="T239" s="3"/>
      <c r="U239" s="3"/>
      <c r="V239" s="3"/>
      <c r="W239" s="3"/>
      <c r="X239" s="3"/>
    </row>
    <row r="240" spans="1:24" x14ac:dyDescent="0.2">
      <c r="A240" s="3"/>
      <c r="B240" s="3"/>
      <c r="C240" s="3"/>
      <c r="D240" s="3"/>
      <c r="E240" s="3"/>
      <c r="F240" s="3"/>
      <c r="G240" s="3"/>
      <c r="H240" s="3"/>
      <c r="I240" s="3"/>
      <c r="J240" s="3"/>
      <c r="K240" s="3"/>
      <c r="L240" s="5">
        <f ca="1">IFERROR(__xludf.DUMMYFUNCTION("""COMPUTED_VALUE"""),180)</f>
        <v>180</v>
      </c>
      <c r="M240" s="5">
        <f ca="1">IFERROR(__xludf.DUMMYFUNCTION("""COMPUTED_VALUE"""),181)</f>
        <v>181</v>
      </c>
      <c r="N240" s="3" t="str">
        <f ca="1">IFERROR(__xludf.DUMMYFUNCTION("""COMPUTED_VALUE""")," ")</f>
        <v xml:space="preserve"> </v>
      </c>
      <c r="O240" s="5">
        <f ca="1">IFERROR(__xludf.DUMMYFUNCTION("""COMPUTED_VALUE"""),911)</f>
        <v>911</v>
      </c>
      <c r="P240" s="3">
        <f ca="1">IFERROR(__xludf.DUMMYFUNCTION("""COMPUTED_VALUE"""),-44276)</f>
        <v>-44276</v>
      </c>
      <c r="Q240" s="5">
        <f ca="1">IFERROR(__xludf.DUMMYFUNCTION("""COMPUTED_VALUE"""),2007)</f>
        <v>2007</v>
      </c>
      <c r="R240" s="3"/>
      <c r="S240" s="3"/>
      <c r="T240" s="3"/>
      <c r="U240" s="3"/>
      <c r="V240" s="3"/>
      <c r="W240" s="3"/>
      <c r="X240" s="3"/>
    </row>
    <row r="241" spans="1:24" x14ac:dyDescent="0.2">
      <c r="A241" s="3"/>
      <c r="B241" s="3"/>
      <c r="C241" s="3"/>
      <c r="D241" s="3"/>
      <c r="E241" s="3"/>
      <c r="F241" s="3"/>
      <c r="G241" s="3"/>
      <c r="H241" s="3"/>
      <c r="I241" s="3"/>
      <c r="J241" s="3"/>
      <c r="K241" s="3"/>
      <c r="L241" s="5">
        <f ca="1">IFERROR(__xludf.DUMMYFUNCTION("""COMPUTED_VALUE"""),180)</f>
        <v>180</v>
      </c>
      <c r="M241" s="5">
        <f ca="1">IFERROR(__xludf.DUMMYFUNCTION("""COMPUTED_VALUE"""),181)</f>
        <v>181</v>
      </c>
      <c r="N241" s="3" t="str">
        <f ca="1">IFERROR(__xludf.DUMMYFUNCTION("""COMPUTED_VALUE""")," ")</f>
        <v xml:space="preserve"> </v>
      </c>
      <c r="O241" s="5">
        <f ca="1">IFERROR(__xludf.DUMMYFUNCTION("""COMPUTED_VALUE"""),911)</f>
        <v>911</v>
      </c>
      <c r="P241" s="3">
        <f ca="1">IFERROR(__xludf.DUMMYFUNCTION("""COMPUTED_VALUE"""),-44276)</f>
        <v>-44276</v>
      </c>
      <c r="Q241" s="5">
        <f ca="1">IFERROR(__xludf.DUMMYFUNCTION("""COMPUTED_VALUE"""),2007)</f>
        <v>2007</v>
      </c>
      <c r="R241" s="3"/>
      <c r="S241" s="3"/>
      <c r="T241" s="3"/>
      <c r="U241" s="3"/>
      <c r="V241" s="3"/>
      <c r="W241" s="3"/>
      <c r="X241" s="3"/>
    </row>
    <row r="242" spans="1:24" x14ac:dyDescent="0.2">
      <c r="A242" s="3"/>
      <c r="B242" s="3"/>
      <c r="C242" s="3"/>
      <c r="D242" s="3"/>
      <c r="E242" s="3"/>
      <c r="F242" s="3"/>
      <c r="G242" s="3"/>
      <c r="H242" s="3"/>
      <c r="I242" s="3"/>
      <c r="J242" s="3"/>
      <c r="K242" s="3"/>
      <c r="L242" s="5">
        <f ca="1">IFERROR(__xludf.DUMMYFUNCTION("""COMPUTED_VALUE"""),180)</f>
        <v>180</v>
      </c>
      <c r="M242" s="5">
        <f ca="1">IFERROR(__xludf.DUMMYFUNCTION("""COMPUTED_VALUE"""),181)</f>
        <v>181</v>
      </c>
      <c r="N242" s="3" t="str">
        <f ca="1">IFERROR(__xludf.DUMMYFUNCTION("""COMPUTED_VALUE""")," ")</f>
        <v xml:space="preserve"> </v>
      </c>
      <c r="O242" s="5">
        <f ca="1">IFERROR(__xludf.DUMMYFUNCTION("""COMPUTED_VALUE"""),911)</f>
        <v>911</v>
      </c>
      <c r="P242" s="3">
        <f ca="1">IFERROR(__xludf.DUMMYFUNCTION("""COMPUTED_VALUE"""),-44276)</f>
        <v>-44276</v>
      </c>
      <c r="Q242" s="5">
        <f ca="1">IFERROR(__xludf.DUMMYFUNCTION("""COMPUTED_VALUE"""),2007)</f>
        <v>2007</v>
      </c>
      <c r="R242" s="3"/>
      <c r="S242" s="3"/>
      <c r="T242" s="3"/>
      <c r="U242" s="3"/>
      <c r="V242" s="3"/>
      <c r="W242" s="3"/>
      <c r="X242" s="3"/>
    </row>
    <row r="243" spans="1:24" x14ac:dyDescent="0.2">
      <c r="A243" s="3"/>
      <c r="B243" s="3"/>
      <c r="C243" s="3"/>
      <c r="D243" s="3"/>
      <c r="E243" s="3"/>
      <c r="F243" s="3"/>
      <c r="G243" s="3"/>
      <c r="H243" s="3"/>
      <c r="I243" s="3"/>
      <c r="J243" s="3"/>
      <c r="K243" s="3"/>
      <c r="L243" s="5">
        <f ca="1">IFERROR(__xludf.DUMMYFUNCTION("""COMPUTED_VALUE"""),180)</f>
        <v>180</v>
      </c>
      <c r="M243" s="5">
        <f ca="1">IFERROR(__xludf.DUMMYFUNCTION("""COMPUTED_VALUE"""),181)</f>
        <v>181</v>
      </c>
      <c r="N243" s="3" t="str">
        <f ca="1">IFERROR(__xludf.DUMMYFUNCTION("""COMPUTED_VALUE""")," ")</f>
        <v xml:space="preserve"> </v>
      </c>
      <c r="O243" s="5">
        <f ca="1">IFERROR(__xludf.DUMMYFUNCTION("""COMPUTED_VALUE"""),911)</f>
        <v>911</v>
      </c>
      <c r="P243" s="3">
        <f ca="1">IFERROR(__xludf.DUMMYFUNCTION("""COMPUTED_VALUE"""),-44276)</f>
        <v>-44276</v>
      </c>
      <c r="Q243" s="5">
        <f ca="1">IFERROR(__xludf.DUMMYFUNCTION("""COMPUTED_VALUE"""),2007)</f>
        <v>2007</v>
      </c>
      <c r="R243" s="3"/>
      <c r="S243" s="3"/>
      <c r="T243" s="3"/>
      <c r="U243" s="3"/>
      <c r="V243" s="3"/>
      <c r="W243" s="3"/>
      <c r="X243" s="3"/>
    </row>
    <row r="244" spans="1:24" x14ac:dyDescent="0.2">
      <c r="A244" s="3"/>
      <c r="B244" s="3"/>
      <c r="C244" s="3"/>
      <c r="D244" s="3"/>
      <c r="E244" s="3"/>
      <c r="F244" s="3"/>
      <c r="G244" s="3"/>
      <c r="H244" s="3"/>
      <c r="I244" s="3"/>
      <c r="J244" s="3"/>
      <c r="K244" s="3"/>
      <c r="L244" s="5">
        <f ca="1">IFERROR(__xludf.DUMMYFUNCTION("""COMPUTED_VALUE"""),180)</f>
        <v>180</v>
      </c>
      <c r="M244" s="5">
        <f ca="1">IFERROR(__xludf.DUMMYFUNCTION("""COMPUTED_VALUE"""),181)</f>
        <v>181</v>
      </c>
      <c r="N244" s="3" t="str">
        <f ca="1">IFERROR(__xludf.DUMMYFUNCTION("""COMPUTED_VALUE""")," ")</f>
        <v xml:space="preserve"> </v>
      </c>
      <c r="O244" s="5">
        <f ca="1">IFERROR(__xludf.DUMMYFUNCTION("""COMPUTED_VALUE"""),911)</f>
        <v>911</v>
      </c>
      <c r="P244" s="3">
        <f ca="1">IFERROR(__xludf.DUMMYFUNCTION("""COMPUTED_VALUE"""),-44276)</f>
        <v>-44276</v>
      </c>
      <c r="Q244" s="5">
        <f ca="1">IFERROR(__xludf.DUMMYFUNCTION("""COMPUTED_VALUE"""),2007)</f>
        <v>2007</v>
      </c>
      <c r="R244" s="3"/>
      <c r="S244" s="3"/>
      <c r="T244" s="3"/>
      <c r="U244" s="3"/>
      <c r="V244" s="3"/>
      <c r="W244" s="3"/>
      <c r="X244" s="3"/>
    </row>
    <row r="245" spans="1:24" x14ac:dyDescent="0.2">
      <c r="A245" s="3"/>
      <c r="B245" s="3"/>
      <c r="C245" s="3"/>
      <c r="D245" s="3"/>
      <c r="E245" s="3"/>
      <c r="F245" s="3"/>
      <c r="G245" s="3"/>
      <c r="H245" s="3"/>
      <c r="I245" s="3"/>
      <c r="J245" s="3"/>
      <c r="K245" s="3"/>
      <c r="L245" s="5">
        <f ca="1">IFERROR(__xludf.DUMMYFUNCTION("""COMPUTED_VALUE"""),180)</f>
        <v>180</v>
      </c>
      <c r="M245" s="5">
        <f ca="1">IFERROR(__xludf.DUMMYFUNCTION("""COMPUTED_VALUE"""),181)</f>
        <v>181</v>
      </c>
      <c r="N245" s="3" t="str">
        <f ca="1">IFERROR(__xludf.DUMMYFUNCTION("""COMPUTED_VALUE""")," ")</f>
        <v xml:space="preserve"> </v>
      </c>
      <c r="O245" s="5">
        <f ca="1">IFERROR(__xludf.DUMMYFUNCTION("""COMPUTED_VALUE"""),911)</f>
        <v>911</v>
      </c>
      <c r="P245" s="3">
        <f ca="1">IFERROR(__xludf.DUMMYFUNCTION("""COMPUTED_VALUE"""),-44276)</f>
        <v>-44276</v>
      </c>
      <c r="Q245" s="5">
        <f ca="1">IFERROR(__xludf.DUMMYFUNCTION("""COMPUTED_VALUE"""),2007)</f>
        <v>2007</v>
      </c>
      <c r="R245" s="3"/>
      <c r="S245" s="3"/>
      <c r="T245" s="3"/>
      <c r="U245" s="3"/>
      <c r="V245" s="3"/>
      <c r="W245" s="3"/>
      <c r="X245" s="3"/>
    </row>
    <row r="246" spans="1:24" x14ac:dyDescent="0.2">
      <c r="A246" s="3"/>
      <c r="B246" s="3"/>
      <c r="C246" s="3"/>
      <c r="D246" s="3"/>
      <c r="E246" s="3"/>
      <c r="F246" s="3"/>
      <c r="G246" s="3"/>
      <c r="H246" s="3"/>
      <c r="I246" s="3"/>
      <c r="J246" s="3"/>
      <c r="K246" s="3"/>
      <c r="L246" s="5">
        <f ca="1">IFERROR(__xludf.DUMMYFUNCTION("""COMPUTED_VALUE"""),180)</f>
        <v>180</v>
      </c>
      <c r="M246" s="5">
        <f ca="1">IFERROR(__xludf.DUMMYFUNCTION("""COMPUTED_VALUE"""),181)</f>
        <v>181</v>
      </c>
      <c r="N246" s="3" t="str">
        <f ca="1">IFERROR(__xludf.DUMMYFUNCTION("""COMPUTED_VALUE""")," ")</f>
        <v xml:space="preserve"> </v>
      </c>
      <c r="O246" s="5">
        <f ca="1">IFERROR(__xludf.DUMMYFUNCTION("""COMPUTED_VALUE"""),911)</f>
        <v>911</v>
      </c>
      <c r="P246" s="3">
        <f ca="1">IFERROR(__xludf.DUMMYFUNCTION("""COMPUTED_VALUE"""),-44276)</f>
        <v>-44276</v>
      </c>
      <c r="Q246" s="5">
        <f ca="1">IFERROR(__xludf.DUMMYFUNCTION("""COMPUTED_VALUE"""),2007)</f>
        <v>2007</v>
      </c>
      <c r="R246" s="3"/>
      <c r="S246" s="3"/>
      <c r="T246" s="3"/>
      <c r="U246" s="3"/>
      <c r="V246" s="3"/>
      <c r="W246" s="3"/>
      <c r="X246" s="3"/>
    </row>
    <row r="247" spans="1:24" x14ac:dyDescent="0.2">
      <c r="A247" s="3"/>
      <c r="B247" s="3"/>
      <c r="C247" s="3"/>
      <c r="D247" s="3"/>
      <c r="E247" s="3"/>
      <c r="F247" s="3"/>
      <c r="G247" s="3"/>
      <c r="H247" s="3"/>
      <c r="I247" s="3"/>
      <c r="J247" s="3"/>
      <c r="K247" s="3"/>
      <c r="L247" s="5">
        <f ca="1">IFERROR(__xludf.DUMMYFUNCTION("""COMPUTED_VALUE"""),180)</f>
        <v>180</v>
      </c>
      <c r="M247" s="5">
        <f ca="1">IFERROR(__xludf.DUMMYFUNCTION("""COMPUTED_VALUE"""),181)</f>
        <v>181</v>
      </c>
      <c r="N247" s="3" t="str">
        <f ca="1">IFERROR(__xludf.DUMMYFUNCTION("""COMPUTED_VALUE""")," ")</f>
        <v xml:space="preserve"> </v>
      </c>
      <c r="O247" s="5">
        <f ca="1">IFERROR(__xludf.DUMMYFUNCTION("""COMPUTED_VALUE"""),911)</f>
        <v>911</v>
      </c>
      <c r="P247" s="3">
        <f ca="1">IFERROR(__xludf.DUMMYFUNCTION("""COMPUTED_VALUE"""),-44276)</f>
        <v>-44276</v>
      </c>
      <c r="Q247" s="5">
        <f ca="1">IFERROR(__xludf.DUMMYFUNCTION("""COMPUTED_VALUE"""),2007)</f>
        <v>2007</v>
      </c>
      <c r="R247" s="3"/>
      <c r="S247" s="3"/>
      <c r="T247" s="3"/>
      <c r="U247" s="3"/>
      <c r="V247" s="3"/>
      <c r="W247" s="3"/>
      <c r="X247" s="3"/>
    </row>
    <row r="248" spans="1:24" x14ac:dyDescent="0.2">
      <c r="A248" s="3"/>
      <c r="B248" s="3"/>
      <c r="C248" s="3"/>
      <c r="D248" s="3"/>
      <c r="E248" s="3"/>
      <c r="F248" s="3"/>
      <c r="G248" s="3"/>
      <c r="H248" s="3"/>
      <c r="I248" s="3"/>
      <c r="J248" s="3"/>
      <c r="K248" s="3"/>
      <c r="L248" s="5">
        <f ca="1">IFERROR(__xludf.DUMMYFUNCTION("""COMPUTED_VALUE"""),180)</f>
        <v>180</v>
      </c>
      <c r="M248" s="5">
        <f ca="1">IFERROR(__xludf.DUMMYFUNCTION("""COMPUTED_VALUE"""),181)</f>
        <v>181</v>
      </c>
      <c r="N248" s="3" t="str">
        <f ca="1">IFERROR(__xludf.DUMMYFUNCTION("""COMPUTED_VALUE""")," ")</f>
        <v xml:space="preserve"> </v>
      </c>
      <c r="O248" s="5">
        <f ca="1">IFERROR(__xludf.DUMMYFUNCTION("""COMPUTED_VALUE"""),911)</f>
        <v>911</v>
      </c>
      <c r="P248" s="3">
        <f ca="1">IFERROR(__xludf.DUMMYFUNCTION("""COMPUTED_VALUE"""),-44276)</f>
        <v>-44276</v>
      </c>
      <c r="Q248" s="5">
        <f ca="1">IFERROR(__xludf.DUMMYFUNCTION("""COMPUTED_VALUE"""),2007)</f>
        <v>2007</v>
      </c>
      <c r="R248" s="3"/>
      <c r="S248" s="3"/>
      <c r="T248" s="3"/>
      <c r="U248" s="3"/>
      <c r="V248" s="3"/>
      <c r="W248" s="3"/>
      <c r="X248" s="3"/>
    </row>
    <row r="249" spans="1:24" x14ac:dyDescent="0.2">
      <c r="A249" s="3"/>
      <c r="B249" s="3"/>
      <c r="C249" s="3"/>
      <c r="D249" s="3"/>
      <c r="E249" s="3"/>
      <c r="F249" s="3"/>
      <c r="G249" s="3"/>
      <c r="H249" s="3"/>
      <c r="I249" s="3"/>
      <c r="J249" s="3"/>
      <c r="K249" s="3"/>
      <c r="L249" s="5">
        <f ca="1">IFERROR(__xludf.DUMMYFUNCTION("""COMPUTED_VALUE"""),180)</f>
        <v>180</v>
      </c>
      <c r="M249" s="5">
        <f ca="1">IFERROR(__xludf.DUMMYFUNCTION("""COMPUTED_VALUE"""),181)</f>
        <v>181</v>
      </c>
      <c r="N249" s="3" t="str">
        <f ca="1">IFERROR(__xludf.DUMMYFUNCTION("""COMPUTED_VALUE""")," ")</f>
        <v xml:space="preserve"> </v>
      </c>
      <c r="O249" s="5">
        <f ca="1">IFERROR(__xludf.DUMMYFUNCTION("""COMPUTED_VALUE"""),911)</f>
        <v>911</v>
      </c>
      <c r="P249" s="3">
        <f ca="1">IFERROR(__xludf.DUMMYFUNCTION("""COMPUTED_VALUE"""),-44276)</f>
        <v>-44276</v>
      </c>
      <c r="Q249" s="5">
        <f ca="1">IFERROR(__xludf.DUMMYFUNCTION("""COMPUTED_VALUE"""),2007)</f>
        <v>2007</v>
      </c>
      <c r="R249" s="3"/>
      <c r="S249" s="3"/>
      <c r="T249" s="3"/>
      <c r="U249" s="3"/>
      <c r="V249" s="3"/>
      <c r="W249" s="3"/>
      <c r="X249" s="3"/>
    </row>
    <row r="250" spans="1:24" x14ac:dyDescent="0.2">
      <c r="A250" s="3"/>
      <c r="B250" s="3"/>
      <c r="C250" s="3"/>
      <c r="D250" s="3"/>
      <c r="E250" s="3"/>
      <c r="F250" s="3"/>
      <c r="G250" s="3"/>
      <c r="H250" s="3"/>
      <c r="I250" s="3"/>
      <c r="J250" s="3"/>
      <c r="K250" s="3"/>
      <c r="L250" s="5">
        <f ca="1">IFERROR(__xludf.DUMMYFUNCTION("""COMPUTED_VALUE"""),180)</f>
        <v>180</v>
      </c>
      <c r="M250" s="5">
        <f ca="1">IFERROR(__xludf.DUMMYFUNCTION("""COMPUTED_VALUE"""),181)</f>
        <v>181</v>
      </c>
      <c r="N250" s="3" t="str">
        <f ca="1">IFERROR(__xludf.DUMMYFUNCTION("""COMPUTED_VALUE""")," ")</f>
        <v xml:space="preserve"> </v>
      </c>
      <c r="O250" s="5">
        <f ca="1">IFERROR(__xludf.DUMMYFUNCTION("""COMPUTED_VALUE"""),911)</f>
        <v>911</v>
      </c>
      <c r="P250" s="3">
        <f ca="1">IFERROR(__xludf.DUMMYFUNCTION("""COMPUTED_VALUE"""),-44276)</f>
        <v>-44276</v>
      </c>
      <c r="Q250" s="5">
        <f ca="1">IFERROR(__xludf.DUMMYFUNCTION("""COMPUTED_VALUE"""),2007)</f>
        <v>2007</v>
      </c>
      <c r="R250" s="3"/>
      <c r="S250" s="3"/>
      <c r="T250" s="3"/>
      <c r="U250" s="3"/>
      <c r="V250" s="3"/>
      <c r="W250" s="3"/>
      <c r="X250" s="3"/>
    </row>
    <row r="251" spans="1:24" x14ac:dyDescent="0.2">
      <c r="A251" s="3"/>
      <c r="B251" s="3"/>
      <c r="C251" s="3"/>
      <c r="D251" s="3"/>
      <c r="E251" s="3"/>
      <c r="F251" s="3"/>
      <c r="G251" s="3"/>
      <c r="H251" s="3"/>
      <c r="I251" s="3"/>
      <c r="J251" s="3"/>
      <c r="K251" s="3"/>
      <c r="L251" s="5">
        <f ca="1">IFERROR(__xludf.DUMMYFUNCTION("""COMPUTED_VALUE"""),180)</f>
        <v>180</v>
      </c>
      <c r="M251" s="5">
        <f ca="1">IFERROR(__xludf.DUMMYFUNCTION("""COMPUTED_VALUE"""),181)</f>
        <v>181</v>
      </c>
      <c r="N251" s="3" t="str">
        <f ca="1">IFERROR(__xludf.DUMMYFUNCTION("""COMPUTED_VALUE""")," ")</f>
        <v xml:space="preserve"> </v>
      </c>
      <c r="O251" s="5">
        <f ca="1">IFERROR(__xludf.DUMMYFUNCTION("""COMPUTED_VALUE"""),911)</f>
        <v>911</v>
      </c>
      <c r="P251" s="3">
        <f ca="1">IFERROR(__xludf.DUMMYFUNCTION("""COMPUTED_VALUE"""),-44276)</f>
        <v>-44276</v>
      </c>
      <c r="Q251" s="5">
        <f ca="1">IFERROR(__xludf.DUMMYFUNCTION("""COMPUTED_VALUE"""),2007)</f>
        <v>2007</v>
      </c>
      <c r="R251" s="3"/>
      <c r="S251" s="3"/>
      <c r="T251" s="3"/>
      <c r="U251" s="3"/>
      <c r="V251" s="3"/>
      <c r="W251" s="3"/>
      <c r="X251" s="3"/>
    </row>
    <row r="252" spans="1:24" x14ac:dyDescent="0.2">
      <c r="A252" s="3"/>
      <c r="B252" s="3"/>
      <c r="C252" s="3"/>
      <c r="D252" s="3"/>
      <c r="E252" s="3"/>
      <c r="F252" s="3"/>
      <c r="G252" s="3"/>
      <c r="H252" s="3"/>
      <c r="I252" s="3"/>
      <c r="J252" s="3"/>
      <c r="K252" s="3"/>
      <c r="L252" s="5">
        <f ca="1">IFERROR(__xludf.DUMMYFUNCTION("""COMPUTED_VALUE"""),180)</f>
        <v>180</v>
      </c>
      <c r="M252" s="5">
        <f ca="1">IFERROR(__xludf.DUMMYFUNCTION("""COMPUTED_VALUE"""),181)</f>
        <v>181</v>
      </c>
      <c r="N252" s="3" t="str">
        <f ca="1">IFERROR(__xludf.DUMMYFUNCTION("""COMPUTED_VALUE""")," ")</f>
        <v xml:space="preserve"> </v>
      </c>
      <c r="O252" s="5">
        <f ca="1">IFERROR(__xludf.DUMMYFUNCTION("""COMPUTED_VALUE"""),911)</f>
        <v>911</v>
      </c>
      <c r="P252" s="3">
        <f ca="1">IFERROR(__xludf.DUMMYFUNCTION("""COMPUTED_VALUE"""),-44276)</f>
        <v>-44276</v>
      </c>
      <c r="Q252" s="5">
        <f ca="1">IFERROR(__xludf.DUMMYFUNCTION("""COMPUTED_VALUE"""),2007)</f>
        <v>2007</v>
      </c>
      <c r="R252" s="3"/>
      <c r="S252" s="3"/>
      <c r="T252" s="3"/>
      <c r="U252" s="3"/>
      <c r="V252" s="3"/>
      <c r="W252" s="3"/>
      <c r="X252" s="3"/>
    </row>
    <row r="253" spans="1:24" x14ac:dyDescent="0.2">
      <c r="A253" s="3"/>
      <c r="B253" s="3"/>
      <c r="C253" s="3"/>
      <c r="D253" s="3"/>
      <c r="E253" s="3"/>
      <c r="F253" s="3"/>
      <c r="G253" s="3"/>
      <c r="H253" s="3"/>
      <c r="I253" s="3"/>
      <c r="J253" s="3"/>
      <c r="K253" s="3"/>
      <c r="L253" s="5">
        <f ca="1">IFERROR(__xludf.DUMMYFUNCTION("""COMPUTED_VALUE"""),180)</f>
        <v>180</v>
      </c>
      <c r="M253" s="5">
        <f ca="1">IFERROR(__xludf.DUMMYFUNCTION("""COMPUTED_VALUE"""),181)</f>
        <v>181</v>
      </c>
      <c r="N253" s="3" t="str">
        <f ca="1">IFERROR(__xludf.DUMMYFUNCTION("""COMPUTED_VALUE""")," ")</f>
        <v xml:space="preserve"> </v>
      </c>
      <c r="O253" s="5">
        <f ca="1">IFERROR(__xludf.DUMMYFUNCTION("""COMPUTED_VALUE"""),911)</f>
        <v>911</v>
      </c>
      <c r="P253" s="3">
        <f ca="1">IFERROR(__xludf.DUMMYFUNCTION("""COMPUTED_VALUE"""),-44276)</f>
        <v>-44276</v>
      </c>
      <c r="Q253" s="5">
        <f ca="1">IFERROR(__xludf.DUMMYFUNCTION("""COMPUTED_VALUE"""),2007)</f>
        <v>2007</v>
      </c>
      <c r="R253" s="3"/>
      <c r="S253" s="3"/>
      <c r="T253" s="3"/>
      <c r="U253" s="3"/>
      <c r="V253" s="3"/>
      <c r="W253" s="3"/>
      <c r="X253" s="3"/>
    </row>
    <row r="254" spans="1:24" x14ac:dyDescent="0.2">
      <c r="A254" s="3"/>
      <c r="B254" s="3"/>
      <c r="C254" s="3"/>
      <c r="D254" s="3"/>
      <c r="E254" s="3"/>
      <c r="F254" s="3"/>
      <c r="G254" s="3"/>
      <c r="H254" s="3"/>
      <c r="I254" s="3"/>
      <c r="J254" s="3"/>
      <c r="K254" s="3"/>
      <c r="L254" s="5">
        <f ca="1">IFERROR(__xludf.DUMMYFUNCTION("""COMPUTED_VALUE"""),180)</f>
        <v>180</v>
      </c>
      <c r="M254" s="5">
        <f ca="1">IFERROR(__xludf.DUMMYFUNCTION("""COMPUTED_VALUE"""),181)</f>
        <v>181</v>
      </c>
      <c r="N254" s="3" t="str">
        <f ca="1">IFERROR(__xludf.DUMMYFUNCTION("""COMPUTED_VALUE""")," ")</f>
        <v xml:space="preserve"> </v>
      </c>
      <c r="O254" s="5">
        <f ca="1">IFERROR(__xludf.DUMMYFUNCTION("""COMPUTED_VALUE"""),911)</f>
        <v>911</v>
      </c>
      <c r="P254" s="3">
        <f ca="1">IFERROR(__xludf.DUMMYFUNCTION("""COMPUTED_VALUE"""),-44276)</f>
        <v>-44276</v>
      </c>
      <c r="Q254" s="5">
        <f ca="1">IFERROR(__xludf.DUMMYFUNCTION("""COMPUTED_VALUE"""),2007)</f>
        <v>2007</v>
      </c>
      <c r="R254" s="3"/>
      <c r="S254" s="3"/>
      <c r="T254" s="3"/>
      <c r="U254" s="3"/>
      <c r="V254" s="3"/>
      <c r="W254" s="3"/>
      <c r="X254" s="3"/>
    </row>
    <row r="255" spans="1:24" x14ac:dyDescent="0.2">
      <c r="A255" s="3"/>
      <c r="B255" s="3"/>
      <c r="C255" s="3"/>
      <c r="D255" s="3"/>
      <c r="E255" s="3"/>
      <c r="F255" s="3"/>
      <c r="G255" s="3"/>
      <c r="H255" s="3"/>
      <c r="I255" s="3"/>
      <c r="J255" s="3"/>
      <c r="K255" s="3"/>
      <c r="L255" s="5">
        <f ca="1">IFERROR(__xludf.DUMMYFUNCTION("""COMPUTED_VALUE"""),180)</f>
        <v>180</v>
      </c>
      <c r="M255" s="5">
        <f ca="1">IFERROR(__xludf.DUMMYFUNCTION("""COMPUTED_VALUE"""),181)</f>
        <v>181</v>
      </c>
      <c r="N255" s="3" t="str">
        <f ca="1">IFERROR(__xludf.DUMMYFUNCTION("""COMPUTED_VALUE""")," ")</f>
        <v xml:space="preserve"> </v>
      </c>
      <c r="O255" s="5">
        <f ca="1">IFERROR(__xludf.DUMMYFUNCTION("""COMPUTED_VALUE"""),911)</f>
        <v>911</v>
      </c>
      <c r="P255" s="3">
        <f ca="1">IFERROR(__xludf.DUMMYFUNCTION("""COMPUTED_VALUE"""),-44276)</f>
        <v>-44276</v>
      </c>
      <c r="Q255" s="5">
        <f ca="1">IFERROR(__xludf.DUMMYFUNCTION("""COMPUTED_VALUE"""),2007)</f>
        <v>2007</v>
      </c>
      <c r="R255" s="3"/>
      <c r="S255" s="3"/>
      <c r="T255" s="3"/>
      <c r="U255" s="3"/>
      <c r="V255" s="3"/>
      <c r="W255" s="3"/>
      <c r="X255" s="3"/>
    </row>
    <row r="256" spans="1:24" x14ac:dyDescent="0.2">
      <c r="A256" s="3"/>
      <c r="B256" s="3"/>
      <c r="C256" s="3"/>
      <c r="D256" s="3"/>
      <c r="E256" s="3"/>
      <c r="F256" s="3"/>
      <c r="G256" s="3"/>
      <c r="H256" s="3"/>
      <c r="I256" s="3"/>
      <c r="J256" s="3"/>
      <c r="K256" s="3"/>
      <c r="L256" s="5">
        <f ca="1">IFERROR(__xludf.DUMMYFUNCTION("""COMPUTED_VALUE"""),180)</f>
        <v>180</v>
      </c>
      <c r="M256" s="5">
        <f ca="1">IFERROR(__xludf.DUMMYFUNCTION("""COMPUTED_VALUE"""),181)</f>
        <v>181</v>
      </c>
      <c r="N256" s="3" t="str">
        <f ca="1">IFERROR(__xludf.DUMMYFUNCTION("""COMPUTED_VALUE""")," ")</f>
        <v xml:space="preserve"> </v>
      </c>
      <c r="O256" s="5">
        <f ca="1">IFERROR(__xludf.DUMMYFUNCTION("""COMPUTED_VALUE"""),911)</f>
        <v>911</v>
      </c>
      <c r="P256" s="3">
        <f ca="1">IFERROR(__xludf.DUMMYFUNCTION("""COMPUTED_VALUE"""),-44276)</f>
        <v>-44276</v>
      </c>
      <c r="Q256" s="5">
        <f ca="1">IFERROR(__xludf.DUMMYFUNCTION("""COMPUTED_VALUE"""),2007)</f>
        <v>2007</v>
      </c>
      <c r="R256" s="3"/>
      <c r="S256" s="3"/>
      <c r="T256" s="3"/>
      <c r="U256" s="3"/>
      <c r="V256" s="3"/>
      <c r="W256" s="3"/>
      <c r="X256" s="3"/>
    </row>
    <row r="257" spans="1:24" x14ac:dyDescent="0.2">
      <c r="A257" s="3"/>
      <c r="B257" s="3"/>
      <c r="C257" s="3"/>
      <c r="D257" s="3"/>
      <c r="E257" s="3"/>
      <c r="F257" s="3"/>
      <c r="G257" s="3"/>
      <c r="H257" s="3"/>
      <c r="I257" s="3"/>
      <c r="J257" s="3"/>
      <c r="K257" s="3"/>
      <c r="L257" s="5">
        <f ca="1">IFERROR(__xludf.DUMMYFUNCTION("""COMPUTED_VALUE"""),180)</f>
        <v>180</v>
      </c>
      <c r="M257" s="5">
        <f ca="1">IFERROR(__xludf.DUMMYFUNCTION("""COMPUTED_VALUE"""),181)</f>
        <v>181</v>
      </c>
      <c r="N257" s="3" t="str">
        <f ca="1">IFERROR(__xludf.DUMMYFUNCTION("""COMPUTED_VALUE""")," ")</f>
        <v xml:space="preserve"> </v>
      </c>
      <c r="O257" s="5">
        <f ca="1">IFERROR(__xludf.DUMMYFUNCTION("""COMPUTED_VALUE"""),911)</f>
        <v>911</v>
      </c>
      <c r="P257" s="3">
        <f ca="1">IFERROR(__xludf.DUMMYFUNCTION("""COMPUTED_VALUE"""),-44276)</f>
        <v>-44276</v>
      </c>
      <c r="Q257" s="5">
        <f ca="1">IFERROR(__xludf.DUMMYFUNCTION("""COMPUTED_VALUE"""),2007)</f>
        <v>2007</v>
      </c>
      <c r="R257" s="3"/>
      <c r="S257" s="3"/>
      <c r="T257" s="3"/>
      <c r="U257" s="3"/>
      <c r="V257" s="3"/>
      <c r="W257" s="3"/>
      <c r="X257" s="3"/>
    </row>
    <row r="258" spans="1:24" x14ac:dyDescent="0.2">
      <c r="A258" s="3"/>
      <c r="B258" s="3"/>
      <c r="C258" s="3"/>
      <c r="D258" s="3"/>
      <c r="E258" s="3"/>
      <c r="F258" s="3"/>
      <c r="G258" s="3"/>
      <c r="H258" s="3"/>
      <c r="I258" s="3"/>
      <c r="J258" s="3"/>
      <c r="K258" s="3"/>
      <c r="L258" s="5">
        <f ca="1">IFERROR(__xludf.DUMMYFUNCTION("""COMPUTED_VALUE"""),180)</f>
        <v>180</v>
      </c>
      <c r="M258" s="5">
        <f ca="1">IFERROR(__xludf.DUMMYFUNCTION("""COMPUTED_VALUE"""),181)</f>
        <v>181</v>
      </c>
      <c r="N258" s="3" t="str">
        <f ca="1">IFERROR(__xludf.DUMMYFUNCTION("""COMPUTED_VALUE""")," ")</f>
        <v xml:space="preserve"> </v>
      </c>
      <c r="O258" s="5">
        <f ca="1">IFERROR(__xludf.DUMMYFUNCTION("""COMPUTED_VALUE"""),911)</f>
        <v>911</v>
      </c>
      <c r="P258" s="3">
        <f ca="1">IFERROR(__xludf.DUMMYFUNCTION("""COMPUTED_VALUE"""),-44276)</f>
        <v>-44276</v>
      </c>
      <c r="Q258" s="5">
        <f ca="1">IFERROR(__xludf.DUMMYFUNCTION("""COMPUTED_VALUE"""),2007)</f>
        <v>2007</v>
      </c>
      <c r="R258" s="3"/>
      <c r="S258" s="3"/>
      <c r="T258" s="3"/>
      <c r="U258" s="3"/>
      <c r="V258" s="3"/>
      <c r="W258" s="3"/>
      <c r="X258" s="3"/>
    </row>
    <row r="259" spans="1:24" x14ac:dyDescent="0.2">
      <c r="A259" s="3"/>
      <c r="B259" s="3"/>
      <c r="C259" s="3"/>
      <c r="D259" s="3"/>
      <c r="E259" s="3"/>
      <c r="F259" s="3"/>
      <c r="G259" s="3"/>
      <c r="H259" s="3"/>
      <c r="I259" s="3"/>
      <c r="J259" s="3"/>
      <c r="K259" s="3"/>
      <c r="L259" s="5">
        <f ca="1">IFERROR(__xludf.DUMMYFUNCTION("""COMPUTED_VALUE"""),180)</f>
        <v>180</v>
      </c>
      <c r="M259" s="5">
        <f ca="1">IFERROR(__xludf.DUMMYFUNCTION("""COMPUTED_VALUE"""),181)</f>
        <v>181</v>
      </c>
      <c r="N259" s="3" t="str">
        <f ca="1">IFERROR(__xludf.DUMMYFUNCTION("""COMPUTED_VALUE""")," ")</f>
        <v xml:space="preserve"> </v>
      </c>
      <c r="O259" s="5">
        <f ca="1">IFERROR(__xludf.DUMMYFUNCTION("""COMPUTED_VALUE"""),911)</f>
        <v>911</v>
      </c>
      <c r="P259" s="3">
        <f ca="1">IFERROR(__xludf.DUMMYFUNCTION("""COMPUTED_VALUE"""),-44276)</f>
        <v>-44276</v>
      </c>
      <c r="Q259" s="5">
        <f ca="1">IFERROR(__xludf.DUMMYFUNCTION("""COMPUTED_VALUE"""),2007)</f>
        <v>2007</v>
      </c>
      <c r="R259" s="3"/>
      <c r="S259" s="3"/>
      <c r="T259" s="3"/>
      <c r="U259" s="3"/>
      <c r="V259" s="3"/>
      <c r="W259" s="3"/>
      <c r="X259" s="3"/>
    </row>
    <row r="260" spans="1:24" x14ac:dyDescent="0.2">
      <c r="A260" s="3"/>
      <c r="B260" s="3"/>
      <c r="C260" s="3"/>
      <c r="D260" s="3"/>
      <c r="E260" s="3"/>
      <c r="F260" s="3"/>
      <c r="G260" s="3"/>
      <c r="H260" s="3"/>
      <c r="I260" s="3"/>
      <c r="J260" s="3"/>
      <c r="K260" s="3"/>
      <c r="L260" s="5">
        <f ca="1">IFERROR(__xludf.DUMMYFUNCTION("""COMPUTED_VALUE"""),180)</f>
        <v>180</v>
      </c>
      <c r="M260" s="5">
        <f ca="1">IFERROR(__xludf.DUMMYFUNCTION("""COMPUTED_VALUE"""),181)</f>
        <v>181</v>
      </c>
      <c r="N260" s="3" t="str">
        <f ca="1">IFERROR(__xludf.DUMMYFUNCTION("""COMPUTED_VALUE""")," ")</f>
        <v xml:space="preserve"> </v>
      </c>
      <c r="O260" s="5">
        <f ca="1">IFERROR(__xludf.DUMMYFUNCTION("""COMPUTED_VALUE"""),911)</f>
        <v>911</v>
      </c>
      <c r="P260" s="3">
        <f ca="1">IFERROR(__xludf.DUMMYFUNCTION("""COMPUTED_VALUE"""),-44276)</f>
        <v>-44276</v>
      </c>
      <c r="Q260" s="5">
        <f ca="1">IFERROR(__xludf.DUMMYFUNCTION("""COMPUTED_VALUE"""),2007)</f>
        <v>2007</v>
      </c>
      <c r="R260" s="3"/>
      <c r="S260" s="3"/>
      <c r="T260" s="3"/>
      <c r="U260" s="3"/>
      <c r="V260" s="3"/>
      <c r="W260" s="3"/>
      <c r="X260" s="3"/>
    </row>
    <row r="261" spans="1:24" x14ac:dyDescent="0.2">
      <c r="A261" s="3"/>
      <c r="B261" s="3"/>
      <c r="C261" s="3"/>
      <c r="D261" s="3"/>
      <c r="E261" s="3"/>
      <c r="F261" s="3"/>
      <c r="G261" s="3"/>
      <c r="H261" s="3"/>
      <c r="I261" s="3"/>
      <c r="J261" s="3"/>
      <c r="K261" s="3"/>
      <c r="L261" s="5">
        <f ca="1">IFERROR(__xludf.DUMMYFUNCTION("""COMPUTED_VALUE"""),180)</f>
        <v>180</v>
      </c>
      <c r="M261" s="5">
        <f ca="1">IFERROR(__xludf.DUMMYFUNCTION("""COMPUTED_VALUE"""),181)</f>
        <v>181</v>
      </c>
      <c r="N261" s="3" t="str">
        <f ca="1">IFERROR(__xludf.DUMMYFUNCTION("""COMPUTED_VALUE""")," ")</f>
        <v xml:space="preserve"> </v>
      </c>
      <c r="O261" s="5">
        <f ca="1">IFERROR(__xludf.DUMMYFUNCTION("""COMPUTED_VALUE"""),911)</f>
        <v>911</v>
      </c>
      <c r="P261" s="3">
        <f ca="1">IFERROR(__xludf.DUMMYFUNCTION("""COMPUTED_VALUE"""),-44276)</f>
        <v>-44276</v>
      </c>
      <c r="Q261" s="5">
        <f ca="1">IFERROR(__xludf.DUMMYFUNCTION("""COMPUTED_VALUE"""),2007)</f>
        <v>2007</v>
      </c>
      <c r="R261" s="3"/>
      <c r="S261" s="3"/>
      <c r="T261" s="3"/>
      <c r="U261" s="3"/>
      <c r="V261" s="3"/>
      <c r="W261" s="3"/>
      <c r="X261" s="3"/>
    </row>
    <row r="262" spans="1:24" x14ac:dyDescent="0.2">
      <c r="A262" s="3"/>
      <c r="B262" s="3"/>
      <c r="C262" s="3"/>
      <c r="D262" s="3"/>
      <c r="E262" s="3"/>
      <c r="F262" s="3"/>
      <c r="G262" s="3"/>
      <c r="H262" s="3"/>
      <c r="I262" s="3"/>
      <c r="J262" s="3"/>
      <c r="K262" s="3"/>
      <c r="L262" s="5">
        <f ca="1">IFERROR(__xludf.DUMMYFUNCTION("""COMPUTED_VALUE"""),180)</f>
        <v>180</v>
      </c>
      <c r="M262" s="5">
        <f ca="1">IFERROR(__xludf.DUMMYFUNCTION("""COMPUTED_VALUE"""),181)</f>
        <v>181</v>
      </c>
      <c r="N262" s="3" t="str">
        <f ca="1">IFERROR(__xludf.DUMMYFUNCTION("""COMPUTED_VALUE""")," ")</f>
        <v xml:space="preserve"> </v>
      </c>
      <c r="O262" s="5">
        <f ca="1">IFERROR(__xludf.DUMMYFUNCTION("""COMPUTED_VALUE"""),911)</f>
        <v>911</v>
      </c>
      <c r="P262" s="3">
        <f ca="1">IFERROR(__xludf.DUMMYFUNCTION("""COMPUTED_VALUE"""),-44276)</f>
        <v>-44276</v>
      </c>
      <c r="Q262" s="5">
        <f ca="1">IFERROR(__xludf.DUMMYFUNCTION("""COMPUTED_VALUE"""),2007)</f>
        <v>2007</v>
      </c>
      <c r="R262" s="3"/>
      <c r="S262" s="3"/>
      <c r="T262" s="3"/>
      <c r="U262" s="3"/>
      <c r="V262" s="3"/>
      <c r="W262" s="3"/>
      <c r="X262" s="3"/>
    </row>
    <row r="263" spans="1:24" x14ac:dyDescent="0.2">
      <c r="A263" s="3"/>
      <c r="B263" s="3"/>
      <c r="C263" s="3"/>
      <c r="D263" s="3"/>
      <c r="E263" s="3"/>
      <c r="F263" s="3"/>
      <c r="G263" s="3"/>
      <c r="H263" s="3"/>
      <c r="I263" s="3"/>
      <c r="J263" s="3"/>
      <c r="K263" s="3"/>
      <c r="L263" s="5">
        <f ca="1">IFERROR(__xludf.DUMMYFUNCTION("""COMPUTED_VALUE"""),180)</f>
        <v>180</v>
      </c>
      <c r="M263" s="5">
        <f ca="1">IFERROR(__xludf.DUMMYFUNCTION("""COMPUTED_VALUE"""),181)</f>
        <v>181</v>
      </c>
      <c r="N263" s="3" t="str">
        <f ca="1">IFERROR(__xludf.DUMMYFUNCTION("""COMPUTED_VALUE""")," ")</f>
        <v xml:space="preserve"> </v>
      </c>
      <c r="O263" s="5">
        <f ca="1">IFERROR(__xludf.DUMMYFUNCTION("""COMPUTED_VALUE"""),911)</f>
        <v>911</v>
      </c>
      <c r="P263" s="3">
        <f ca="1">IFERROR(__xludf.DUMMYFUNCTION("""COMPUTED_VALUE"""),-44276)</f>
        <v>-44276</v>
      </c>
      <c r="Q263" s="5">
        <f ca="1">IFERROR(__xludf.DUMMYFUNCTION("""COMPUTED_VALUE"""),2007)</f>
        <v>2007</v>
      </c>
      <c r="R263" s="3"/>
      <c r="S263" s="3"/>
      <c r="T263" s="3"/>
      <c r="U263" s="3"/>
      <c r="V263" s="3"/>
      <c r="W263" s="3"/>
      <c r="X263" s="3"/>
    </row>
    <row r="264" spans="1:24" x14ac:dyDescent="0.2">
      <c r="A264" s="3"/>
      <c r="B264" s="3"/>
      <c r="C264" s="3"/>
      <c r="D264" s="3"/>
      <c r="E264" s="3"/>
      <c r="F264" s="3"/>
      <c r="G264" s="3"/>
      <c r="H264" s="3"/>
      <c r="I264" s="3"/>
      <c r="J264" s="3"/>
      <c r="K264" s="3"/>
      <c r="L264" s="5">
        <f ca="1">IFERROR(__xludf.DUMMYFUNCTION("""COMPUTED_VALUE"""),180)</f>
        <v>180</v>
      </c>
      <c r="M264" s="5">
        <f ca="1">IFERROR(__xludf.DUMMYFUNCTION("""COMPUTED_VALUE"""),181)</f>
        <v>181</v>
      </c>
      <c r="N264" s="3" t="str">
        <f ca="1">IFERROR(__xludf.DUMMYFUNCTION("""COMPUTED_VALUE""")," ")</f>
        <v xml:space="preserve"> </v>
      </c>
      <c r="O264" s="5">
        <f ca="1">IFERROR(__xludf.DUMMYFUNCTION("""COMPUTED_VALUE"""),911)</f>
        <v>911</v>
      </c>
      <c r="P264" s="3">
        <f ca="1">IFERROR(__xludf.DUMMYFUNCTION("""COMPUTED_VALUE"""),-44276)</f>
        <v>-44276</v>
      </c>
      <c r="Q264" s="5">
        <f ca="1">IFERROR(__xludf.DUMMYFUNCTION("""COMPUTED_VALUE"""),2007)</f>
        <v>2007</v>
      </c>
      <c r="R264" s="3"/>
      <c r="S264" s="3"/>
      <c r="T264" s="3"/>
      <c r="U264" s="3"/>
      <c r="V264" s="3"/>
      <c r="W264" s="3"/>
      <c r="X264" s="3"/>
    </row>
    <row r="265" spans="1:24" x14ac:dyDescent="0.2">
      <c r="A265" s="3"/>
      <c r="B265" s="3"/>
      <c r="C265" s="3"/>
      <c r="D265" s="3"/>
      <c r="E265" s="3"/>
      <c r="F265" s="3"/>
      <c r="G265" s="3"/>
      <c r="H265" s="3"/>
      <c r="I265" s="3"/>
      <c r="J265" s="3"/>
      <c r="K265" s="3"/>
      <c r="L265" s="5">
        <f ca="1">IFERROR(__xludf.DUMMYFUNCTION("""COMPUTED_VALUE"""),180)</f>
        <v>180</v>
      </c>
      <c r="M265" s="5">
        <f ca="1">IFERROR(__xludf.DUMMYFUNCTION("""COMPUTED_VALUE"""),181)</f>
        <v>181</v>
      </c>
      <c r="N265" s="3" t="str">
        <f ca="1">IFERROR(__xludf.DUMMYFUNCTION("""COMPUTED_VALUE""")," ")</f>
        <v xml:space="preserve"> </v>
      </c>
      <c r="O265" s="5">
        <f ca="1">IFERROR(__xludf.DUMMYFUNCTION("""COMPUTED_VALUE"""),911)</f>
        <v>911</v>
      </c>
      <c r="P265" s="3">
        <f ca="1">IFERROR(__xludf.DUMMYFUNCTION("""COMPUTED_VALUE"""),-44276)</f>
        <v>-44276</v>
      </c>
      <c r="Q265" s="5">
        <f ca="1">IFERROR(__xludf.DUMMYFUNCTION("""COMPUTED_VALUE"""),2007)</f>
        <v>2007</v>
      </c>
      <c r="R265" s="3"/>
      <c r="S265" s="3"/>
      <c r="T265" s="3"/>
      <c r="U265" s="3"/>
      <c r="V265" s="3"/>
      <c r="W265" s="3"/>
      <c r="X265" s="3"/>
    </row>
    <row r="266" spans="1:24" x14ac:dyDescent="0.2">
      <c r="A266" s="3"/>
      <c r="B266" s="3"/>
      <c r="C266" s="3"/>
      <c r="D266" s="3"/>
      <c r="E266" s="3"/>
      <c r="F266" s="3"/>
      <c r="G266" s="3"/>
      <c r="H266" s="3"/>
      <c r="I266" s="3"/>
      <c r="J266" s="3"/>
      <c r="K266" s="3"/>
      <c r="L266" s="5">
        <f ca="1">IFERROR(__xludf.DUMMYFUNCTION("""COMPUTED_VALUE"""),180)</f>
        <v>180</v>
      </c>
      <c r="M266" s="5">
        <f ca="1">IFERROR(__xludf.DUMMYFUNCTION("""COMPUTED_VALUE"""),181)</f>
        <v>181</v>
      </c>
      <c r="N266" s="3" t="str">
        <f ca="1">IFERROR(__xludf.DUMMYFUNCTION("""COMPUTED_VALUE""")," ")</f>
        <v xml:space="preserve"> </v>
      </c>
      <c r="O266" s="5">
        <f ca="1">IFERROR(__xludf.DUMMYFUNCTION("""COMPUTED_VALUE"""),911)</f>
        <v>911</v>
      </c>
      <c r="P266" s="3">
        <f ca="1">IFERROR(__xludf.DUMMYFUNCTION("""COMPUTED_VALUE"""),-44276)</f>
        <v>-44276</v>
      </c>
      <c r="Q266" s="5">
        <f ca="1">IFERROR(__xludf.DUMMYFUNCTION("""COMPUTED_VALUE"""),2007)</f>
        <v>2007</v>
      </c>
      <c r="R266" s="3"/>
      <c r="S266" s="3"/>
      <c r="T266" s="3"/>
      <c r="U266" s="3"/>
      <c r="V266" s="3"/>
      <c r="W266" s="3"/>
      <c r="X266" s="3"/>
    </row>
    <row r="267" spans="1:24" x14ac:dyDescent="0.2">
      <c r="A267" s="3"/>
      <c r="B267" s="3"/>
      <c r="C267" s="3"/>
      <c r="D267" s="3"/>
      <c r="E267" s="3"/>
      <c r="F267" s="3"/>
      <c r="G267" s="3"/>
      <c r="H267" s="3"/>
      <c r="I267" s="3"/>
      <c r="J267" s="3"/>
      <c r="K267" s="3"/>
      <c r="L267" s="5">
        <f ca="1">IFERROR(__xludf.DUMMYFUNCTION("""COMPUTED_VALUE"""),180)</f>
        <v>180</v>
      </c>
      <c r="M267" s="5">
        <f ca="1">IFERROR(__xludf.DUMMYFUNCTION("""COMPUTED_VALUE"""),181)</f>
        <v>181</v>
      </c>
      <c r="N267" s="3" t="str">
        <f ca="1">IFERROR(__xludf.DUMMYFUNCTION("""COMPUTED_VALUE""")," ")</f>
        <v xml:space="preserve"> </v>
      </c>
      <c r="O267" s="5">
        <f ca="1">IFERROR(__xludf.DUMMYFUNCTION("""COMPUTED_VALUE"""),911)</f>
        <v>911</v>
      </c>
      <c r="P267" s="3">
        <f ca="1">IFERROR(__xludf.DUMMYFUNCTION("""COMPUTED_VALUE"""),-44276)</f>
        <v>-44276</v>
      </c>
      <c r="Q267" s="5">
        <f ca="1">IFERROR(__xludf.DUMMYFUNCTION("""COMPUTED_VALUE"""),2007)</f>
        <v>2007</v>
      </c>
      <c r="R267" s="3"/>
      <c r="S267" s="3"/>
      <c r="T267" s="3"/>
      <c r="U267" s="3"/>
      <c r="V267" s="3"/>
      <c r="W267" s="3"/>
      <c r="X267" s="3"/>
    </row>
    <row r="268" spans="1:24" x14ac:dyDescent="0.2">
      <c r="A268" s="3"/>
      <c r="B268" s="3"/>
      <c r="C268" s="3"/>
      <c r="D268" s="3"/>
      <c r="E268" s="3"/>
      <c r="F268" s="3"/>
      <c r="G268" s="3"/>
      <c r="H268" s="3"/>
      <c r="I268" s="3"/>
      <c r="J268" s="3"/>
      <c r="K268" s="3"/>
      <c r="L268" s="5">
        <f ca="1">IFERROR(__xludf.DUMMYFUNCTION("""COMPUTED_VALUE"""),180)</f>
        <v>180</v>
      </c>
      <c r="M268" s="5">
        <f ca="1">IFERROR(__xludf.DUMMYFUNCTION("""COMPUTED_VALUE"""),181)</f>
        <v>181</v>
      </c>
      <c r="N268" s="3" t="str">
        <f ca="1">IFERROR(__xludf.DUMMYFUNCTION("""COMPUTED_VALUE""")," ")</f>
        <v xml:space="preserve"> </v>
      </c>
      <c r="O268" s="5">
        <f ca="1">IFERROR(__xludf.DUMMYFUNCTION("""COMPUTED_VALUE"""),911)</f>
        <v>911</v>
      </c>
      <c r="P268" s="3">
        <f ca="1">IFERROR(__xludf.DUMMYFUNCTION("""COMPUTED_VALUE"""),-44276)</f>
        <v>-44276</v>
      </c>
      <c r="Q268" s="5">
        <f ca="1">IFERROR(__xludf.DUMMYFUNCTION("""COMPUTED_VALUE"""),2007)</f>
        <v>2007</v>
      </c>
      <c r="R268" s="3"/>
      <c r="S268" s="3"/>
      <c r="T268" s="3"/>
      <c r="U268" s="3"/>
      <c r="V268" s="3"/>
      <c r="W268" s="3"/>
      <c r="X268" s="3"/>
    </row>
    <row r="269" spans="1:24" x14ac:dyDescent="0.2">
      <c r="A269" s="3"/>
      <c r="B269" s="3"/>
      <c r="C269" s="3"/>
      <c r="D269" s="3"/>
      <c r="E269" s="3"/>
      <c r="F269" s="3"/>
      <c r="G269" s="3"/>
      <c r="H269" s="3"/>
      <c r="I269" s="3"/>
      <c r="J269" s="3"/>
      <c r="K269" s="3"/>
      <c r="L269" s="5">
        <f ca="1">IFERROR(__xludf.DUMMYFUNCTION("""COMPUTED_VALUE"""),180)</f>
        <v>180</v>
      </c>
      <c r="M269" s="5">
        <f ca="1">IFERROR(__xludf.DUMMYFUNCTION("""COMPUTED_VALUE"""),181)</f>
        <v>181</v>
      </c>
      <c r="N269" s="3" t="str">
        <f ca="1">IFERROR(__xludf.DUMMYFUNCTION("""COMPUTED_VALUE""")," ")</f>
        <v xml:space="preserve"> </v>
      </c>
      <c r="O269" s="5">
        <f ca="1">IFERROR(__xludf.DUMMYFUNCTION("""COMPUTED_VALUE"""),911)</f>
        <v>911</v>
      </c>
      <c r="P269" s="3">
        <f ca="1">IFERROR(__xludf.DUMMYFUNCTION("""COMPUTED_VALUE"""),-44276)</f>
        <v>-44276</v>
      </c>
      <c r="Q269" s="5">
        <f ca="1">IFERROR(__xludf.DUMMYFUNCTION("""COMPUTED_VALUE"""),2007)</f>
        <v>2007</v>
      </c>
      <c r="R269" s="3"/>
      <c r="S269" s="3"/>
      <c r="T269" s="3"/>
      <c r="U269" s="3"/>
      <c r="V269" s="3"/>
      <c r="W269" s="3"/>
      <c r="X269" s="3"/>
    </row>
    <row r="270" spans="1:24" x14ac:dyDescent="0.2">
      <c r="A270" s="3"/>
      <c r="B270" s="3"/>
      <c r="C270" s="3"/>
      <c r="D270" s="3"/>
      <c r="E270" s="3"/>
      <c r="F270" s="3"/>
      <c r="G270" s="3"/>
      <c r="H270" s="3"/>
      <c r="I270" s="3"/>
      <c r="J270" s="3"/>
      <c r="K270" s="3"/>
      <c r="L270" s="5">
        <f ca="1">IFERROR(__xludf.DUMMYFUNCTION("""COMPUTED_VALUE"""),180)</f>
        <v>180</v>
      </c>
      <c r="M270" s="5">
        <f ca="1">IFERROR(__xludf.DUMMYFUNCTION("""COMPUTED_VALUE"""),181)</f>
        <v>181</v>
      </c>
      <c r="N270" s="3" t="str">
        <f ca="1">IFERROR(__xludf.DUMMYFUNCTION("""COMPUTED_VALUE""")," ")</f>
        <v xml:space="preserve"> </v>
      </c>
      <c r="O270" s="5">
        <f ca="1">IFERROR(__xludf.DUMMYFUNCTION("""COMPUTED_VALUE"""),911)</f>
        <v>911</v>
      </c>
      <c r="P270" s="3">
        <f ca="1">IFERROR(__xludf.DUMMYFUNCTION("""COMPUTED_VALUE"""),-44276)</f>
        <v>-44276</v>
      </c>
      <c r="Q270" s="5">
        <f ca="1">IFERROR(__xludf.DUMMYFUNCTION("""COMPUTED_VALUE"""),2007)</f>
        <v>2007</v>
      </c>
      <c r="R270" s="3"/>
      <c r="S270" s="3"/>
      <c r="T270" s="3"/>
      <c r="U270" s="3"/>
      <c r="V270" s="3"/>
      <c r="W270" s="3"/>
      <c r="X270" s="3"/>
    </row>
    <row r="271" spans="1:24" x14ac:dyDescent="0.2">
      <c r="A271" s="3"/>
      <c r="B271" s="3"/>
      <c r="C271" s="3"/>
      <c r="D271" s="3"/>
      <c r="E271" s="3"/>
      <c r="F271" s="3"/>
      <c r="G271" s="3"/>
      <c r="H271" s="3"/>
      <c r="I271" s="3"/>
      <c r="J271" s="3"/>
      <c r="K271" s="3"/>
      <c r="L271" s="5">
        <f ca="1">IFERROR(__xludf.DUMMYFUNCTION("""COMPUTED_VALUE"""),180)</f>
        <v>180</v>
      </c>
      <c r="M271" s="5">
        <f ca="1">IFERROR(__xludf.DUMMYFUNCTION("""COMPUTED_VALUE"""),181)</f>
        <v>181</v>
      </c>
      <c r="N271" s="3" t="str">
        <f ca="1">IFERROR(__xludf.DUMMYFUNCTION("""COMPUTED_VALUE""")," ")</f>
        <v xml:space="preserve"> </v>
      </c>
      <c r="O271" s="5">
        <f ca="1">IFERROR(__xludf.DUMMYFUNCTION("""COMPUTED_VALUE"""),911)</f>
        <v>911</v>
      </c>
      <c r="P271" s="3">
        <f ca="1">IFERROR(__xludf.DUMMYFUNCTION("""COMPUTED_VALUE"""),-44276)</f>
        <v>-44276</v>
      </c>
      <c r="Q271" s="5">
        <f ca="1">IFERROR(__xludf.DUMMYFUNCTION("""COMPUTED_VALUE"""),2007)</f>
        <v>2007</v>
      </c>
      <c r="R271" s="3"/>
      <c r="S271" s="3"/>
      <c r="T271" s="3"/>
      <c r="U271" s="3"/>
      <c r="V271" s="3"/>
      <c r="W271" s="3"/>
      <c r="X271" s="3"/>
    </row>
    <row r="272" spans="1:24" x14ac:dyDescent="0.2">
      <c r="A272" s="3"/>
      <c r="B272" s="3"/>
      <c r="C272" s="3"/>
      <c r="D272" s="3"/>
      <c r="E272" s="3"/>
      <c r="F272" s="3"/>
      <c r="G272" s="3"/>
      <c r="H272" s="3"/>
      <c r="I272" s="3"/>
      <c r="J272" s="3"/>
      <c r="K272" s="3"/>
      <c r="L272" s="5">
        <f ca="1">IFERROR(__xludf.DUMMYFUNCTION("""COMPUTED_VALUE"""),180)</f>
        <v>180</v>
      </c>
      <c r="M272" s="5">
        <f ca="1">IFERROR(__xludf.DUMMYFUNCTION("""COMPUTED_VALUE"""),181)</f>
        <v>181</v>
      </c>
      <c r="N272" s="3" t="str">
        <f ca="1">IFERROR(__xludf.DUMMYFUNCTION("""COMPUTED_VALUE""")," ")</f>
        <v xml:space="preserve"> </v>
      </c>
      <c r="O272" s="5">
        <f ca="1">IFERROR(__xludf.DUMMYFUNCTION("""COMPUTED_VALUE"""),911)</f>
        <v>911</v>
      </c>
      <c r="P272" s="3">
        <f ca="1">IFERROR(__xludf.DUMMYFUNCTION("""COMPUTED_VALUE"""),-44276)</f>
        <v>-44276</v>
      </c>
      <c r="Q272" s="5">
        <f ca="1">IFERROR(__xludf.DUMMYFUNCTION("""COMPUTED_VALUE"""),2007)</f>
        <v>2007</v>
      </c>
      <c r="R272" s="3"/>
      <c r="S272" s="3"/>
      <c r="T272" s="3"/>
      <c r="U272" s="3"/>
      <c r="V272" s="3"/>
      <c r="W272" s="3"/>
      <c r="X272" s="3"/>
    </row>
    <row r="273" spans="1:24" x14ac:dyDescent="0.2">
      <c r="A273" s="3"/>
      <c r="B273" s="3"/>
      <c r="C273" s="3"/>
      <c r="D273" s="3"/>
      <c r="E273" s="3"/>
      <c r="F273" s="3"/>
      <c r="G273" s="3"/>
      <c r="H273" s="3"/>
      <c r="I273" s="3"/>
      <c r="J273" s="3"/>
      <c r="K273" s="3"/>
      <c r="L273" s="5">
        <f ca="1">IFERROR(__xludf.DUMMYFUNCTION("""COMPUTED_VALUE"""),180)</f>
        <v>180</v>
      </c>
      <c r="M273" s="5">
        <f ca="1">IFERROR(__xludf.DUMMYFUNCTION("""COMPUTED_VALUE"""),181)</f>
        <v>181</v>
      </c>
      <c r="N273" s="3" t="str">
        <f ca="1">IFERROR(__xludf.DUMMYFUNCTION("""COMPUTED_VALUE""")," ")</f>
        <v xml:space="preserve"> </v>
      </c>
      <c r="O273" s="5">
        <f ca="1">IFERROR(__xludf.DUMMYFUNCTION("""COMPUTED_VALUE"""),911)</f>
        <v>911</v>
      </c>
      <c r="P273" s="3">
        <f ca="1">IFERROR(__xludf.DUMMYFUNCTION("""COMPUTED_VALUE"""),-44276)</f>
        <v>-44276</v>
      </c>
      <c r="Q273" s="5">
        <f ca="1">IFERROR(__xludf.DUMMYFUNCTION("""COMPUTED_VALUE"""),2007)</f>
        <v>2007</v>
      </c>
      <c r="R273" s="3"/>
      <c r="S273" s="3"/>
      <c r="T273" s="3"/>
      <c r="U273" s="3"/>
      <c r="V273" s="3"/>
      <c r="W273" s="3"/>
      <c r="X273" s="3"/>
    </row>
    <row r="274" spans="1:24" x14ac:dyDescent="0.2">
      <c r="A274" s="3"/>
      <c r="B274" s="3"/>
      <c r="C274" s="3"/>
      <c r="D274" s="3"/>
      <c r="E274" s="3"/>
      <c r="F274" s="3"/>
      <c r="G274" s="3"/>
      <c r="H274" s="3"/>
      <c r="I274" s="3"/>
      <c r="J274" s="3"/>
      <c r="K274" s="3"/>
      <c r="L274" s="5">
        <f ca="1">IFERROR(__xludf.DUMMYFUNCTION("""COMPUTED_VALUE"""),180)</f>
        <v>180</v>
      </c>
      <c r="M274" s="5">
        <f ca="1">IFERROR(__xludf.DUMMYFUNCTION("""COMPUTED_VALUE"""),181)</f>
        <v>181</v>
      </c>
      <c r="N274" s="3" t="str">
        <f ca="1">IFERROR(__xludf.DUMMYFUNCTION("""COMPUTED_VALUE""")," ")</f>
        <v xml:space="preserve"> </v>
      </c>
      <c r="O274" s="5">
        <f ca="1">IFERROR(__xludf.DUMMYFUNCTION("""COMPUTED_VALUE"""),911)</f>
        <v>911</v>
      </c>
      <c r="P274" s="3">
        <f ca="1">IFERROR(__xludf.DUMMYFUNCTION("""COMPUTED_VALUE"""),-44276)</f>
        <v>-44276</v>
      </c>
      <c r="Q274" s="5">
        <f ca="1">IFERROR(__xludf.DUMMYFUNCTION("""COMPUTED_VALUE"""),2007)</f>
        <v>2007</v>
      </c>
      <c r="R274" s="3"/>
      <c r="S274" s="3"/>
      <c r="T274" s="3"/>
      <c r="U274" s="3"/>
      <c r="V274" s="3"/>
      <c r="W274" s="3"/>
      <c r="X274" s="3"/>
    </row>
    <row r="275" spans="1:24" x14ac:dyDescent="0.2">
      <c r="A275" s="3"/>
      <c r="B275" s="3"/>
      <c r="C275" s="3"/>
      <c r="D275" s="3"/>
      <c r="E275" s="3"/>
      <c r="F275" s="3"/>
      <c r="G275" s="3"/>
      <c r="H275" s="3"/>
      <c r="I275" s="3"/>
      <c r="J275" s="3"/>
      <c r="K275" s="3"/>
      <c r="L275" s="5">
        <f ca="1">IFERROR(__xludf.DUMMYFUNCTION("""COMPUTED_VALUE"""),180)</f>
        <v>180</v>
      </c>
      <c r="M275" s="5">
        <f ca="1">IFERROR(__xludf.DUMMYFUNCTION("""COMPUTED_VALUE"""),181)</f>
        <v>181</v>
      </c>
      <c r="N275" s="3" t="str">
        <f ca="1">IFERROR(__xludf.DUMMYFUNCTION("""COMPUTED_VALUE""")," ")</f>
        <v xml:space="preserve"> </v>
      </c>
      <c r="O275" s="5">
        <f ca="1">IFERROR(__xludf.DUMMYFUNCTION("""COMPUTED_VALUE"""),911)</f>
        <v>911</v>
      </c>
      <c r="P275" s="3">
        <f ca="1">IFERROR(__xludf.DUMMYFUNCTION("""COMPUTED_VALUE"""),-44276)</f>
        <v>-44276</v>
      </c>
      <c r="Q275" s="5">
        <f ca="1">IFERROR(__xludf.DUMMYFUNCTION("""COMPUTED_VALUE"""),2007)</f>
        <v>2007</v>
      </c>
      <c r="R275" s="3"/>
      <c r="S275" s="3"/>
      <c r="T275" s="3"/>
      <c r="U275" s="3"/>
      <c r="V275" s="3"/>
      <c r="W275" s="3"/>
      <c r="X275" s="3"/>
    </row>
    <row r="276" spans="1:24" x14ac:dyDescent="0.2">
      <c r="A276" s="3"/>
      <c r="B276" s="3"/>
      <c r="C276" s="3"/>
      <c r="D276" s="3"/>
      <c r="E276" s="3"/>
      <c r="F276" s="3"/>
      <c r="G276" s="3"/>
      <c r="H276" s="3"/>
      <c r="I276" s="3"/>
      <c r="J276" s="3"/>
      <c r="K276" s="3"/>
      <c r="L276" s="5">
        <f ca="1">IFERROR(__xludf.DUMMYFUNCTION("""COMPUTED_VALUE"""),180)</f>
        <v>180</v>
      </c>
      <c r="M276" s="5">
        <f ca="1">IFERROR(__xludf.DUMMYFUNCTION("""COMPUTED_VALUE"""),181)</f>
        <v>181</v>
      </c>
      <c r="N276" s="3" t="str">
        <f ca="1">IFERROR(__xludf.DUMMYFUNCTION("""COMPUTED_VALUE""")," ")</f>
        <v xml:space="preserve"> </v>
      </c>
      <c r="O276" s="5">
        <f ca="1">IFERROR(__xludf.DUMMYFUNCTION("""COMPUTED_VALUE"""),911)</f>
        <v>911</v>
      </c>
      <c r="P276" s="3">
        <f ca="1">IFERROR(__xludf.DUMMYFUNCTION("""COMPUTED_VALUE"""),-44276)</f>
        <v>-44276</v>
      </c>
      <c r="Q276" s="5">
        <f ca="1">IFERROR(__xludf.DUMMYFUNCTION("""COMPUTED_VALUE"""),2007)</f>
        <v>2007</v>
      </c>
      <c r="R276" s="3"/>
      <c r="S276" s="3"/>
      <c r="T276" s="3"/>
      <c r="U276" s="3"/>
      <c r="V276" s="3"/>
      <c r="W276" s="3"/>
      <c r="X276" s="3"/>
    </row>
    <row r="277" spans="1:24" x14ac:dyDescent="0.2">
      <c r="A277" s="3"/>
      <c r="B277" s="3"/>
      <c r="C277" s="3"/>
      <c r="D277" s="3"/>
      <c r="E277" s="3"/>
      <c r="F277" s="3"/>
      <c r="G277" s="3"/>
      <c r="H277" s="3"/>
      <c r="I277" s="3"/>
      <c r="J277" s="3"/>
      <c r="K277" s="3"/>
      <c r="L277" s="5">
        <f ca="1">IFERROR(__xludf.DUMMYFUNCTION("""COMPUTED_VALUE"""),180)</f>
        <v>180</v>
      </c>
      <c r="M277" s="5">
        <f ca="1">IFERROR(__xludf.DUMMYFUNCTION("""COMPUTED_VALUE"""),181)</f>
        <v>181</v>
      </c>
      <c r="N277" s="3" t="str">
        <f ca="1">IFERROR(__xludf.DUMMYFUNCTION("""COMPUTED_VALUE""")," ")</f>
        <v xml:space="preserve"> </v>
      </c>
      <c r="O277" s="5">
        <f ca="1">IFERROR(__xludf.DUMMYFUNCTION("""COMPUTED_VALUE"""),911)</f>
        <v>911</v>
      </c>
      <c r="P277" s="3">
        <f ca="1">IFERROR(__xludf.DUMMYFUNCTION("""COMPUTED_VALUE"""),-44276)</f>
        <v>-44276</v>
      </c>
      <c r="Q277" s="5">
        <f ca="1">IFERROR(__xludf.DUMMYFUNCTION("""COMPUTED_VALUE"""),2007)</f>
        <v>2007</v>
      </c>
      <c r="R277" s="3"/>
      <c r="S277" s="3"/>
      <c r="T277" s="3"/>
      <c r="U277" s="3"/>
      <c r="V277" s="3"/>
      <c r="W277" s="3"/>
      <c r="X277" s="3"/>
    </row>
    <row r="278" spans="1:24" x14ac:dyDescent="0.2">
      <c r="A278" s="3"/>
      <c r="B278" s="3"/>
      <c r="C278" s="3"/>
      <c r="D278" s="3"/>
      <c r="E278" s="3"/>
      <c r="F278" s="3"/>
      <c r="G278" s="3"/>
      <c r="H278" s="3"/>
      <c r="I278" s="3"/>
      <c r="J278" s="3"/>
      <c r="K278" s="3"/>
      <c r="L278" s="5">
        <f ca="1">IFERROR(__xludf.DUMMYFUNCTION("""COMPUTED_VALUE"""),180)</f>
        <v>180</v>
      </c>
      <c r="M278" s="5">
        <f ca="1">IFERROR(__xludf.DUMMYFUNCTION("""COMPUTED_VALUE"""),181)</f>
        <v>181</v>
      </c>
      <c r="N278" s="3" t="str">
        <f ca="1">IFERROR(__xludf.DUMMYFUNCTION("""COMPUTED_VALUE""")," ")</f>
        <v xml:space="preserve"> </v>
      </c>
      <c r="O278" s="5">
        <f ca="1">IFERROR(__xludf.DUMMYFUNCTION("""COMPUTED_VALUE"""),911)</f>
        <v>911</v>
      </c>
      <c r="P278" s="3">
        <f ca="1">IFERROR(__xludf.DUMMYFUNCTION("""COMPUTED_VALUE"""),-44276)</f>
        <v>-44276</v>
      </c>
      <c r="Q278" s="5">
        <f ca="1">IFERROR(__xludf.DUMMYFUNCTION("""COMPUTED_VALUE"""),2007)</f>
        <v>2007</v>
      </c>
      <c r="R278" s="3"/>
      <c r="S278" s="3"/>
      <c r="T278" s="3"/>
      <c r="U278" s="3"/>
      <c r="V278" s="3"/>
      <c r="W278" s="3"/>
      <c r="X278" s="3"/>
    </row>
    <row r="279" spans="1:24" x14ac:dyDescent="0.2">
      <c r="A279" s="3"/>
      <c r="B279" s="3"/>
      <c r="C279" s="3"/>
      <c r="D279" s="3"/>
      <c r="E279" s="3"/>
      <c r="F279" s="3"/>
      <c r="G279" s="3"/>
      <c r="H279" s="3"/>
      <c r="I279" s="3"/>
      <c r="J279" s="3"/>
      <c r="K279" s="3"/>
      <c r="L279" s="5">
        <f ca="1">IFERROR(__xludf.DUMMYFUNCTION("""COMPUTED_VALUE"""),180)</f>
        <v>180</v>
      </c>
      <c r="M279" s="5">
        <f ca="1">IFERROR(__xludf.DUMMYFUNCTION("""COMPUTED_VALUE"""),181)</f>
        <v>181</v>
      </c>
      <c r="N279" s="3" t="str">
        <f ca="1">IFERROR(__xludf.DUMMYFUNCTION("""COMPUTED_VALUE""")," ")</f>
        <v xml:space="preserve"> </v>
      </c>
      <c r="O279" s="5">
        <f ca="1">IFERROR(__xludf.DUMMYFUNCTION("""COMPUTED_VALUE"""),911)</f>
        <v>911</v>
      </c>
      <c r="P279" s="3">
        <f ca="1">IFERROR(__xludf.DUMMYFUNCTION("""COMPUTED_VALUE"""),-44276)</f>
        <v>-44276</v>
      </c>
      <c r="Q279" s="5">
        <f ca="1">IFERROR(__xludf.DUMMYFUNCTION("""COMPUTED_VALUE"""),2007)</f>
        <v>2007</v>
      </c>
      <c r="R279" s="3"/>
      <c r="S279" s="3"/>
      <c r="T279" s="3"/>
      <c r="U279" s="3"/>
      <c r="V279" s="3"/>
      <c r="W279" s="3"/>
      <c r="X279" s="3"/>
    </row>
    <row r="280" spans="1:24" x14ac:dyDescent="0.2">
      <c r="A280" s="3"/>
      <c r="B280" s="3"/>
      <c r="C280" s="3"/>
      <c r="D280" s="3"/>
      <c r="E280" s="3"/>
      <c r="F280" s="3"/>
      <c r="G280" s="3"/>
      <c r="H280" s="3"/>
      <c r="I280" s="3"/>
      <c r="J280" s="3"/>
      <c r="K280" s="3"/>
      <c r="L280" s="5">
        <f ca="1">IFERROR(__xludf.DUMMYFUNCTION("""COMPUTED_VALUE"""),180)</f>
        <v>180</v>
      </c>
      <c r="M280" s="5">
        <f ca="1">IFERROR(__xludf.DUMMYFUNCTION("""COMPUTED_VALUE"""),181)</f>
        <v>181</v>
      </c>
      <c r="N280" s="3" t="str">
        <f ca="1">IFERROR(__xludf.DUMMYFUNCTION("""COMPUTED_VALUE""")," ")</f>
        <v xml:space="preserve"> </v>
      </c>
      <c r="O280" s="5">
        <f ca="1">IFERROR(__xludf.DUMMYFUNCTION("""COMPUTED_VALUE"""),911)</f>
        <v>911</v>
      </c>
      <c r="P280" s="3">
        <f ca="1">IFERROR(__xludf.DUMMYFUNCTION("""COMPUTED_VALUE"""),-44276)</f>
        <v>-44276</v>
      </c>
      <c r="Q280" s="5">
        <f ca="1">IFERROR(__xludf.DUMMYFUNCTION("""COMPUTED_VALUE"""),2007)</f>
        <v>2007</v>
      </c>
      <c r="R280" s="3"/>
      <c r="S280" s="3"/>
      <c r="T280" s="3"/>
      <c r="U280" s="3"/>
      <c r="V280" s="3"/>
      <c r="W280" s="3"/>
      <c r="X280" s="3"/>
    </row>
    <row r="281" spans="1:24" x14ac:dyDescent="0.2">
      <c r="A281" s="3"/>
      <c r="B281" s="3"/>
      <c r="C281" s="3"/>
      <c r="D281" s="3"/>
      <c r="E281" s="3"/>
      <c r="F281" s="3"/>
      <c r="G281" s="3"/>
      <c r="H281" s="3"/>
      <c r="I281" s="3"/>
      <c r="J281" s="3"/>
      <c r="K281" s="3"/>
      <c r="L281" s="5">
        <f ca="1">IFERROR(__xludf.DUMMYFUNCTION("""COMPUTED_VALUE"""),180)</f>
        <v>180</v>
      </c>
      <c r="M281" s="5">
        <f ca="1">IFERROR(__xludf.DUMMYFUNCTION("""COMPUTED_VALUE"""),181)</f>
        <v>181</v>
      </c>
      <c r="N281" s="3" t="str">
        <f ca="1">IFERROR(__xludf.DUMMYFUNCTION("""COMPUTED_VALUE""")," ")</f>
        <v xml:space="preserve"> </v>
      </c>
      <c r="O281" s="5">
        <f ca="1">IFERROR(__xludf.DUMMYFUNCTION("""COMPUTED_VALUE"""),911)</f>
        <v>911</v>
      </c>
      <c r="P281" s="3">
        <f ca="1">IFERROR(__xludf.DUMMYFUNCTION("""COMPUTED_VALUE"""),-44276)</f>
        <v>-44276</v>
      </c>
      <c r="Q281" s="5">
        <f ca="1">IFERROR(__xludf.DUMMYFUNCTION("""COMPUTED_VALUE"""),2007)</f>
        <v>2007</v>
      </c>
      <c r="R281" s="3"/>
      <c r="S281" s="3"/>
      <c r="T281" s="3"/>
      <c r="U281" s="3"/>
      <c r="V281" s="3"/>
      <c r="W281" s="3"/>
      <c r="X281" s="3"/>
    </row>
    <row r="282" spans="1:24" x14ac:dyDescent="0.2">
      <c r="A282" s="3"/>
      <c r="B282" s="3"/>
      <c r="C282" s="3"/>
      <c r="D282" s="3"/>
      <c r="E282" s="3"/>
      <c r="F282" s="3"/>
      <c r="G282" s="3"/>
      <c r="H282" s="3"/>
      <c r="I282" s="3"/>
      <c r="J282" s="3"/>
      <c r="K282" s="3"/>
      <c r="L282" s="5">
        <f ca="1">IFERROR(__xludf.DUMMYFUNCTION("""COMPUTED_VALUE"""),180)</f>
        <v>180</v>
      </c>
      <c r="M282" s="5">
        <f ca="1">IFERROR(__xludf.DUMMYFUNCTION("""COMPUTED_VALUE"""),181)</f>
        <v>181</v>
      </c>
      <c r="N282" s="3" t="str">
        <f ca="1">IFERROR(__xludf.DUMMYFUNCTION("""COMPUTED_VALUE""")," ")</f>
        <v xml:space="preserve"> </v>
      </c>
      <c r="O282" s="5">
        <f ca="1">IFERROR(__xludf.DUMMYFUNCTION("""COMPUTED_VALUE"""),911)</f>
        <v>911</v>
      </c>
      <c r="P282" s="3">
        <f ca="1">IFERROR(__xludf.DUMMYFUNCTION("""COMPUTED_VALUE"""),-44276)</f>
        <v>-44276</v>
      </c>
      <c r="Q282" s="5">
        <f ca="1">IFERROR(__xludf.DUMMYFUNCTION("""COMPUTED_VALUE"""),2007)</f>
        <v>2007</v>
      </c>
      <c r="R282" s="3"/>
      <c r="S282" s="3"/>
      <c r="T282" s="3"/>
      <c r="U282" s="3"/>
      <c r="V282" s="3"/>
      <c r="W282" s="3"/>
      <c r="X282" s="3"/>
    </row>
    <row r="283" spans="1:24" x14ac:dyDescent="0.2">
      <c r="A283" s="3"/>
      <c r="B283" s="3"/>
      <c r="C283" s="3"/>
      <c r="D283" s="3"/>
      <c r="E283" s="3"/>
      <c r="F283" s="3"/>
      <c r="G283" s="3"/>
      <c r="H283" s="3"/>
      <c r="I283" s="3"/>
      <c r="J283" s="3"/>
      <c r="K283" s="3"/>
      <c r="L283" s="5">
        <f ca="1">IFERROR(__xludf.DUMMYFUNCTION("""COMPUTED_VALUE"""),180)</f>
        <v>180</v>
      </c>
      <c r="M283" s="5">
        <f ca="1">IFERROR(__xludf.DUMMYFUNCTION("""COMPUTED_VALUE"""),181)</f>
        <v>181</v>
      </c>
      <c r="N283" s="3" t="str">
        <f ca="1">IFERROR(__xludf.DUMMYFUNCTION("""COMPUTED_VALUE""")," ")</f>
        <v xml:space="preserve"> </v>
      </c>
      <c r="O283" s="5">
        <f ca="1">IFERROR(__xludf.DUMMYFUNCTION("""COMPUTED_VALUE"""),911)</f>
        <v>911</v>
      </c>
      <c r="P283" s="3">
        <f ca="1">IFERROR(__xludf.DUMMYFUNCTION("""COMPUTED_VALUE"""),-44276)</f>
        <v>-44276</v>
      </c>
      <c r="Q283" s="5">
        <f ca="1">IFERROR(__xludf.DUMMYFUNCTION("""COMPUTED_VALUE"""),2007)</f>
        <v>2007</v>
      </c>
      <c r="R283" s="3"/>
      <c r="S283" s="3"/>
      <c r="T283" s="3"/>
      <c r="U283" s="3"/>
      <c r="V283" s="3"/>
      <c r="W283" s="3"/>
      <c r="X283" s="3"/>
    </row>
    <row r="284" spans="1:24" x14ac:dyDescent="0.2">
      <c r="A284" s="3"/>
      <c r="B284" s="3"/>
      <c r="C284" s="3"/>
      <c r="D284" s="3"/>
      <c r="E284" s="3"/>
      <c r="F284" s="3"/>
      <c r="G284" s="3"/>
      <c r="H284" s="3"/>
      <c r="I284" s="3"/>
      <c r="J284" s="3"/>
      <c r="K284" s="3"/>
      <c r="L284" s="5">
        <f ca="1">IFERROR(__xludf.DUMMYFUNCTION("""COMPUTED_VALUE"""),180)</f>
        <v>180</v>
      </c>
      <c r="M284" s="5">
        <f ca="1">IFERROR(__xludf.DUMMYFUNCTION("""COMPUTED_VALUE"""),181)</f>
        <v>181</v>
      </c>
      <c r="N284" s="3" t="str">
        <f ca="1">IFERROR(__xludf.DUMMYFUNCTION("""COMPUTED_VALUE""")," ")</f>
        <v xml:space="preserve"> </v>
      </c>
      <c r="O284" s="5">
        <f ca="1">IFERROR(__xludf.DUMMYFUNCTION("""COMPUTED_VALUE"""),911)</f>
        <v>911</v>
      </c>
      <c r="P284" s="3">
        <f ca="1">IFERROR(__xludf.DUMMYFUNCTION("""COMPUTED_VALUE"""),-44276)</f>
        <v>-44276</v>
      </c>
      <c r="Q284" s="5">
        <f ca="1">IFERROR(__xludf.DUMMYFUNCTION("""COMPUTED_VALUE"""),2007)</f>
        <v>2007</v>
      </c>
      <c r="R284" s="3"/>
      <c r="S284" s="3"/>
      <c r="T284" s="3"/>
      <c r="U284" s="3"/>
      <c r="V284" s="3"/>
      <c r="W284" s="3"/>
      <c r="X284" s="3"/>
    </row>
    <row r="285" spans="1:24" x14ac:dyDescent="0.2">
      <c r="A285" s="3"/>
      <c r="B285" s="3"/>
      <c r="C285" s="3"/>
      <c r="D285" s="3"/>
      <c r="E285" s="3"/>
      <c r="F285" s="3"/>
      <c r="G285" s="3"/>
      <c r="H285" s="3"/>
      <c r="I285" s="3"/>
      <c r="J285" s="3"/>
      <c r="K285" s="3"/>
      <c r="L285" s="5">
        <f ca="1">IFERROR(__xludf.DUMMYFUNCTION("""COMPUTED_VALUE"""),180)</f>
        <v>180</v>
      </c>
      <c r="M285" s="5">
        <f ca="1">IFERROR(__xludf.DUMMYFUNCTION("""COMPUTED_VALUE"""),181)</f>
        <v>181</v>
      </c>
      <c r="N285" s="3" t="str">
        <f ca="1">IFERROR(__xludf.DUMMYFUNCTION("""COMPUTED_VALUE""")," ")</f>
        <v xml:space="preserve"> </v>
      </c>
      <c r="O285" s="5">
        <f ca="1">IFERROR(__xludf.DUMMYFUNCTION("""COMPUTED_VALUE"""),911)</f>
        <v>911</v>
      </c>
      <c r="P285" s="3">
        <f ca="1">IFERROR(__xludf.DUMMYFUNCTION("""COMPUTED_VALUE"""),-44276)</f>
        <v>-44276</v>
      </c>
      <c r="Q285" s="5">
        <f ca="1">IFERROR(__xludf.DUMMYFUNCTION("""COMPUTED_VALUE"""),2007)</f>
        <v>2007</v>
      </c>
      <c r="R285" s="3"/>
      <c r="S285" s="3"/>
      <c r="T285" s="3"/>
      <c r="U285" s="3"/>
      <c r="V285" s="3"/>
      <c r="W285" s="3"/>
      <c r="X285" s="3"/>
    </row>
    <row r="286" spans="1:24" x14ac:dyDescent="0.2">
      <c r="A286" s="3"/>
      <c r="B286" s="3"/>
      <c r="C286" s="3"/>
      <c r="D286" s="3"/>
      <c r="E286" s="3"/>
      <c r="F286" s="3"/>
      <c r="G286" s="3"/>
      <c r="H286" s="3"/>
      <c r="I286" s="3"/>
      <c r="J286" s="3"/>
      <c r="K286" s="3"/>
      <c r="L286" s="5">
        <f ca="1">IFERROR(__xludf.DUMMYFUNCTION("""COMPUTED_VALUE"""),180)</f>
        <v>180</v>
      </c>
      <c r="M286" s="5">
        <f ca="1">IFERROR(__xludf.DUMMYFUNCTION("""COMPUTED_VALUE"""),181)</f>
        <v>181</v>
      </c>
      <c r="N286" s="3" t="str">
        <f ca="1">IFERROR(__xludf.DUMMYFUNCTION("""COMPUTED_VALUE""")," ")</f>
        <v xml:space="preserve"> </v>
      </c>
      <c r="O286" s="5">
        <f ca="1">IFERROR(__xludf.DUMMYFUNCTION("""COMPUTED_VALUE"""),911)</f>
        <v>911</v>
      </c>
      <c r="P286" s="3">
        <f ca="1">IFERROR(__xludf.DUMMYFUNCTION("""COMPUTED_VALUE"""),-44276)</f>
        <v>-44276</v>
      </c>
      <c r="Q286" s="5">
        <f ca="1">IFERROR(__xludf.DUMMYFUNCTION("""COMPUTED_VALUE"""),2007)</f>
        <v>2007</v>
      </c>
      <c r="R286" s="3"/>
      <c r="S286" s="3"/>
      <c r="T286" s="3"/>
      <c r="U286" s="3"/>
      <c r="V286" s="3"/>
      <c r="W286" s="3"/>
      <c r="X286" s="3"/>
    </row>
    <row r="287" spans="1:24" x14ac:dyDescent="0.2">
      <c r="A287" s="3"/>
      <c r="B287" s="3"/>
      <c r="C287" s="3"/>
      <c r="D287" s="3"/>
      <c r="E287" s="3"/>
      <c r="F287" s="3"/>
      <c r="G287" s="3"/>
      <c r="H287" s="3"/>
      <c r="I287" s="3"/>
      <c r="J287" s="3"/>
      <c r="K287" s="3"/>
      <c r="L287" s="5">
        <f ca="1">IFERROR(__xludf.DUMMYFUNCTION("""COMPUTED_VALUE"""),180)</f>
        <v>180</v>
      </c>
      <c r="M287" s="5">
        <f ca="1">IFERROR(__xludf.DUMMYFUNCTION("""COMPUTED_VALUE"""),181)</f>
        <v>181</v>
      </c>
      <c r="N287" s="3" t="str">
        <f ca="1">IFERROR(__xludf.DUMMYFUNCTION("""COMPUTED_VALUE""")," ")</f>
        <v xml:space="preserve"> </v>
      </c>
      <c r="O287" s="5">
        <f ca="1">IFERROR(__xludf.DUMMYFUNCTION("""COMPUTED_VALUE"""),911)</f>
        <v>911</v>
      </c>
      <c r="P287" s="3">
        <f ca="1">IFERROR(__xludf.DUMMYFUNCTION("""COMPUTED_VALUE"""),-44276)</f>
        <v>-44276</v>
      </c>
      <c r="Q287" s="5">
        <f ca="1">IFERROR(__xludf.DUMMYFUNCTION("""COMPUTED_VALUE"""),2007)</f>
        <v>2007</v>
      </c>
      <c r="R287" s="3"/>
      <c r="S287" s="3"/>
      <c r="T287" s="3"/>
      <c r="U287" s="3"/>
      <c r="V287" s="3"/>
      <c r="W287" s="3"/>
      <c r="X287" s="3"/>
    </row>
    <row r="288" spans="1:24" x14ac:dyDescent="0.2">
      <c r="A288" s="3"/>
      <c r="B288" s="3"/>
      <c r="C288" s="3"/>
      <c r="D288" s="3"/>
      <c r="E288" s="3"/>
      <c r="F288" s="3"/>
      <c r="G288" s="3"/>
      <c r="H288" s="3"/>
      <c r="I288" s="3"/>
      <c r="J288" s="3"/>
      <c r="K288" s="3"/>
      <c r="L288" s="5">
        <f ca="1">IFERROR(__xludf.DUMMYFUNCTION("""COMPUTED_VALUE"""),180)</f>
        <v>180</v>
      </c>
      <c r="M288" s="5">
        <f ca="1">IFERROR(__xludf.DUMMYFUNCTION("""COMPUTED_VALUE"""),181)</f>
        <v>181</v>
      </c>
      <c r="N288" s="3" t="str">
        <f ca="1">IFERROR(__xludf.DUMMYFUNCTION("""COMPUTED_VALUE""")," ")</f>
        <v xml:space="preserve"> </v>
      </c>
      <c r="O288" s="5">
        <f ca="1">IFERROR(__xludf.DUMMYFUNCTION("""COMPUTED_VALUE"""),911)</f>
        <v>911</v>
      </c>
      <c r="P288" s="3">
        <f ca="1">IFERROR(__xludf.DUMMYFUNCTION("""COMPUTED_VALUE"""),-44276)</f>
        <v>-44276</v>
      </c>
      <c r="Q288" s="5">
        <f ca="1">IFERROR(__xludf.DUMMYFUNCTION("""COMPUTED_VALUE"""),2007)</f>
        <v>2007</v>
      </c>
      <c r="R288" s="3"/>
      <c r="S288" s="3"/>
      <c r="T288" s="3"/>
      <c r="U288" s="3"/>
      <c r="V288" s="3"/>
      <c r="W288" s="3"/>
      <c r="X288" s="3"/>
    </row>
    <row r="289" spans="1:24" x14ac:dyDescent="0.2">
      <c r="A289" s="3"/>
      <c r="B289" s="3"/>
      <c r="C289" s="3"/>
      <c r="D289" s="3"/>
      <c r="E289" s="3"/>
      <c r="F289" s="3"/>
      <c r="G289" s="3"/>
      <c r="H289" s="3"/>
      <c r="I289" s="3"/>
      <c r="J289" s="3"/>
      <c r="K289" s="3"/>
      <c r="L289" s="5">
        <f ca="1">IFERROR(__xludf.DUMMYFUNCTION("""COMPUTED_VALUE"""),180)</f>
        <v>180</v>
      </c>
      <c r="M289" s="5">
        <f ca="1">IFERROR(__xludf.DUMMYFUNCTION("""COMPUTED_VALUE"""),181)</f>
        <v>181</v>
      </c>
      <c r="N289" s="3" t="str">
        <f ca="1">IFERROR(__xludf.DUMMYFUNCTION("""COMPUTED_VALUE""")," ")</f>
        <v xml:space="preserve"> </v>
      </c>
      <c r="O289" s="5">
        <f ca="1">IFERROR(__xludf.DUMMYFUNCTION("""COMPUTED_VALUE"""),911)</f>
        <v>911</v>
      </c>
      <c r="P289" s="3">
        <f ca="1">IFERROR(__xludf.DUMMYFUNCTION("""COMPUTED_VALUE"""),-44276)</f>
        <v>-44276</v>
      </c>
      <c r="Q289" s="5">
        <f ca="1">IFERROR(__xludf.DUMMYFUNCTION("""COMPUTED_VALUE"""),2007)</f>
        <v>2007</v>
      </c>
      <c r="R289" s="3"/>
      <c r="S289" s="3"/>
      <c r="T289" s="3"/>
      <c r="U289" s="3"/>
      <c r="V289" s="3"/>
      <c r="W289" s="3"/>
      <c r="X289" s="3"/>
    </row>
    <row r="290" spans="1:24" x14ac:dyDescent="0.2">
      <c r="A290" s="3"/>
      <c r="B290" s="3"/>
      <c r="C290" s="3"/>
      <c r="D290" s="3"/>
      <c r="E290" s="3"/>
      <c r="F290" s="3"/>
      <c r="G290" s="3"/>
      <c r="H290" s="3"/>
      <c r="I290" s="3"/>
      <c r="J290" s="3"/>
      <c r="K290" s="3"/>
      <c r="L290" s="5">
        <f ca="1">IFERROR(__xludf.DUMMYFUNCTION("""COMPUTED_VALUE"""),180)</f>
        <v>180</v>
      </c>
      <c r="M290" s="5">
        <f ca="1">IFERROR(__xludf.DUMMYFUNCTION("""COMPUTED_VALUE"""),181)</f>
        <v>181</v>
      </c>
      <c r="N290" s="3" t="str">
        <f ca="1">IFERROR(__xludf.DUMMYFUNCTION("""COMPUTED_VALUE""")," ")</f>
        <v xml:space="preserve"> </v>
      </c>
      <c r="O290" s="5">
        <f ca="1">IFERROR(__xludf.DUMMYFUNCTION("""COMPUTED_VALUE"""),911)</f>
        <v>911</v>
      </c>
      <c r="P290" s="3">
        <f ca="1">IFERROR(__xludf.DUMMYFUNCTION("""COMPUTED_VALUE"""),-44276)</f>
        <v>-44276</v>
      </c>
      <c r="Q290" s="5">
        <f ca="1">IFERROR(__xludf.DUMMYFUNCTION("""COMPUTED_VALUE"""),2007)</f>
        <v>2007</v>
      </c>
      <c r="R290" s="3"/>
      <c r="S290" s="3"/>
      <c r="T290" s="3"/>
      <c r="U290" s="3"/>
      <c r="V290" s="3"/>
      <c r="W290" s="3"/>
      <c r="X290" s="3"/>
    </row>
    <row r="291" spans="1:24" x14ac:dyDescent="0.2">
      <c r="A291" s="3"/>
      <c r="B291" s="3"/>
      <c r="C291" s="3"/>
      <c r="D291" s="3"/>
      <c r="E291" s="3"/>
      <c r="F291" s="3"/>
      <c r="G291" s="3"/>
      <c r="H291" s="3"/>
      <c r="I291" s="3"/>
      <c r="J291" s="3"/>
      <c r="K291" s="3"/>
      <c r="L291" s="5">
        <f ca="1">IFERROR(__xludf.DUMMYFUNCTION("""COMPUTED_VALUE"""),180)</f>
        <v>180</v>
      </c>
      <c r="M291" s="5">
        <f ca="1">IFERROR(__xludf.DUMMYFUNCTION("""COMPUTED_VALUE"""),181)</f>
        <v>181</v>
      </c>
      <c r="N291" s="3" t="str">
        <f ca="1">IFERROR(__xludf.DUMMYFUNCTION("""COMPUTED_VALUE""")," ")</f>
        <v xml:space="preserve"> </v>
      </c>
      <c r="O291" s="5">
        <f ca="1">IFERROR(__xludf.DUMMYFUNCTION("""COMPUTED_VALUE"""),911)</f>
        <v>911</v>
      </c>
      <c r="P291" s="3">
        <f ca="1">IFERROR(__xludf.DUMMYFUNCTION("""COMPUTED_VALUE"""),-44276)</f>
        <v>-44276</v>
      </c>
      <c r="Q291" s="5">
        <f ca="1">IFERROR(__xludf.DUMMYFUNCTION("""COMPUTED_VALUE"""),2007)</f>
        <v>2007</v>
      </c>
      <c r="R291" s="3"/>
      <c r="S291" s="3"/>
      <c r="T291" s="3"/>
      <c r="U291" s="3"/>
      <c r="V291" s="3"/>
      <c r="W291" s="3"/>
      <c r="X291" s="3"/>
    </row>
    <row r="292" spans="1:24" x14ac:dyDescent="0.2">
      <c r="A292" s="3"/>
      <c r="B292" s="3"/>
      <c r="C292" s="3"/>
      <c r="D292" s="3"/>
      <c r="E292" s="3"/>
      <c r="F292" s="3"/>
      <c r="G292" s="3"/>
      <c r="H292" s="3"/>
      <c r="I292" s="3"/>
      <c r="J292" s="3"/>
      <c r="K292" s="3"/>
      <c r="L292" s="5">
        <f ca="1">IFERROR(__xludf.DUMMYFUNCTION("""COMPUTED_VALUE"""),180)</f>
        <v>180</v>
      </c>
      <c r="M292" s="5">
        <f ca="1">IFERROR(__xludf.DUMMYFUNCTION("""COMPUTED_VALUE"""),181)</f>
        <v>181</v>
      </c>
      <c r="N292" s="3" t="str">
        <f ca="1">IFERROR(__xludf.DUMMYFUNCTION("""COMPUTED_VALUE""")," ")</f>
        <v xml:space="preserve"> </v>
      </c>
      <c r="O292" s="5">
        <f ca="1">IFERROR(__xludf.DUMMYFUNCTION("""COMPUTED_VALUE"""),911)</f>
        <v>911</v>
      </c>
      <c r="P292" s="3">
        <f ca="1">IFERROR(__xludf.DUMMYFUNCTION("""COMPUTED_VALUE"""),-44276)</f>
        <v>-44276</v>
      </c>
      <c r="Q292" s="5">
        <f ca="1">IFERROR(__xludf.DUMMYFUNCTION("""COMPUTED_VALUE"""),2007)</f>
        <v>2007</v>
      </c>
      <c r="R292" s="3"/>
      <c r="S292" s="3"/>
      <c r="T292" s="3"/>
      <c r="U292" s="3"/>
      <c r="V292" s="3"/>
      <c r="W292" s="3"/>
      <c r="X292" s="3"/>
    </row>
    <row r="293" spans="1:24" x14ac:dyDescent="0.2">
      <c r="A293" s="3"/>
      <c r="B293" s="3"/>
      <c r="C293" s="3"/>
      <c r="D293" s="3"/>
      <c r="E293" s="3"/>
      <c r="F293" s="3"/>
      <c r="G293" s="3"/>
      <c r="H293" s="3"/>
      <c r="I293" s="3"/>
      <c r="J293" s="3"/>
      <c r="K293" s="3"/>
      <c r="L293" s="5">
        <f ca="1">IFERROR(__xludf.DUMMYFUNCTION("""COMPUTED_VALUE"""),180)</f>
        <v>180</v>
      </c>
      <c r="M293" s="5">
        <f ca="1">IFERROR(__xludf.DUMMYFUNCTION("""COMPUTED_VALUE"""),181)</f>
        <v>181</v>
      </c>
      <c r="N293" s="3" t="str">
        <f ca="1">IFERROR(__xludf.DUMMYFUNCTION("""COMPUTED_VALUE""")," ")</f>
        <v xml:space="preserve"> </v>
      </c>
      <c r="O293" s="5">
        <f ca="1">IFERROR(__xludf.DUMMYFUNCTION("""COMPUTED_VALUE"""),911)</f>
        <v>911</v>
      </c>
      <c r="P293" s="3">
        <f ca="1">IFERROR(__xludf.DUMMYFUNCTION("""COMPUTED_VALUE"""),-44276)</f>
        <v>-44276</v>
      </c>
      <c r="Q293" s="5">
        <f ca="1">IFERROR(__xludf.DUMMYFUNCTION("""COMPUTED_VALUE"""),2007)</f>
        <v>2007</v>
      </c>
      <c r="R293" s="3"/>
      <c r="S293" s="3"/>
      <c r="T293" s="3"/>
      <c r="U293" s="3"/>
      <c r="V293" s="3"/>
      <c r="W293" s="3"/>
      <c r="X293" s="3"/>
    </row>
    <row r="294" spans="1:24" x14ac:dyDescent="0.2">
      <c r="A294" s="3"/>
      <c r="B294" s="3"/>
      <c r="C294" s="3"/>
      <c r="D294" s="3"/>
      <c r="E294" s="3"/>
      <c r="F294" s="3"/>
      <c r="G294" s="3"/>
      <c r="H294" s="3"/>
      <c r="I294" s="3"/>
      <c r="J294" s="3"/>
      <c r="K294" s="3"/>
      <c r="L294" s="5">
        <f ca="1">IFERROR(__xludf.DUMMYFUNCTION("""COMPUTED_VALUE"""),180)</f>
        <v>180</v>
      </c>
      <c r="M294" s="5">
        <f ca="1">IFERROR(__xludf.DUMMYFUNCTION("""COMPUTED_VALUE"""),181)</f>
        <v>181</v>
      </c>
      <c r="N294" s="3" t="str">
        <f ca="1">IFERROR(__xludf.DUMMYFUNCTION("""COMPUTED_VALUE""")," ")</f>
        <v xml:space="preserve"> </v>
      </c>
      <c r="O294" s="5">
        <f ca="1">IFERROR(__xludf.DUMMYFUNCTION("""COMPUTED_VALUE"""),911)</f>
        <v>911</v>
      </c>
      <c r="P294" s="3">
        <f ca="1">IFERROR(__xludf.DUMMYFUNCTION("""COMPUTED_VALUE"""),-44276)</f>
        <v>-44276</v>
      </c>
      <c r="Q294" s="5">
        <f ca="1">IFERROR(__xludf.DUMMYFUNCTION("""COMPUTED_VALUE"""),2007)</f>
        <v>2007</v>
      </c>
      <c r="R294" s="3"/>
      <c r="S294" s="3"/>
      <c r="T294" s="3"/>
      <c r="U294" s="3"/>
      <c r="V294" s="3"/>
      <c r="W294" s="3"/>
      <c r="X294" s="3"/>
    </row>
    <row r="295" spans="1:24" x14ac:dyDescent="0.2">
      <c r="A295" s="3"/>
      <c r="B295" s="3"/>
      <c r="C295" s="3"/>
      <c r="D295" s="3"/>
      <c r="E295" s="3"/>
      <c r="F295" s="3"/>
      <c r="G295" s="3"/>
      <c r="H295" s="3"/>
      <c r="I295" s="3"/>
      <c r="J295" s="3"/>
      <c r="K295" s="3"/>
      <c r="L295" s="5">
        <f ca="1">IFERROR(__xludf.DUMMYFUNCTION("""COMPUTED_VALUE"""),180)</f>
        <v>180</v>
      </c>
      <c r="M295" s="5">
        <f ca="1">IFERROR(__xludf.DUMMYFUNCTION("""COMPUTED_VALUE"""),181)</f>
        <v>181</v>
      </c>
      <c r="N295" s="3" t="str">
        <f ca="1">IFERROR(__xludf.DUMMYFUNCTION("""COMPUTED_VALUE""")," ")</f>
        <v xml:space="preserve"> </v>
      </c>
      <c r="O295" s="5">
        <f ca="1">IFERROR(__xludf.DUMMYFUNCTION("""COMPUTED_VALUE"""),911)</f>
        <v>911</v>
      </c>
      <c r="P295" s="3">
        <f ca="1">IFERROR(__xludf.DUMMYFUNCTION("""COMPUTED_VALUE"""),-44276)</f>
        <v>-44276</v>
      </c>
      <c r="Q295" s="5">
        <f ca="1">IFERROR(__xludf.DUMMYFUNCTION("""COMPUTED_VALUE"""),2007)</f>
        <v>2007</v>
      </c>
      <c r="R295" s="3"/>
      <c r="S295" s="3"/>
      <c r="T295" s="3"/>
      <c r="U295" s="3"/>
      <c r="V295" s="3"/>
      <c r="W295" s="3"/>
      <c r="X295" s="3"/>
    </row>
    <row r="296" spans="1:24" x14ac:dyDescent="0.2">
      <c r="A296" s="3"/>
      <c r="B296" s="3"/>
      <c r="C296" s="3"/>
      <c r="D296" s="3"/>
      <c r="E296" s="3"/>
      <c r="F296" s="3"/>
      <c r="G296" s="3"/>
      <c r="H296" s="3"/>
      <c r="I296" s="3"/>
      <c r="J296" s="3"/>
      <c r="K296" s="3"/>
      <c r="L296" s="5">
        <f ca="1">IFERROR(__xludf.DUMMYFUNCTION("""COMPUTED_VALUE"""),180)</f>
        <v>180</v>
      </c>
      <c r="M296" s="5">
        <f ca="1">IFERROR(__xludf.DUMMYFUNCTION("""COMPUTED_VALUE"""),181)</f>
        <v>181</v>
      </c>
      <c r="N296" s="3" t="str">
        <f ca="1">IFERROR(__xludf.DUMMYFUNCTION("""COMPUTED_VALUE""")," ")</f>
        <v xml:space="preserve"> </v>
      </c>
      <c r="O296" s="5">
        <f ca="1">IFERROR(__xludf.DUMMYFUNCTION("""COMPUTED_VALUE"""),911)</f>
        <v>911</v>
      </c>
      <c r="P296" s="3">
        <f ca="1">IFERROR(__xludf.DUMMYFUNCTION("""COMPUTED_VALUE"""),-44276)</f>
        <v>-44276</v>
      </c>
      <c r="Q296" s="5">
        <f ca="1">IFERROR(__xludf.DUMMYFUNCTION("""COMPUTED_VALUE"""),2007)</f>
        <v>2007</v>
      </c>
      <c r="R296" s="3"/>
      <c r="S296" s="3"/>
      <c r="T296" s="3"/>
      <c r="U296" s="3"/>
      <c r="V296" s="3"/>
      <c r="W296" s="3"/>
      <c r="X296" s="3"/>
    </row>
    <row r="297" spans="1:24" x14ac:dyDescent="0.2">
      <c r="A297" s="3"/>
      <c r="B297" s="3"/>
      <c r="C297" s="3"/>
      <c r="D297" s="3"/>
      <c r="E297" s="3"/>
      <c r="F297" s="3"/>
      <c r="G297" s="3"/>
      <c r="H297" s="3"/>
      <c r="I297" s="3"/>
      <c r="J297" s="3"/>
      <c r="K297" s="3"/>
      <c r="L297" s="5">
        <f ca="1">IFERROR(__xludf.DUMMYFUNCTION("""COMPUTED_VALUE"""),180)</f>
        <v>180</v>
      </c>
      <c r="M297" s="5">
        <f ca="1">IFERROR(__xludf.DUMMYFUNCTION("""COMPUTED_VALUE"""),181)</f>
        <v>181</v>
      </c>
      <c r="N297" s="3" t="str">
        <f ca="1">IFERROR(__xludf.DUMMYFUNCTION("""COMPUTED_VALUE""")," ")</f>
        <v xml:space="preserve"> </v>
      </c>
      <c r="O297" s="5">
        <f ca="1">IFERROR(__xludf.DUMMYFUNCTION("""COMPUTED_VALUE"""),911)</f>
        <v>911</v>
      </c>
      <c r="P297" s="3">
        <f ca="1">IFERROR(__xludf.DUMMYFUNCTION("""COMPUTED_VALUE"""),-44276)</f>
        <v>-44276</v>
      </c>
      <c r="Q297" s="5">
        <f ca="1">IFERROR(__xludf.DUMMYFUNCTION("""COMPUTED_VALUE"""),2007)</f>
        <v>2007</v>
      </c>
      <c r="R297" s="3"/>
      <c r="S297" s="3"/>
      <c r="T297" s="3"/>
      <c r="U297" s="3"/>
      <c r="V297" s="3"/>
      <c r="W297" s="3"/>
      <c r="X297" s="3"/>
    </row>
    <row r="298" spans="1:24" x14ac:dyDescent="0.2">
      <c r="A298" s="3"/>
      <c r="B298" s="3"/>
      <c r="C298" s="3"/>
      <c r="D298" s="3"/>
      <c r="E298" s="3"/>
      <c r="F298" s="3"/>
      <c r="G298" s="3"/>
      <c r="H298" s="3"/>
      <c r="I298" s="3"/>
      <c r="J298" s="3"/>
      <c r="K298" s="3"/>
      <c r="L298" s="5">
        <f ca="1">IFERROR(__xludf.DUMMYFUNCTION("""COMPUTED_VALUE"""),180)</f>
        <v>180</v>
      </c>
      <c r="M298" s="5">
        <f ca="1">IFERROR(__xludf.DUMMYFUNCTION("""COMPUTED_VALUE"""),181)</f>
        <v>181</v>
      </c>
      <c r="N298" s="3" t="str">
        <f ca="1">IFERROR(__xludf.DUMMYFUNCTION("""COMPUTED_VALUE""")," ")</f>
        <v xml:space="preserve"> </v>
      </c>
      <c r="O298" s="5">
        <f ca="1">IFERROR(__xludf.DUMMYFUNCTION("""COMPUTED_VALUE"""),911)</f>
        <v>911</v>
      </c>
      <c r="P298" s="3">
        <f ca="1">IFERROR(__xludf.DUMMYFUNCTION("""COMPUTED_VALUE"""),-44276)</f>
        <v>-44276</v>
      </c>
      <c r="Q298" s="5">
        <f ca="1">IFERROR(__xludf.DUMMYFUNCTION("""COMPUTED_VALUE"""),2007)</f>
        <v>2007</v>
      </c>
      <c r="R298" s="3"/>
      <c r="S298" s="3"/>
      <c r="T298" s="3"/>
      <c r="U298" s="3"/>
      <c r="V298" s="3"/>
      <c r="W298" s="3"/>
      <c r="X298" s="3"/>
    </row>
    <row r="299" spans="1:24" x14ac:dyDescent="0.2">
      <c r="A299" s="3"/>
      <c r="B299" s="3"/>
      <c r="C299" s="3"/>
      <c r="D299" s="3"/>
      <c r="E299" s="3"/>
      <c r="F299" s="3"/>
      <c r="G299" s="3"/>
      <c r="H299" s="3"/>
      <c r="I299" s="3"/>
      <c r="J299" s="3"/>
      <c r="K299" s="3"/>
      <c r="L299" s="5">
        <f ca="1">IFERROR(__xludf.DUMMYFUNCTION("""COMPUTED_VALUE"""),180)</f>
        <v>180</v>
      </c>
      <c r="M299" s="5">
        <f ca="1">IFERROR(__xludf.DUMMYFUNCTION("""COMPUTED_VALUE"""),181)</f>
        <v>181</v>
      </c>
      <c r="N299" s="3" t="str">
        <f ca="1">IFERROR(__xludf.DUMMYFUNCTION("""COMPUTED_VALUE""")," ")</f>
        <v xml:space="preserve"> </v>
      </c>
      <c r="O299" s="5">
        <f ca="1">IFERROR(__xludf.DUMMYFUNCTION("""COMPUTED_VALUE"""),911)</f>
        <v>911</v>
      </c>
      <c r="P299" s="3">
        <f ca="1">IFERROR(__xludf.DUMMYFUNCTION("""COMPUTED_VALUE"""),-44276)</f>
        <v>-44276</v>
      </c>
      <c r="Q299" s="5">
        <f ca="1">IFERROR(__xludf.DUMMYFUNCTION("""COMPUTED_VALUE"""),2007)</f>
        <v>2007</v>
      </c>
      <c r="R299" s="3"/>
      <c r="S299" s="3"/>
      <c r="T299" s="3"/>
      <c r="U299" s="3"/>
      <c r="V299" s="3"/>
      <c r="W299" s="3"/>
      <c r="X299" s="3"/>
    </row>
    <row r="300" spans="1:24" x14ac:dyDescent="0.2">
      <c r="A300" s="3"/>
      <c r="B300" s="3"/>
      <c r="C300" s="3"/>
      <c r="D300" s="3"/>
      <c r="E300" s="3"/>
      <c r="F300" s="3"/>
      <c r="G300" s="3"/>
      <c r="H300" s="3"/>
      <c r="I300" s="3"/>
      <c r="J300" s="3"/>
      <c r="K300" s="3"/>
      <c r="L300" s="5">
        <f ca="1">IFERROR(__xludf.DUMMYFUNCTION("""COMPUTED_VALUE"""),180)</f>
        <v>180</v>
      </c>
      <c r="M300" s="5">
        <f ca="1">IFERROR(__xludf.DUMMYFUNCTION("""COMPUTED_VALUE"""),181)</f>
        <v>181</v>
      </c>
      <c r="N300" s="3" t="str">
        <f ca="1">IFERROR(__xludf.DUMMYFUNCTION("""COMPUTED_VALUE""")," ")</f>
        <v xml:space="preserve"> </v>
      </c>
      <c r="O300" s="5">
        <f ca="1">IFERROR(__xludf.DUMMYFUNCTION("""COMPUTED_VALUE"""),911)</f>
        <v>911</v>
      </c>
      <c r="P300" s="3">
        <f ca="1">IFERROR(__xludf.DUMMYFUNCTION("""COMPUTED_VALUE"""),-44276)</f>
        <v>-44276</v>
      </c>
      <c r="Q300" s="5">
        <f ca="1">IFERROR(__xludf.DUMMYFUNCTION("""COMPUTED_VALUE"""),2007)</f>
        <v>2007</v>
      </c>
      <c r="R300" s="3"/>
      <c r="S300" s="3"/>
      <c r="T300" s="3"/>
      <c r="U300" s="3"/>
      <c r="V300" s="3"/>
      <c r="W300" s="3"/>
      <c r="X300" s="3"/>
    </row>
    <row r="301" spans="1:24" x14ac:dyDescent="0.2">
      <c r="A301" s="3"/>
      <c r="B301" s="3"/>
      <c r="C301" s="3"/>
      <c r="D301" s="3"/>
      <c r="E301" s="3"/>
      <c r="F301" s="3"/>
      <c r="G301" s="3"/>
      <c r="H301" s="3"/>
      <c r="I301" s="3"/>
      <c r="J301" s="3"/>
      <c r="K301" s="3"/>
      <c r="L301" s="5">
        <f ca="1">IFERROR(__xludf.DUMMYFUNCTION("""COMPUTED_VALUE"""),180)</f>
        <v>180</v>
      </c>
      <c r="M301" s="5">
        <f ca="1">IFERROR(__xludf.DUMMYFUNCTION("""COMPUTED_VALUE"""),181)</f>
        <v>181</v>
      </c>
      <c r="N301" s="3" t="str">
        <f ca="1">IFERROR(__xludf.DUMMYFUNCTION("""COMPUTED_VALUE""")," ")</f>
        <v xml:space="preserve"> </v>
      </c>
      <c r="O301" s="5">
        <f ca="1">IFERROR(__xludf.DUMMYFUNCTION("""COMPUTED_VALUE"""),911)</f>
        <v>911</v>
      </c>
      <c r="P301" s="3">
        <f ca="1">IFERROR(__xludf.DUMMYFUNCTION("""COMPUTED_VALUE"""),-44276)</f>
        <v>-44276</v>
      </c>
      <c r="Q301" s="5">
        <f ca="1">IFERROR(__xludf.DUMMYFUNCTION("""COMPUTED_VALUE"""),2007)</f>
        <v>2007</v>
      </c>
      <c r="R301" s="3"/>
      <c r="S301" s="3"/>
      <c r="T301" s="3"/>
      <c r="U301" s="3"/>
      <c r="V301" s="3"/>
      <c r="W301" s="3"/>
      <c r="X301" s="3"/>
    </row>
    <row r="302" spans="1:24" x14ac:dyDescent="0.2">
      <c r="A302" s="3"/>
      <c r="B302" s="3"/>
      <c r="C302" s="3"/>
      <c r="D302" s="3"/>
      <c r="E302" s="3"/>
      <c r="F302" s="3"/>
      <c r="G302" s="3"/>
      <c r="H302" s="3"/>
      <c r="I302" s="3"/>
      <c r="J302" s="3"/>
      <c r="K302" s="3"/>
      <c r="L302" s="5">
        <f ca="1">IFERROR(__xludf.DUMMYFUNCTION("""COMPUTED_VALUE"""),180)</f>
        <v>180</v>
      </c>
      <c r="M302" s="5">
        <f ca="1">IFERROR(__xludf.DUMMYFUNCTION("""COMPUTED_VALUE"""),181)</f>
        <v>181</v>
      </c>
      <c r="N302" s="3" t="str">
        <f ca="1">IFERROR(__xludf.DUMMYFUNCTION("""COMPUTED_VALUE""")," ")</f>
        <v xml:space="preserve"> </v>
      </c>
      <c r="O302" s="5">
        <f ca="1">IFERROR(__xludf.DUMMYFUNCTION("""COMPUTED_VALUE"""),911)</f>
        <v>911</v>
      </c>
      <c r="P302" s="3">
        <f ca="1">IFERROR(__xludf.DUMMYFUNCTION("""COMPUTED_VALUE"""),-44276)</f>
        <v>-44276</v>
      </c>
      <c r="Q302" s="5">
        <f ca="1">IFERROR(__xludf.DUMMYFUNCTION("""COMPUTED_VALUE"""),2007)</f>
        <v>2007</v>
      </c>
      <c r="R302" s="3"/>
      <c r="S302" s="3"/>
      <c r="T302" s="3"/>
      <c r="U302" s="3"/>
      <c r="V302" s="3"/>
      <c r="W302" s="3"/>
      <c r="X302" s="3"/>
    </row>
    <row r="303" spans="1:24" x14ac:dyDescent="0.2">
      <c r="A303" s="3"/>
      <c r="B303" s="3"/>
      <c r="C303" s="3"/>
      <c r="D303" s="3"/>
      <c r="E303" s="3"/>
      <c r="F303" s="3"/>
      <c r="G303" s="3"/>
      <c r="H303" s="3"/>
      <c r="I303" s="3"/>
      <c r="J303" s="3"/>
      <c r="K303" s="3"/>
      <c r="L303" s="5">
        <f ca="1">IFERROR(__xludf.DUMMYFUNCTION("""COMPUTED_VALUE"""),180)</f>
        <v>180</v>
      </c>
      <c r="M303" s="5">
        <f ca="1">IFERROR(__xludf.DUMMYFUNCTION("""COMPUTED_VALUE"""),181)</f>
        <v>181</v>
      </c>
      <c r="N303" s="3" t="str">
        <f ca="1">IFERROR(__xludf.DUMMYFUNCTION("""COMPUTED_VALUE""")," ")</f>
        <v xml:space="preserve"> </v>
      </c>
      <c r="O303" s="5">
        <f ca="1">IFERROR(__xludf.DUMMYFUNCTION("""COMPUTED_VALUE"""),911)</f>
        <v>911</v>
      </c>
      <c r="P303" s="3">
        <f ca="1">IFERROR(__xludf.DUMMYFUNCTION("""COMPUTED_VALUE"""),-44276)</f>
        <v>-44276</v>
      </c>
      <c r="Q303" s="5">
        <f ca="1">IFERROR(__xludf.DUMMYFUNCTION("""COMPUTED_VALUE"""),2007)</f>
        <v>2007</v>
      </c>
      <c r="R303" s="3"/>
      <c r="S303" s="3"/>
      <c r="T303" s="3"/>
      <c r="U303" s="3"/>
      <c r="V303" s="3"/>
      <c r="W303" s="3"/>
      <c r="X303" s="3"/>
    </row>
    <row r="304" spans="1:24" x14ac:dyDescent="0.2">
      <c r="A304" s="3"/>
      <c r="B304" s="3"/>
      <c r="C304" s="3"/>
      <c r="D304" s="3"/>
      <c r="E304" s="3"/>
      <c r="F304" s="3"/>
      <c r="G304" s="3"/>
      <c r="H304" s="3"/>
      <c r="I304" s="3"/>
      <c r="J304" s="3"/>
      <c r="K304" s="3"/>
      <c r="L304" s="5">
        <f ca="1">IFERROR(__xludf.DUMMYFUNCTION("""COMPUTED_VALUE"""),180)</f>
        <v>180</v>
      </c>
      <c r="M304" s="5">
        <f ca="1">IFERROR(__xludf.DUMMYFUNCTION("""COMPUTED_VALUE"""),181)</f>
        <v>181</v>
      </c>
      <c r="N304" s="3" t="str">
        <f ca="1">IFERROR(__xludf.DUMMYFUNCTION("""COMPUTED_VALUE""")," ")</f>
        <v xml:space="preserve"> </v>
      </c>
      <c r="O304" s="5">
        <f ca="1">IFERROR(__xludf.DUMMYFUNCTION("""COMPUTED_VALUE"""),911)</f>
        <v>911</v>
      </c>
      <c r="P304" s="3">
        <f ca="1">IFERROR(__xludf.DUMMYFUNCTION("""COMPUTED_VALUE"""),-44276)</f>
        <v>-44276</v>
      </c>
      <c r="Q304" s="5">
        <f ca="1">IFERROR(__xludf.DUMMYFUNCTION("""COMPUTED_VALUE"""),2007)</f>
        <v>2007</v>
      </c>
      <c r="R304" s="3"/>
      <c r="S304" s="3"/>
      <c r="T304" s="3"/>
      <c r="U304" s="3"/>
      <c r="V304" s="3"/>
      <c r="W304" s="3"/>
      <c r="X304" s="3"/>
    </row>
    <row r="305" spans="1:24" x14ac:dyDescent="0.2">
      <c r="A305" s="3"/>
      <c r="B305" s="3"/>
      <c r="C305" s="3"/>
      <c r="D305" s="3"/>
      <c r="E305" s="3"/>
      <c r="F305" s="3"/>
      <c r="G305" s="3"/>
      <c r="H305" s="3"/>
      <c r="I305" s="3"/>
      <c r="J305" s="3"/>
      <c r="K305" s="3"/>
      <c r="L305" s="5">
        <f ca="1">IFERROR(__xludf.DUMMYFUNCTION("""COMPUTED_VALUE"""),180)</f>
        <v>180</v>
      </c>
      <c r="M305" s="5">
        <f ca="1">IFERROR(__xludf.DUMMYFUNCTION("""COMPUTED_VALUE"""),181)</f>
        <v>181</v>
      </c>
      <c r="N305" s="3" t="str">
        <f ca="1">IFERROR(__xludf.DUMMYFUNCTION("""COMPUTED_VALUE""")," ")</f>
        <v xml:space="preserve"> </v>
      </c>
      <c r="O305" s="5">
        <f ca="1">IFERROR(__xludf.DUMMYFUNCTION("""COMPUTED_VALUE"""),911)</f>
        <v>911</v>
      </c>
      <c r="P305" s="3">
        <f ca="1">IFERROR(__xludf.DUMMYFUNCTION("""COMPUTED_VALUE"""),-44276)</f>
        <v>-44276</v>
      </c>
      <c r="Q305" s="5">
        <f ca="1">IFERROR(__xludf.DUMMYFUNCTION("""COMPUTED_VALUE"""),2007)</f>
        <v>2007</v>
      </c>
      <c r="R305" s="3"/>
      <c r="S305" s="3"/>
      <c r="T305" s="3"/>
      <c r="U305" s="3"/>
      <c r="V305" s="3"/>
      <c r="W305" s="3"/>
      <c r="X305" s="3"/>
    </row>
    <row r="306" spans="1:24" x14ac:dyDescent="0.2">
      <c r="A306" s="3"/>
      <c r="B306" s="3"/>
      <c r="C306" s="3"/>
      <c r="D306" s="3"/>
      <c r="E306" s="3"/>
      <c r="F306" s="3"/>
      <c r="G306" s="3"/>
      <c r="H306" s="3"/>
      <c r="I306" s="3"/>
      <c r="J306" s="3"/>
      <c r="K306" s="3"/>
      <c r="L306" s="5">
        <f ca="1">IFERROR(__xludf.DUMMYFUNCTION("""COMPUTED_VALUE"""),180)</f>
        <v>180</v>
      </c>
      <c r="M306" s="5">
        <f ca="1">IFERROR(__xludf.DUMMYFUNCTION("""COMPUTED_VALUE"""),181)</f>
        <v>181</v>
      </c>
      <c r="N306" s="3" t="str">
        <f ca="1">IFERROR(__xludf.DUMMYFUNCTION("""COMPUTED_VALUE""")," ")</f>
        <v xml:space="preserve"> </v>
      </c>
      <c r="O306" s="5">
        <f ca="1">IFERROR(__xludf.DUMMYFUNCTION("""COMPUTED_VALUE"""),911)</f>
        <v>911</v>
      </c>
      <c r="P306" s="3">
        <f ca="1">IFERROR(__xludf.DUMMYFUNCTION("""COMPUTED_VALUE"""),-44276)</f>
        <v>-44276</v>
      </c>
      <c r="Q306" s="5">
        <f ca="1">IFERROR(__xludf.DUMMYFUNCTION("""COMPUTED_VALUE"""),2007)</f>
        <v>2007</v>
      </c>
      <c r="R306" s="3"/>
      <c r="S306" s="3"/>
      <c r="T306" s="3"/>
      <c r="U306" s="3"/>
      <c r="V306" s="3"/>
      <c r="W306" s="3"/>
      <c r="X306" s="3"/>
    </row>
    <row r="307" spans="1:24" x14ac:dyDescent="0.2">
      <c r="A307" s="3"/>
      <c r="B307" s="3"/>
      <c r="C307" s="3"/>
      <c r="D307" s="3"/>
      <c r="E307" s="3"/>
      <c r="F307" s="3"/>
      <c r="G307" s="3"/>
      <c r="H307" s="3"/>
      <c r="I307" s="3"/>
      <c r="J307" s="3"/>
      <c r="K307" s="3"/>
      <c r="L307" s="5">
        <f ca="1">IFERROR(__xludf.DUMMYFUNCTION("""COMPUTED_VALUE"""),180)</f>
        <v>180</v>
      </c>
      <c r="M307" s="5">
        <f ca="1">IFERROR(__xludf.DUMMYFUNCTION("""COMPUTED_VALUE"""),181)</f>
        <v>181</v>
      </c>
      <c r="N307" s="3" t="str">
        <f ca="1">IFERROR(__xludf.DUMMYFUNCTION("""COMPUTED_VALUE""")," ")</f>
        <v xml:space="preserve"> </v>
      </c>
      <c r="O307" s="5">
        <f ca="1">IFERROR(__xludf.DUMMYFUNCTION("""COMPUTED_VALUE"""),911)</f>
        <v>911</v>
      </c>
      <c r="P307" s="3">
        <f ca="1">IFERROR(__xludf.DUMMYFUNCTION("""COMPUTED_VALUE"""),-44276)</f>
        <v>-44276</v>
      </c>
      <c r="Q307" s="5">
        <f ca="1">IFERROR(__xludf.DUMMYFUNCTION("""COMPUTED_VALUE"""),2007)</f>
        <v>2007</v>
      </c>
      <c r="R307" s="3"/>
      <c r="S307" s="3"/>
      <c r="T307" s="3"/>
      <c r="U307" s="3"/>
      <c r="V307" s="3"/>
      <c r="W307" s="3"/>
      <c r="X307" s="3"/>
    </row>
    <row r="308" spans="1:24" x14ac:dyDescent="0.2">
      <c r="A308" s="3"/>
      <c r="B308" s="3"/>
      <c r="C308" s="3"/>
      <c r="D308" s="3"/>
      <c r="E308" s="3"/>
      <c r="F308" s="3"/>
      <c r="G308" s="3"/>
      <c r="H308" s="3"/>
      <c r="I308" s="3"/>
      <c r="J308" s="3"/>
      <c r="K308" s="3"/>
      <c r="L308" s="5">
        <f ca="1">IFERROR(__xludf.DUMMYFUNCTION("""COMPUTED_VALUE"""),180)</f>
        <v>180</v>
      </c>
      <c r="M308" s="5">
        <f ca="1">IFERROR(__xludf.DUMMYFUNCTION("""COMPUTED_VALUE"""),181)</f>
        <v>181</v>
      </c>
      <c r="N308" s="3" t="str">
        <f ca="1">IFERROR(__xludf.DUMMYFUNCTION("""COMPUTED_VALUE""")," ")</f>
        <v xml:space="preserve"> </v>
      </c>
      <c r="O308" s="5">
        <f ca="1">IFERROR(__xludf.DUMMYFUNCTION("""COMPUTED_VALUE"""),911)</f>
        <v>911</v>
      </c>
      <c r="P308" s="3">
        <f ca="1">IFERROR(__xludf.DUMMYFUNCTION("""COMPUTED_VALUE"""),-44276)</f>
        <v>-44276</v>
      </c>
      <c r="Q308" s="5">
        <f ca="1">IFERROR(__xludf.DUMMYFUNCTION("""COMPUTED_VALUE"""),2007)</f>
        <v>2007</v>
      </c>
      <c r="R308" s="3"/>
      <c r="S308" s="3"/>
      <c r="T308" s="3"/>
      <c r="U308" s="3"/>
      <c r="V308" s="3"/>
      <c r="W308" s="3"/>
      <c r="X308" s="3"/>
    </row>
    <row r="309" spans="1:24" x14ac:dyDescent="0.2">
      <c r="A309" s="3"/>
      <c r="B309" s="3"/>
      <c r="C309" s="3"/>
      <c r="D309" s="3"/>
      <c r="E309" s="3"/>
      <c r="F309" s="3"/>
      <c r="G309" s="3"/>
      <c r="H309" s="3"/>
      <c r="I309" s="3"/>
      <c r="J309" s="3"/>
      <c r="K309" s="3"/>
      <c r="L309" s="5">
        <f ca="1">IFERROR(__xludf.DUMMYFUNCTION("""COMPUTED_VALUE"""),180)</f>
        <v>180</v>
      </c>
      <c r="M309" s="5">
        <f ca="1">IFERROR(__xludf.DUMMYFUNCTION("""COMPUTED_VALUE"""),181)</f>
        <v>181</v>
      </c>
      <c r="N309" s="3" t="str">
        <f ca="1">IFERROR(__xludf.DUMMYFUNCTION("""COMPUTED_VALUE""")," ")</f>
        <v xml:space="preserve"> </v>
      </c>
      <c r="O309" s="5">
        <f ca="1">IFERROR(__xludf.DUMMYFUNCTION("""COMPUTED_VALUE"""),911)</f>
        <v>911</v>
      </c>
      <c r="P309" s="3">
        <f ca="1">IFERROR(__xludf.DUMMYFUNCTION("""COMPUTED_VALUE"""),-44276)</f>
        <v>-44276</v>
      </c>
      <c r="Q309" s="5">
        <f ca="1">IFERROR(__xludf.DUMMYFUNCTION("""COMPUTED_VALUE"""),2007)</f>
        <v>2007</v>
      </c>
      <c r="R309" s="3"/>
      <c r="S309" s="3"/>
      <c r="T309" s="3"/>
      <c r="U309" s="3"/>
      <c r="V309" s="3"/>
      <c r="W309" s="3"/>
      <c r="X309" s="3"/>
    </row>
    <row r="310" spans="1:24" x14ac:dyDescent="0.2">
      <c r="A310" s="3"/>
      <c r="B310" s="3"/>
      <c r="C310" s="3"/>
      <c r="D310" s="3"/>
      <c r="E310" s="3"/>
      <c r="F310" s="3"/>
      <c r="G310" s="3"/>
      <c r="H310" s="3"/>
      <c r="I310" s="3"/>
      <c r="J310" s="3"/>
      <c r="K310" s="3"/>
      <c r="L310" s="5">
        <f ca="1">IFERROR(__xludf.DUMMYFUNCTION("""COMPUTED_VALUE"""),180)</f>
        <v>180</v>
      </c>
      <c r="M310" s="5">
        <f ca="1">IFERROR(__xludf.DUMMYFUNCTION("""COMPUTED_VALUE"""),181)</f>
        <v>181</v>
      </c>
      <c r="N310" s="3" t="str">
        <f ca="1">IFERROR(__xludf.DUMMYFUNCTION("""COMPUTED_VALUE""")," ")</f>
        <v xml:space="preserve"> </v>
      </c>
      <c r="O310" s="5">
        <f ca="1">IFERROR(__xludf.DUMMYFUNCTION("""COMPUTED_VALUE"""),911)</f>
        <v>911</v>
      </c>
      <c r="P310" s="3">
        <f ca="1">IFERROR(__xludf.DUMMYFUNCTION("""COMPUTED_VALUE"""),-44276)</f>
        <v>-44276</v>
      </c>
      <c r="Q310" s="5">
        <f ca="1">IFERROR(__xludf.DUMMYFUNCTION("""COMPUTED_VALUE"""),2007)</f>
        <v>2007</v>
      </c>
      <c r="R310" s="3"/>
      <c r="S310" s="3"/>
      <c r="T310" s="3"/>
      <c r="U310" s="3"/>
      <c r="V310" s="3"/>
      <c r="W310" s="3"/>
      <c r="X310" s="3"/>
    </row>
    <row r="311" spans="1:24" x14ac:dyDescent="0.2">
      <c r="A311" s="3"/>
      <c r="B311" s="3"/>
      <c r="C311" s="3"/>
      <c r="D311" s="3"/>
      <c r="E311" s="3"/>
      <c r="F311" s="3"/>
      <c r="G311" s="3"/>
      <c r="H311" s="3"/>
      <c r="I311" s="3"/>
      <c r="J311" s="3"/>
      <c r="K311" s="3"/>
      <c r="L311" s="5">
        <f ca="1">IFERROR(__xludf.DUMMYFUNCTION("""COMPUTED_VALUE"""),180)</f>
        <v>180</v>
      </c>
      <c r="M311" s="5">
        <f ca="1">IFERROR(__xludf.DUMMYFUNCTION("""COMPUTED_VALUE"""),181)</f>
        <v>181</v>
      </c>
      <c r="N311" s="3" t="str">
        <f ca="1">IFERROR(__xludf.DUMMYFUNCTION("""COMPUTED_VALUE""")," ")</f>
        <v xml:space="preserve"> </v>
      </c>
      <c r="O311" s="5">
        <f ca="1">IFERROR(__xludf.DUMMYFUNCTION("""COMPUTED_VALUE"""),911)</f>
        <v>911</v>
      </c>
      <c r="P311" s="3">
        <f ca="1">IFERROR(__xludf.DUMMYFUNCTION("""COMPUTED_VALUE"""),-44276)</f>
        <v>-44276</v>
      </c>
      <c r="Q311" s="5">
        <f ca="1">IFERROR(__xludf.DUMMYFUNCTION("""COMPUTED_VALUE"""),2007)</f>
        <v>2007</v>
      </c>
      <c r="R311" s="3"/>
      <c r="S311" s="3"/>
      <c r="T311" s="3"/>
      <c r="U311" s="3"/>
      <c r="V311" s="3"/>
      <c r="W311" s="3"/>
      <c r="X311" s="3"/>
    </row>
    <row r="312" spans="1:24" x14ac:dyDescent="0.2">
      <c r="A312" s="3"/>
      <c r="B312" s="3"/>
      <c r="C312" s="3"/>
      <c r="D312" s="3"/>
      <c r="E312" s="3"/>
      <c r="F312" s="3"/>
      <c r="G312" s="3"/>
      <c r="H312" s="3"/>
      <c r="I312" s="3"/>
      <c r="J312" s="3"/>
      <c r="K312" s="3"/>
      <c r="L312" s="5">
        <f ca="1">IFERROR(__xludf.DUMMYFUNCTION("""COMPUTED_VALUE"""),180)</f>
        <v>180</v>
      </c>
      <c r="M312" s="5">
        <f ca="1">IFERROR(__xludf.DUMMYFUNCTION("""COMPUTED_VALUE"""),181)</f>
        <v>181</v>
      </c>
      <c r="N312" s="3" t="str">
        <f ca="1">IFERROR(__xludf.DUMMYFUNCTION("""COMPUTED_VALUE""")," ")</f>
        <v xml:space="preserve"> </v>
      </c>
      <c r="O312" s="5">
        <f ca="1">IFERROR(__xludf.DUMMYFUNCTION("""COMPUTED_VALUE"""),911)</f>
        <v>911</v>
      </c>
      <c r="P312" s="3">
        <f ca="1">IFERROR(__xludf.DUMMYFUNCTION("""COMPUTED_VALUE"""),-44276)</f>
        <v>-44276</v>
      </c>
      <c r="Q312" s="5">
        <f ca="1">IFERROR(__xludf.DUMMYFUNCTION("""COMPUTED_VALUE"""),2007)</f>
        <v>2007</v>
      </c>
      <c r="R312" s="3"/>
      <c r="S312" s="3"/>
      <c r="T312" s="3"/>
      <c r="U312" s="3"/>
      <c r="V312" s="3"/>
      <c r="W312" s="3"/>
      <c r="X312" s="3"/>
    </row>
    <row r="313" spans="1:24" x14ac:dyDescent="0.2">
      <c r="A313" s="3"/>
      <c r="B313" s="3"/>
      <c r="C313" s="3"/>
      <c r="D313" s="3"/>
      <c r="E313" s="3"/>
      <c r="F313" s="3"/>
      <c r="G313" s="3"/>
      <c r="H313" s="3"/>
      <c r="I313" s="3"/>
      <c r="J313" s="3"/>
      <c r="K313" s="3"/>
      <c r="L313" s="5">
        <f ca="1">IFERROR(__xludf.DUMMYFUNCTION("""COMPUTED_VALUE"""),180)</f>
        <v>180</v>
      </c>
      <c r="M313" s="5">
        <f ca="1">IFERROR(__xludf.DUMMYFUNCTION("""COMPUTED_VALUE"""),181)</f>
        <v>181</v>
      </c>
      <c r="N313" s="3" t="str">
        <f ca="1">IFERROR(__xludf.DUMMYFUNCTION("""COMPUTED_VALUE""")," ")</f>
        <v xml:space="preserve"> </v>
      </c>
      <c r="O313" s="5">
        <f ca="1">IFERROR(__xludf.DUMMYFUNCTION("""COMPUTED_VALUE"""),911)</f>
        <v>911</v>
      </c>
      <c r="P313" s="3">
        <f ca="1">IFERROR(__xludf.DUMMYFUNCTION("""COMPUTED_VALUE"""),-44276)</f>
        <v>-44276</v>
      </c>
      <c r="Q313" s="5">
        <f ca="1">IFERROR(__xludf.DUMMYFUNCTION("""COMPUTED_VALUE"""),2007)</f>
        <v>2007</v>
      </c>
      <c r="R313" s="3"/>
      <c r="S313" s="3"/>
      <c r="T313" s="3"/>
      <c r="U313" s="3"/>
      <c r="V313" s="3"/>
      <c r="W313" s="3"/>
      <c r="X313" s="3"/>
    </row>
    <row r="314" spans="1:24" x14ac:dyDescent="0.2">
      <c r="A314" s="3"/>
      <c r="B314" s="3"/>
      <c r="C314" s="3"/>
      <c r="D314" s="3"/>
      <c r="E314" s="3"/>
      <c r="F314" s="3"/>
      <c r="G314" s="3"/>
      <c r="H314" s="3"/>
      <c r="I314" s="3"/>
      <c r="J314" s="3"/>
      <c r="K314" s="3"/>
      <c r="L314" s="5">
        <f ca="1">IFERROR(__xludf.DUMMYFUNCTION("""COMPUTED_VALUE"""),180)</f>
        <v>180</v>
      </c>
      <c r="M314" s="5">
        <f ca="1">IFERROR(__xludf.DUMMYFUNCTION("""COMPUTED_VALUE"""),181)</f>
        <v>181</v>
      </c>
      <c r="N314" s="3" t="str">
        <f ca="1">IFERROR(__xludf.DUMMYFUNCTION("""COMPUTED_VALUE""")," ")</f>
        <v xml:space="preserve"> </v>
      </c>
      <c r="O314" s="5">
        <f ca="1">IFERROR(__xludf.DUMMYFUNCTION("""COMPUTED_VALUE"""),911)</f>
        <v>911</v>
      </c>
      <c r="P314" s="3">
        <f ca="1">IFERROR(__xludf.DUMMYFUNCTION("""COMPUTED_VALUE"""),-44276)</f>
        <v>-44276</v>
      </c>
      <c r="Q314" s="5">
        <f ca="1">IFERROR(__xludf.DUMMYFUNCTION("""COMPUTED_VALUE"""),2007)</f>
        <v>2007</v>
      </c>
      <c r="R314" s="3"/>
      <c r="S314" s="3"/>
      <c r="T314" s="3"/>
      <c r="U314" s="3"/>
      <c r="V314" s="3"/>
      <c r="W314" s="3"/>
      <c r="X314" s="3"/>
    </row>
    <row r="315" spans="1:24" x14ac:dyDescent="0.2">
      <c r="A315" s="3"/>
      <c r="B315" s="3"/>
      <c r="C315" s="3"/>
      <c r="D315" s="3"/>
      <c r="E315" s="3"/>
      <c r="F315" s="3"/>
      <c r="G315" s="3"/>
      <c r="H315" s="3"/>
      <c r="I315" s="3"/>
      <c r="J315" s="3"/>
      <c r="K315" s="3"/>
      <c r="L315" s="5">
        <f ca="1">IFERROR(__xludf.DUMMYFUNCTION("""COMPUTED_VALUE"""),180)</f>
        <v>180</v>
      </c>
      <c r="M315" s="5">
        <f ca="1">IFERROR(__xludf.DUMMYFUNCTION("""COMPUTED_VALUE"""),181)</f>
        <v>181</v>
      </c>
      <c r="N315" s="3" t="str">
        <f ca="1">IFERROR(__xludf.DUMMYFUNCTION("""COMPUTED_VALUE""")," ")</f>
        <v xml:space="preserve"> </v>
      </c>
      <c r="O315" s="5">
        <f ca="1">IFERROR(__xludf.DUMMYFUNCTION("""COMPUTED_VALUE"""),911)</f>
        <v>911</v>
      </c>
      <c r="P315" s="3">
        <f ca="1">IFERROR(__xludf.DUMMYFUNCTION("""COMPUTED_VALUE"""),-44276)</f>
        <v>-44276</v>
      </c>
      <c r="Q315" s="5">
        <f ca="1">IFERROR(__xludf.DUMMYFUNCTION("""COMPUTED_VALUE"""),2007)</f>
        <v>2007</v>
      </c>
      <c r="R315" s="3"/>
      <c r="S315" s="3"/>
      <c r="T315" s="3"/>
      <c r="U315" s="3"/>
      <c r="V315" s="3"/>
      <c r="W315" s="3"/>
      <c r="X315" s="3"/>
    </row>
    <row r="316" spans="1:24" x14ac:dyDescent="0.2">
      <c r="A316" s="3"/>
      <c r="B316" s="3"/>
      <c r="C316" s="3"/>
      <c r="D316" s="3"/>
      <c r="E316" s="3"/>
      <c r="F316" s="3"/>
      <c r="G316" s="3"/>
      <c r="H316" s="3"/>
      <c r="I316" s="3"/>
      <c r="J316" s="3"/>
      <c r="K316" s="3"/>
      <c r="L316" s="5">
        <f ca="1">IFERROR(__xludf.DUMMYFUNCTION("""COMPUTED_VALUE"""),180)</f>
        <v>180</v>
      </c>
      <c r="M316" s="5">
        <f ca="1">IFERROR(__xludf.DUMMYFUNCTION("""COMPUTED_VALUE"""),181)</f>
        <v>181</v>
      </c>
      <c r="N316" s="3" t="str">
        <f ca="1">IFERROR(__xludf.DUMMYFUNCTION("""COMPUTED_VALUE""")," ")</f>
        <v xml:space="preserve"> </v>
      </c>
      <c r="O316" s="5">
        <f ca="1">IFERROR(__xludf.DUMMYFUNCTION("""COMPUTED_VALUE"""),911)</f>
        <v>911</v>
      </c>
      <c r="P316" s="3">
        <f ca="1">IFERROR(__xludf.DUMMYFUNCTION("""COMPUTED_VALUE"""),-44276)</f>
        <v>-44276</v>
      </c>
      <c r="Q316" s="5">
        <f ca="1">IFERROR(__xludf.DUMMYFUNCTION("""COMPUTED_VALUE"""),2007)</f>
        <v>2007</v>
      </c>
      <c r="R316" s="3"/>
      <c r="S316" s="3"/>
      <c r="T316" s="3"/>
      <c r="U316" s="3"/>
      <c r="V316" s="3"/>
      <c r="W316" s="3"/>
      <c r="X316" s="3"/>
    </row>
    <row r="317" spans="1:24" x14ac:dyDescent="0.2">
      <c r="A317" s="3"/>
      <c r="B317" s="3"/>
      <c r="C317" s="3"/>
      <c r="D317" s="3"/>
      <c r="E317" s="3"/>
      <c r="F317" s="3"/>
      <c r="G317" s="3"/>
      <c r="H317" s="3"/>
      <c r="I317" s="3"/>
      <c r="J317" s="3"/>
      <c r="K317" s="3"/>
      <c r="L317" s="5">
        <f ca="1">IFERROR(__xludf.DUMMYFUNCTION("""COMPUTED_VALUE"""),180)</f>
        <v>180</v>
      </c>
      <c r="M317" s="5">
        <f ca="1">IFERROR(__xludf.DUMMYFUNCTION("""COMPUTED_VALUE"""),181)</f>
        <v>181</v>
      </c>
      <c r="N317" s="3" t="str">
        <f ca="1">IFERROR(__xludf.DUMMYFUNCTION("""COMPUTED_VALUE""")," ")</f>
        <v xml:space="preserve"> </v>
      </c>
      <c r="O317" s="5">
        <f ca="1">IFERROR(__xludf.DUMMYFUNCTION("""COMPUTED_VALUE"""),911)</f>
        <v>911</v>
      </c>
      <c r="P317" s="3">
        <f ca="1">IFERROR(__xludf.DUMMYFUNCTION("""COMPUTED_VALUE"""),-44276)</f>
        <v>-44276</v>
      </c>
      <c r="Q317" s="5">
        <f ca="1">IFERROR(__xludf.DUMMYFUNCTION("""COMPUTED_VALUE"""),2007)</f>
        <v>2007</v>
      </c>
      <c r="R317" s="3"/>
      <c r="S317" s="3"/>
      <c r="T317" s="3"/>
      <c r="U317" s="3"/>
      <c r="V317" s="3"/>
      <c r="W317" s="3"/>
      <c r="X317" s="3"/>
    </row>
    <row r="318" spans="1:24" x14ac:dyDescent="0.2">
      <c r="A318" s="3"/>
      <c r="B318" s="3"/>
      <c r="C318" s="3"/>
      <c r="D318" s="3"/>
      <c r="E318" s="3"/>
      <c r="F318" s="3"/>
      <c r="G318" s="3"/>
      <c r="H318" s="3"/>
      <c r="I318" s="3"/>
      <c r="J318" s="3"/>
      <c r="K318" s="3"/>
      <c r="L318" s="5">
        <f ca="1">IFERROR(__xludf.DUMMYFUNCTION("""COMPUTED_VALUE"""),180)</f>
        <v>180</v>
      </c>
      <c r="M318" s="5">
        <f ca="1">IFERROR(__xludf.DUMMYFUNCTION("""COMPUTED_VALUE"""),181)</f>
        <v>181</v>
      </c>
      <c r="N318" s="3" t="str">
        <f ca="1">IFERROR(__xludf.DUMMYFUNCTION("""COMPUTED_VALUE""")," ")</f>
        <v xml:space="preserve"> </v>
      </c>
      <c r="O318" s="5">
        <f ca="1">IFERROR(__xludf.DUMMYFUNCTION("""COMPUTED_VALUE"""),911)</f>
        <v>911</v>
      </c>
      <c r="P318" s="3">
        <f ca="1">IFERROR(__xludf.DUMMYFUNCTION("""COMPUTED_VALUE"""),-44276)</f>
        <v>-44276</v>
      </c>
      <c r="Q318" s="5">
        <f ca="1">IFERROR(__xludf.DUMMYFUNCTION("""COMPUTED_VALUE"""),2007)</f>
        <v>2007</v>
      </c>
      <c r="R318" s="3"/>
      <c r="S318" s="3"/>
      <c r="T318" s="3"/>
      <c r="U318" s="3"/>
      <c r="V318" s="3"/>
      <c r="W318" s="3"/>
      <c r="X318" s="3"/>
    </row>
    <row r="319" spans="1:24" x14ac:dyDescent="0.2">
      <c r="A319" s="3"/>
      <c r="B319" s="3"/>
      <c r="C319" s="3"/>
      <c r="D319" s="3"/>
      <c r="E319" s="3"/>
      <c r="F319" s="3"/>
      <c r="G319" s="3"/>
      <c r="H319" s="3"/>
      <c r="I319" s="3"/>
      <c r="J319" s="3"/>
      <c r="K319" s="3"/>
      <c r="L319" s="5">
        <f ca="1">IFERROR(__xludf.DUMMYFUNCTION("""COMPUTED_VALUE"""),180)</f>
        <v>180</v>
      </c>
      <c r="M319" s="5">
        <f ca="1">IFERROR(__xludf.DUMMYFUNCTION("""COMPUTED_VALUE"""),181)</f>
        <v>181</v>
      </c>
      <c r="N319" s="3" t="str">
        <f ca="1">IFERROR(__xludf.DUMMYFUNCTION("""COMPUTED_VALUE""")," ")</f>
        <v xml:space="preserve"> </v>
      </c>
      <c r="O319" s="5">
        <f ca="1">IFERROR(__xludf.DUMMYFUNCTION("""COMPUTED_VALUE"""),911)</f>
        <v>911</v>
      </c>
      <c r="P319" s="3">
        <f ca="1">IFERROR(__xludf.DUMMYFUNCTION("""COMPUTED_VALUE"""),-44276)</f>
        <v>-44276</v>
      </c>
      <c r="Q319" s="5">
        <f ca="1">IFERROR(__xludf.DUMMYFUNCTION("""COMPUTED_VALUE"""),2007)</f>
        <v>2007</v>
      </c>
      <c r="R319" s="3"/>
      <c r="S319" s="3"/>
      <c r="T319" s="3"/>
      <c r="U319" s="3"/>
      <c r="V319" s="3"/>
      <c r="W319" s="3"/>
      <c r="X319" s="3"/>
    </row>
    <row r="320" spans="1:24" x14ac:dyDescent="0.2">
      <c r="A320" s="3"/>
      <c r="B320" s="3"/>
      <c r="C320" s="3"/>
      <c r="D320" s="3"/>
      <c r="E320" s="3"/>
      <c r="F320" s="3"/>
      <c r="G320" s="3"/>
      <c r="H320" s="3"/>
      <c r="I320" s="3"/>
      <c r="J320" s="3"/>
      <c r="K320" s="3"/>
      <c r="L320" s="5">
        <f ca="1">IFERROR(__xludf.DUMMYFUNCTION("""COMPUTED_VALUE"""),180)</f>
        <v>180</v>
      </c>
      <c r="M320" s="5">
        <f ca="1">IFERROR(__xludf.DUMMYFUNCTION("""COMPUTED_VALUE"""),181)</f>
        <v>181</v>
      </c>
      <c r="N320" s="3" t="str">
        <f ca="1">IFERROR(__xludf.DUMMYFUNCTION("""COMPUTED_VALUE""")," ")</f>
        <v xml:space="preserve"> </v>
      </c>
      <c r="O320" s="5">
        <f ca="1">IFERROR(__xludf.DUMMYFUNCTION("""COMPUTED_VALUE"""),911)</f>
        <v>911</v>
      </c>
      <c r="P320" s="3">
        <f ca="1">IFERROR(__xludf.DUMMYFUNCTION("""COMPUTED_VALUE"""),-44276)</f>
        <v>-44276</v>
      </c>
      <c r="Q320" s="5">
        <f ca="1">IFERROR(__xludf.DUMMYFUNCTION("""COMPUTED_VALUE"""),2007)</f>
        <v>2007</v>
      </c>
      <c r="R320" s="3"/>
      <c r="S320" s="3"/>
      <c r="T320" s="3"/>
      <c r="U320" s="3"/>
      <c r="V320" s="3"/>
      <c r="W320" s="3"/>
      <c r="X320" s="3"/>
    </row>
    <row r="321" spans="1:24" x14ac:dyDescent="0.2">
      <c r="A321" s="3"/>
      <c r="B321" s="3"/>
      <c r="C321" s="3"/>
      <c r="D321" s="3"/>
      <c r="E321" s="3"/>
      <c r="F321" s="3"/>
      <c r="G321" s="3"/>
      <c r="H321" s="3"/>
      <c r="I321" s="3"/>
      <c r="J321" s="3"/>
      <c r="K321" s="3"/>
      <c r="L321" s="5">
        <f ca="1">IFERROR(__xludf.DUMMYFUNCTION("""COMPUTED_VALUE"""),180)</f>
        <v>180</v>
      </c>
      <c r="M321" s="5">
        <f ca="1">IFERROR(__xludf.DUMMYFUNCTION("""COMPUTED_VALUE"""),181)</f>
        <v>181</v>
      </c>
      <c r="N321" s="3" t="str">
        <f ca="1">IFERROR(__xludf.DUMMYFUNCTION("""COMPUTED_VALUE""")," ")</f>
        <v xml:space="preserve"> </v>
      </c>
      <c r="O321" s="5">
        <f ca="1">IFERROR(__xludf.DUMMYFUNCTION("""COMPUTED_VALUE"""),911)</f>
        <v>911</v>
      </c>
      <c r="P321" s="3">
        <f ca="1">IFERROR(__xludf.DUMMYFUNCTION("""COMPUTED_VALUE"""),-44276)</f>
        <v>-44276</v>
      </c>
      <c r="Q321" s="5">
        <f ca="1">IFERROR(__xludf.DUMMYFUNCTION("""COMPUTED_VALUE"""),2007)</f>
        <v>2007</v>
      </c>
      <c r="R321" s="3"/>
      <c r="S321" s="3"/>
      <c r="T321" s="3"/>
      <c r="U321" s="3"/>
      <c r="V321" s="3"/>
      <c r="W321" s="3"/>
      <c r="X321" s="3"/>
    </row>
    <row r="322" spans="1:24" x14ac:dyDescent="0.2">
      <c r="A322" s="3"/>
      <c r="B322" s="3"/>
      <c r="C322" s="3"/>
      <c r="D322" s="3"/>
      <c r="E322" s="3"/>
      <c r="F322" s="3"/>
      <c r="G322" s="3"/>
      <c r="H322" s="3"/>
      <c r="I322" s="3"/>
      <c r="J322" s="3"/>
      <c r="K322" s="3"/>
      <c r="L322" s="5">
        <f ca="1">IFERROR(__xludf.DUMMYFUNCTION("""COMPUTED_VALUE"""),180)</f>
        <v>180</v>
      </c>
      <c r="M322" s="5">
        <f ca="1">IFERROR(__xludf.DUMMYFUNCTION("""COMPUTED_VALUE"""),181)</f>
        <v>181</v>
      </c>
      <c r="N322" s="3" t="str">
        <f ca="1">IFERROR(__xludf.DUMMYFUNCTION("""COMPUTED_VALUE""")," ")</f>
        <v xml:space="preserve"> </v>
      </c>
      <c r="O322" s="5">
        <f ca="1">IFERROR(__xludf.DUMMYFUNCTION("""COMPUTED_VALUE"""),911)</f>
        <v>911</v>
      </c>
      <c r="P322" s="3">
        <f ca="1">IFERROR(__xludf.DUMMYFUNCTION("""COMPUTED_VALUE"""),-44276)</f>
        <v>-44276</v>
      </c>
      <c r="Q322" s="5">
        <f ca="1">IFERROR(__xludf.DUMMYFUNCTION("""COMPUTED_VALUE"""),2007)</f>
        <v>2007</v>
      </c>
      <c r="R322" s="3"/>
      <c r="S322" s="3"/>
      <c r="T322" s="3"/>
      <c r="U322" s="3"/>
      <c r="V322" s="3"/>
      <c r="W322" s="3"/>
      <c r="X322" s="3"/>
    </row>
    <row r="323" spans="1:24" x14ac:dyDescent="0.2">
      <c r="A323" s="3"/>
      <c r="B323" s="3"/>
      <c r="C323" s="3"/>
      <c r="D323" s="3"/>
      <c r="E323" s="3"/>
      <c r="F323" s="3"/>
      <c r="G323" s="3"/>
      <c r="H323" s="3"/>
      <c r="I323" s="3"/>
      <c r="J323" s="3"/>
      <c r="K323" s="3"/>
      <c r="L323" s="5">
        <f ca="1">IFERROR(__xludf.DUMMYFUNCTION("""COMPUTED_VALUE"""),180)</f>
        <v>180</v>
      </c>
      <c r="M323" s="5">
        <f ca="1">IFERROR(__xludf.DUMMYFUNCTION("""COMPUTED_VALUE"""),181)</f>
        <v>181</v>
      </c>
      <c r="N323" s="3" t="str">
        <f ca="1">IFERROR(__xludf.DUMMYFUNCTION("""COMPUTED_VALUE""")," ")</f>
        <v xml:space="preserve"> </v>
      </c>
      <c r="O323" s="5">
        <f ca="1">IFERROR(__xludf.DUMMYFUNCTION("""COMPUTED_VALUE"""),911)</f>
        <v>911</v>
      </c>
      <c r="P323" s="3">
        <f ca="1">IFERROR(__xludf.DUMMYFUNCTION("""COMPUTED_VALUE"""),-44276)</f>
        <v>-44276</v>
      </c>
      <c r="Q323" s="5">
        <f ca="1">IFERROR(__xludf.DUMMYFUNCTION("""COMPUTED_VALUE"""),2007)</f>
        <v>2007</v>
      </c>
      <c r="R323" s="3"/>
      <c r="S323" s="3"/>
      <c r="T323" s="3"/>
      <c r="U323" s="3"/>
      <c r="V323" s="3"/>
      <c r="W323" s="3"/>
      <c r="X323" s="3"/>
    </row>
    <row r="324" spans="1:24" x14ac:dyDescent="0.2">
      <c r="A324" s="3"/>
      <c r="B324" s="3"/>
      <c r="C324" s="3"/>
      <c r="D324" s="3"/>
      <c r="E324" s="3"/>
      <c r="F324" s="3"/>
      <c r="G324" s="3"/>
      <c r="H324" s="3"/>
      <c r="I324" s="3"/>
      <c r="J324" s="3"/>
      <c r="K324" s="3"/>
      <c r="L324" s="5">
        <f ca="1">IFERROR(__xludf.DUMMYFUNCTION("""COMPUTED_VALUE"""),180)</f>
        <v>180</v>
      </c>
      <c r="M324" s="5">
        <f ca="1">IFERROR(__xludf.DUMMYFUNCTION("""COMPUTED_VALUE"""),181)</f>
        <v>181</v>
      </c>
      <c r="N324" s="3" t="str">
        <f ca="1">IFERROR(__xludf.DUMMYFUNCTION("""COMPUTED_VALUE""")," ")</f>
        <v xml:space="preserve"> </v>
      </c>
      <c r="O324" s="5">
        <f ca="1">IFERROR(__xludf.DUMMYFUNCTION("""COMPUTED_VALUE"""),911)</f>
        <v>911</v>
      </c>
      <c r="P324" s="3">
        <f ca="1">IFERROR(__xludf.DUMMYFUNCTION("""COMPUTED_VALUE"""),-44276)</f>
        <v>-44276</v>
      </c>
      <c r="Q324" s="5">
        <f ca="1">IFERROR(__xludf.DUMMYFUNCTION("""COMPUTED_VALUE"""),2007)</f>
        <v>2007</v>
      </c>
      <c r="R324" s="3"/>
      <c r="S324" s="3"/>
      <c r="T324" s="3"/>
      <c r="U324" s="3"/>
      <c r="V324" s="3"/>
      <c r="W324" s="3"/>
      <c r="X324" s="3"/>
    </row>
    <row r="325" spans="1:24" x14ac:dyDescent="0.2">
      <c r="A325" s="3"/>
      <c r="B325" s="3"/>
      <c r="C325" s="3"/>
      <c r="D325" s="3"/>
      <c r="E325" s="3"/>
      <c r="F325" s="3"/>
      <c r="G325" s="3"/>
      <c r="H325" s="3"/>
      <c r="I325" s="3"/>
      <c r="J325" s="3"/>
      <c r="K325" s="3"/>
      <c r="L325" s="5">
        <f ca="1">IFERROR(__xludf.DUMMYFUNCTION("""COMPUTED_VALUE"""),180)</f>
        <v>180</v>
      </c>
      <c r="M325" s="5">
        <f ca="1">IFERROR(__xludf.DUMMYFUNCTION("""COMPUTED_VALUE"""),181)</f>
        <v>181</v>
      </c>
      <c r="N325" s="3" t="str">
        <f ca="1">IFERROR(__xludf.DUMMYFUNCTION("""COMPUTED_VALUE""")," ")</f>
        <v xml:space="preserve"> </v>
      </c>
      <c r="O325" s="5">
        <f ca="1">IFERROR(__xludf.DUMMYFUNCTION("""COMPUTED_VALUE"""),911)</f>
        <v>911</v>
      </c>
      <c r="P325" s="3">
        <f ca="1">IFERROR(__xludf.DUMMYFUNCTION("""COMPUTED_VALUE"""),-44276)</f>
        <v>-44276</v>
      </c>
      <c r="Q325" s="5">
        <f ca="1">IFERROR(__xludf.DUMMYFUNCTION("""COMPUTED_VALUE"""),2007)</f>
        <v>2007</v>
      </c>
      <c r="R325" s="3"/>
      <c r="S325" s="3"/>
      <c r="T325" s="3"/>
      <c r="U325" s="3"/>
      <c r="V325" s="3"/>
      <c r="W325" s="3"/>
      <c r="X325" s="3"/>
    </row>
    <row r="326" spans="1:24" x14ac:dyDescent="0.2">
      <c r="A326" s="3"/>
      <c r="B326" s="3"/>
      <c r="C326" s="3"/>
      <c r="D326" s="3"/>
      <c r="E326" s="3"/>
      <c r="F326" s="3"/>
      <c r="G326" s="3"/>
      <c r="H326" s="3"/>
      <c r="I326" s="3"/>
      <c r="J326" s="3"/>
      <c r="K326" s="3"/>
      <c r="L326" s="5">
        <f ca="1">IFERROR(__xludf.DUMMYFUNCTION("""COMPUTED_VALUE"""),180)</f>
        <v>180</v>
      </c>
      <c r="M326" s="5">
        <f ca="1">IFERROR(__xludf.DUMMYFUNCTION("""COMPUTED_VALUE"""),181)</f>
        <v>181</v>
      </c>
      <c r="N326" s="3" t="str">
        <f ca="1">IFERROR(__xludf.DUMMYFUNCTION("""COMPUTED_VALUE""")," ")</f>
        <v xml:space="preserve"> </v>
      </c>
      <c r="O326" s="5">
        <f ca="1">IFERROR(__xludf.DUMMYFUNCTION("""COMPUTED_VALUE"""),911)</f>
        <v>911</v>
      </c>
      <c r="P326" s="3">
        <f ca="1">IFERROR(__xludf.DUMMYFUNCTION("""COMPUTED_VALUE"""),-44276)</f>
        <v>-44276</v>
      </c>
      <c r="Q326" s="5">
        <f ca="1">IFERROR(__xludf.DUMMYFUNCTION("""COMPUTED_VALUE"""),2007)</f>
        <v>2007</v>
      </c>
      <c r="R326" s="3"/>
      <c r="S326" s="3"/>
      <c r="T326" s="3"/>
      <c r="U326" s="3"/>
      <c r="V326" s="3"/>
      <c r="W326" s="3"/>
      <c r="X326" s="3"/>
    </row>
    <row r="327" spans="1:24" x14ac:dyDescent="0.2">
      <c r="A327" s="3"/>
      <c r="B327" s="3"/>
      <c r="C327" s="3"/>
      <c r="D327" s="3"/>
      <c r="E327" s="3"/>
      <c r="F327" s="3"/>
      <c r="G327" s="3"/>
      <c r="H327" s="3"/>
      <c r="I327" s="3"/>
      <c r="J327" s="3"/>
      <c r="K327" s="3"/>
      <c r="L327" s="5">
        <f ca="1">IFERROR(__xludf.DUMMYFUNCTION("""COMPUTED_VALUE"""),180)</f>
        <v>180</v>
      </c>
      <c r="M327" s="5">
        <f ca="1">IFERROR(__xludf.DUMMYFUNCTION("""COMPUTED_VALUE"""),181)</f>
        <v>181</v>
      </c>
      <c r="N327" s="3" t="str">
        <f ca="1">IFERROR(__xludf.DUMMYFUNCTION("""COMPUTED_VALUE""")," ")</f>
        <v xml:space="preserve"> </v>
      </c>
      <c r="O327" s="5">
        <f ca="1">IFERROR(__xludf.DUMMYFUNCTION("""COMPUTED_VALUE"""),911)</f>
        <v>911</v>
      </c>
      <c r="P327" s="3">
        <f ca="1">IFERROR(__xludf.DUMMYFUNCTION("""COMPUTED_VALUE"""),-44276)</f>
        <v>-44276</v>
      </c>
      <c r="Q327" s="5">
        <f ca="1">IFERROR(__xludf.DUMMYFUNCTION("""COMPUTED_VALUE"""),2007)</f>
        <v>2007</v>
      </c>
      <c r="R327" s="3"/>
      <c r="S327" s="3"/>
      <c r="T327" s="3"/>
      <c r="U327" s="3"/>
      <c r="V327" s="3"/>
      <c r="W327" s="3"/>
      <c r="X327" s="3"/>
    </row>
    <row r="328" spans="1:24" x14ac:dyDescent="0.2">
      <c r="A328" s="3"/>
      <c r="B328" s="3"/>
      <c r="C328" s="3"/>
      <c r="D328" s="3"/>
      <c r="E328" s="3"/>
      <c r="F328" s="3"/>
      <c r="G328" s="3"/>
      <c r="H328" s="3"/>
      <c r="I328" s="3"/>
      <c r="J328" s="3"/>
      <c r="K328" s="3"/>
      <c r="L328" s="5">
        <f ca="1">IFERROR(__xludf.DUMMYFUNCTION("""COMPUTED_VALUE"""),180)</f>
        <v>180</v>
      </c>
      <c r="M328" s="5">
        <f ca="1">IFERROR(__xludf.DUMMYFUNCTION("""COMPUTED_VALUE"""),181)</f>
        <v>181</v>
      </c>
      <c r="N328" s="3" t="str">
        <f ca="1">IFERROR(__xludf.DUMMYFUNCTION("""COMPUTED_VALUE""")," ")</f>
        <v xml:space="preserve"> </v>
      </c>
      <c r="O328" s="5">
        <f ca="1">IFERROR(__xludf.DUMMYFUNCTION("""COMPUTED_VALUE"""),911)</f>
        <v>911</v>
      </c>
      <c r="P328" s="3">
        <f ca="1">IFERROR(__xludf.DUMMYFUNCTION("""COMPUTED_VALUE"""),-44276)</f>
        <v>-44276</v>
      </c>
      <c r="Q328" s="5">
        <f ca="1">IFERROR(__xludf.DUMMYFUNCTION("""COMPUTED_VALUE"""),2007)</f>
        <v>2007</v>
      </c>
      <c r="R328" s="3"/>
      <c r="S328" s="3"/>
      <c r="T328" s="3"/>
      <c r="U328" s="3"/>
      <c r="V328" s="3"/>
      <c r="W328" s="3"/>
      <c r="X328" s="3"/>
    </row>
    <row r="329" spans="1:24" x14ac:dyDescent="0.2">
      <c r="A329" s="3"/>
      <c r="B329" s="3"/>
      <c r="C329" s="3"/>
      <c r="D329" s="3"/>
      <c r="E329" s="3"/>
      <c r="F329" s="3"/>
      <c r="G329" s="3"/>
      <c r="H329" s="3"/>
      <c r="I329" s="3"/>
      <c r="J329" s="3"/>
      <c r="K329" s="3"/>
      <c r="L329" s="5">
        <f ca="1">IFERROR(__xludf.DUMMYFUNCTION("""COMPUTED_VALUE"""),180)</f>
        <v>180</v>
      </c>
      <c r="M329" s="5">
        <f ca="1">IFERROR(__xludf.DUMMYFUNCTION("""COMPUTED_VALUE"""),181)</f>
        <v>181</v>
      </c>
      <c r="N329" s="3" t="str">
        <f ca="1">IFERROR(__xludf.DUMMYFUNCTION("""COMPUTED_VALUE""")," ")</f>
        <v xml:space="preserve"> </v>
      </c>
      <c r="O329" s="5">
        <f ca="1">IFERROR(__xludf.DUMMYFUNCTION("""COMPUTED_VALUE"""),911)</f>
        <v>911</v>
      </c>
      <c r="P329" s="3">
        <f ca="1">IFERROR(__xludf.DUMMYFUNCTION("""COMPUTED_VALUE"""),-44276)</f>
        <v>-44276</v>
      </c>
      <c r="Q329" s="5">
        <f ca="1">IFERROR(__xludf.DUMMYFUNCTION("""COMPUTED_VALUE"""),2007)</f>
        <v>2007</v>
      </c>
      <c r="R329" s="3"/>
      <c r="S329" s="3"/>
      <c r="T329" s="3"/>
      <c r="U329" s="3"/>
      <c r="V329" s="3"/>
      <c r="W329" s="3"/>
      <c r="X329" s="3"/>
    </row>
    <row r="330" spans="1:24" x14ac:dyDescent="0.2">
      <c r="A330" s="3"/>
      <c r="B330" s="3"/>
      <c r="C330" s="3"/>
      <c r="D330" s="3"/>
      <c r="E330" s="3"/>
      <c r="F330" s="3"/>
      <c r="G330" s="3"/>
      <c r="H330" s="3"/>
      <c r="I330" s="3"/>
      <c r="J330" s="3"/>
      <c r="K330" s="3"/>
      <c r="L330" s="5">
        <f ca="1">IFERROR(__xludf.DUMMYFUNCTION("""COMPUTED_VALUE"""),180)</f>
        <v>180</v>
      </c>
      <c r="M330" s="5">
        <f ca="1">IFERROR(__xludf.DUMMYFUNCTION("""COMPUTED_VALUE"""),181)</f>
        <v>181</v>
      </c>
      <c r="N330" s="3" t="str">
        <f ca="1">IFERROR(__xludf.DUMMYFUNCTION("""COMPUTED_VALUE""")," ")</f>
        <v xml:space="preserve"> </v>
      </c>
      <c r="O330" s="5">
        <f ca="1">IFERROR(__xludf.DUMMYFUNCTION("""COMPUTED_VALUE"""),911)</f>
        <v>911</v>
      </c>
      <c r="P330" s="3">
        <f ca="1">IFERROR(__xludf.DUMMYFUNCTION("""COMPUTED_VALUE"""),-44276)</f>
        <v>-44276</v>
      </c>
      <c r="Q330" s="5">
        <f ca="1">IFERROR(__xludf.DUMMYFUNCTION("""COMPUTED_VALUE"""),2007)</f>
        <v>2007</v>
      </c>
      <c r="R330" s="3"/>
      <c r="S330" s="3"/>
      <c r="T330" s="3"/>
      <c r="U330" s="3"/>
      <c r="V330" s="3"/>
      <c r="W330" s="3"/>
      <c r="X330" s="3"/>
    </row>
    <row r="331" spans="1:24" x14ac:dyDescent="0.2">
      <c r="A331" s="3"/>
      <c r="B331" s="3"/>
      <c r="C331" s="3"/>
      <c r="D331" s="3"/>
      <c r="E331" s="3"/>
      <c r="F331" s="3"/>
      <c r="G331" s="3"/>
      <c r="H331" s="3"/>
      <c r="I331" s="3"/>
      <c r="J331" s="3"/>
      <c r="K331" s="3"/>
      <c r="L331" s="5">
        <f ca="1">IFERROR(__xludf.DUMMYFUNCTION("""COMPUTED_VALUE"""),180)</f>
        <v>180</v>
      </c>
      <c r="M331" s="5">
        <f ca="1">IFERROR(__xludf.DUMMYFUNCTION("""COMPUTED_VALUE"""),181)</f>
        <v>181</v>
      </c>
      <c r="N331" s="3" t="str">
        <f ca="1">IFERROR(__xludf.DUMMYFUNCTION("""COMPUTED_VALUE""")," ")</f>
        <v xml:space="preserve"> </v>
      </c>
      <c r="O331" s="5">
        <f ca="1">IFERROR(__xludf.DUMMYFUNCTION("""COMPUTED_VALUE"""),911)</f>
        <v>911</v>
      </c>
      <c r="P331" s="3">
        <f ca="1">IFERROR(__xludf.DUMMYFUNCTION("""COMPUTED_VALUE"""),-44276)</f>
        <v>-44276</v>
      </c>
      <c r="Q331" s="5">
        <f ca="1">IFERROR(__xludf.DUMMYFUNCTION("""COMPUTED_VALUE"""),2007)</f>
        <v>2007</v>
      </c>
      <c r="R331" s="3"/>
      <c r="S331" s="3"/>
      <c r="T331" s="3"/>
      <c r="U331" s="3"/>
      <c r="V331" s="3"/>
      <c r="W331" s="3"/>
      <c r="X331" s="3"/>
    </row>
    <row r="332" spans="1:24" x14ac:dyDescent="0.2">
      <c r="A332" s="3"/>
      <c r="B332" s="3"/>
      <c r="C332" s="3"/>
      <c r="D332" s="3"/>
      <c r="E332" s="3"/>
      <c r="F332" s="3"/>
      <c r="G332" s="3"/>
      <c r="H332" s="3"/>
      <c r="I332" s="3"/>
      <c r="J332" s="3"/>
      <c r="K332" s="3"/>
      <c r="L332" s="5">
        <f ca="1">IFERROR(__xludf.DUMMYFUNCTION("""COMPUTED_VALUE"""),180)</f>
        <v>180</v>
      </c>
      <c r="M332" s="5">
        <f ca="1">IFERROR(__xludf.DUMMYFUNCTION("""COMPUTED_VALUE"""),181)</f>
        <v>181</v>
      </c>
      <c r="N332" s="3" t="str">
        <f ca="1">IFERROR(__xludf.DUMMYFUNCTION("""COMPUTED_VALUE""")," ")</f>
        <v xml:space="preserve"> </v>
      </c>
      <c r="O332" s="5">
        <f ca="1">IFERROR(__xludf.DUMMYFUNCTION("""COMPUTED_VALUE"""),911)</f>
        <v>911</v>
      </c>
      <c r="P332" s="3">
        <f ca="1">IFERROR(__xludf.DUMMYFUNCTION("""COMPUTED_VALUE"""),-44276)</f>
        <v>-44276</v>
      </c>
      <c r="Q332" s="5">
        <f ca="1">IFERROR(__xludf.DUMMYFUNCTION("""COMPUTED_VALUE"""),2007)</f>
        <v>2007</v>
      </c>
      <c r="R332" s="3"/>
      <c r="S332" s="3"/>
      <c r="T332" s="3"/>
      <c r="U332" s="3"/>
      <c r="V332" s="3"/>
      <c r="W332" s="3"/>
      <c r="X332" s="3"/>
    </row>
    <row r="333" spans="1:24" x14ac:dyDescent="0.2">
      <c r="A333" s="3"/>
      <c r="B333" s="3"/>
      <c r="C333" s="3"/>
      <c r="D333" s="3"/>
      <c r="E333" s="3"/>
      <c r="F333" s="3"/>
      <c r="G333" s="3"/>
      <c r="H333" s="3"/>
      <c r="I333" s="3"/>
      <c r="J333" s="3"/>
      <c r="K333" s="3"/>
      <c r="L333" s="5">
        <f ca="1">IFERROR(__xludf.DUMMYFUNCTION("""COMPUTED_VALUE"""),180)</f>
        <v>180</v>
      </c>
      <c r="M333" s="5">
        <f ca="1">IFERROR(__xludf.DUMMYFUNCTION("""COMPUTED_VALUE"""),181)</f>
        <v>181</v>
      </c>
      <c r="N333" s="3" t="str">
        <f ca="1">IFERROR(__xludf.DUMMYFUNCTION("""COMPUTED_VALUE""")," ")</f>
        <v xml:space="preserve"> </v>
      </c>
      <c r="O333" s="5">
        <f ca="1">IFERROR(__xludf.DUMMYFUNCTION("""COMPUTED_VALUE"""),911)</f>
        <v>911</v>
      </c>
      <c r="P333" s="3">
        <f ca="1">IFERROR(__xludf.DUMMYFUNCTION("""COMPUTED_VALUE"""),-44276)</f>
        <v>-44276</v>
      </c>
      <c r="Q333" s="5">
        <f ca="1">IFERROR(__xludf.DUMMYFUNCTION("""COMPUTED_VALUE"""),2007)</f>
        <v>2007</v>
      </c>
      <c r="R333" s="3"/>
      <c r="S333" s="3"/>
      <c r="T333" s="3"/>
      <c r="U333" s="3"/>
      <c r="V333" s="3"/>
      <c r="W333" s="3"/>
      <c r="X333" s="3"/>
    </row>
    <row r="334" spans="1:24" x14ac:dyDescent="0.2">
      <c r="A334" s="3"/>
      <c r="B334" s="3"/>
      <c r="C334" s="3"/>
      <c r="D334" s="3"/>
      <c r="E334" s="3"/>
      <c r="F334" s="3"/>
      <c r="G334" s="3"/>
      <c r="H334" s="3"/>
      <c r="I334" s="3"/>
      <c r="J334" s="3"/>
      <c r="K334" s="3"/>
      <c r="L334" s="5">
        <f ca="1">IFERROR(__xludf.DUMMYFUNCTION("""COMPUTED_VALUE"""),180)</f>
        <v>180</v>
      </c>
      <c r="M334" s="5">
        <f ca="1">IFERROR(__xludf.DUMMYFUNCTION("""COMPUTED_VALUE"""),181)</f>
        <v>181</v>
      </c>
      <c r="N334" s="3" t="str">
        <f ca="1">IFERROR(__xludf.DUMMYFUNCTION("""COMPUTED_VALUE""")," ")</f>
        <v xml:space="preserve"> </v>
      </c>
      <c r="O334" s="5">
        <f ca="1">IFERROR(__xludf.DUMMYFUNCTION("""COMPUTED_VALUE"""),911)</f>
        <v>911</v>
      </c>
      <c r="P334" s="3">
        <f ca="1">IFERROR(__xludf.DUMMYFUNCTION("""COMPUTED_VALUE"""),-44276)</f>
        <v>-44276</v>
      </c>
      <c r="Q334" s="5">
        <f ca="1">IFERROR(__xludf.DUMMYFUNCTION("""COMPUTED_VALUE"""),2007)</f>
        <v>2007</v>
      </c>
      <c r="R334" s="3"/>
      <c r="S334" s="3"/>
      <c r="T334" s="3"/>
      <c r="U334" s="3"/>
      <c r="V334" s="3"/>
      <c r="W334" s="3"/>
      <c r="X334" s="3"/>
    </row>
    <row r="335" spans="1:24" x14ac:dyDescent="0.2">
      <c r="A335" s="3"/>
      <c r="B335" s="3"/>
      <c r="C335" s="3"/>
      <c r="D335" s="3"/>
      <c r="E335" s="3"/>
      <c r="F335" s="3"/>
      <c r="G335" s="3"/>
      <c r="H335" s="3"/>
      <c r="I335" s="3"/>
      <c r="J335" s="3"/>
      <c r="K335" s="3"/>
      <c r="L335" s="5">
        <f ca="1">IFERROR(__xludf.DUMMYFUNCTION("""COMPUTED_VALUE"""),180)</f>
        <v>180</v>
      </c>
      <c r="M335" s="5">
        <f ca="1">IFERROR(__xludf.DUMMYFUNCTION("""COMPUTED_VALUE"""),181)</f>
        <v>181</v>
      </c>
      <c r="N335" s="3" t="str">
        <f ca="1">IFERROR(__xludf.DUMMYFUNCTION("""COMPUTED_VALUE""")," ")</f>
        <v xml:space="preserve"> </v>
      </c>
      <c r="O335" s="5">
        <f ca="1">IFERROR(__xludf.DUMMYFUNCTION("""COMPUTED_VALUE"""),911)</f>
        <v>911</v>
      </c>
      <c r="P335" s="3">
        <f ca="1">IFERROR(__xludf.DUMMYFUNCTION("""COMPUTED_VALUE"""),-44276)</f>
        <v>-44276</v>
      </c>
      <c r="Q335" s="5">
        <f ca="1">IFERROR(__xludf.DUMMYFUNCTION("""COMPUTED_VALUE"""),2007)</f>
        <v>2007</v>
      </c>
      <c r="R335" s="3"/>
      <c r="S335" s="3"/>
      <c r="T335" s="3"/>
      <c r="U335" s="3"/>
      <c r="V335" s="3"/>
      <c r="W335" s="3"/>
      <c r="X335" s="3"/>
    </row>
    <row r="336" spans="1:24" x14ac:dyDescent="0.2">
      <c r="A336" s="3"/>
      <c r="B336" s="3"/>
      <c r="C336" s="3"/>
      <c r="D336" s="3"/>
      <c r="E336" s="3"/>
      <c r="F336" s="3"/>
      <c r="G336" s="3"/>
      <c r="H336" s="3"/>
      <c r="I336" s="3"/>
      <c r="J336" s="3"/>
      <c r="K336" s="3"/>
      <c r="L336" s="5">
        <f ca="1">IFERROR(__xludf.DUMMYFUNCTION("""COMPUTED_VALUE"""),180)</f>
        <v>180</v>
      </c>
      <c r="M336" s="5">
        <f ca="1">IFERROR(__xludf.DUMMYFUNCTION("""COMPUTED_VALUE"""),181)</f>
        <v>181</v>
      </c>
      <c r="N336" s="3" t="str">
        <f ca="1">IFERROR(__xludf.DUMMYFUNCTION("""COMPUTED_VALUE""")," ")</f>
        <v xml:space="preserve"> </v>
      </c>
      <c r="O336" s="5">
        <f ca="1">IFERROR(__xludf.DUMMYFUNCTION("""COMPUTED_VALUE"""),911)</f>
        <v>911</v>
      </c>
      <c r="P336" s="3">
        <f ca="1">IFERROR(__xludf.DUMMYFUNCTION("""COMPUTED_VALUE"""),-44276)</f>
        <v>-44276</v>
      </c>
      <c r="Q336" s="5">
        <f ca="1">IFERROR(__xludf.DUMMYFUNCTION("""COMPUTED_VALUE"""),2007)</f>
        <v>2007</v>
      </c>
      <c r="R336" s="3"/>
      <c r="S336" s="3"/>
      <c r="T336" s="3"/>
      <c r="U336" s="3"/>
      <c r="V336" s="3"/>
      <c r="W336" s="3"/>
      <c r="X336" s="3"/>
    </row>
    <row r="337" spans="1:24" x14ac:dyDescent="0.2">
      <c r="A337" s="3"/>
      <c r="B337" s="3"/>
      <c r="C337" s="3"/>
      <c r="D337" s="3"/>
      <c r="E337" s="3"/>
      <c r="F337" s="3"/>
      <c r="G337" s="3"/>
      <c r="H337" s="3"/>
      <c r="I337" s="3"/>
      <c r="J337" s="3"/>
      <c r="K337" s="3"/>
      <c r="L337" s="5">
        <f ca="1">IFERROR(__xludf.DUMMYFUNCTION("""COMPUTED_VALUE"""),180)</f>
        <v>180</v>
      </c>
      <c r="M337" s="5">
        <f ca="1">IFERROR(__xludf.DUMMYFUNCTION("""COMPUTED_VALUE"""),181)</f>
        <v>181</v>
      </c>
      <c r="N337" s="3" t="str">
        <f ca="1">IFERROR(__xludf.DUMMYFUNCTION("""COMPUTED_VALUE""")," ")</f>
        <v xml:space="preserve"> </v>
      </c>
      <c r="O337" s="5">
        <f ca="1">IFERROR(__xludf.DUMMYFUNCTION("""COMPUTED_VALUE"""),911)</f>
        <v>911</v>
      </c>
      <c r="P337" s="3">
        <f ca="1">IFERROR(__xludf.DUMMYFUNCTION("""COMPUTED_VALUE"""),-44276)</f>
        <v>-44276</v>
      </c>
      <c r="Q337" s="5">
        <f ca="1">IFERROR(__xludf.DUMMYFUNCTION("""COMPUTED_VALUE"""),2007)</f>
        <v>2007</v>
      </c>
      <c r="R337" s="3"/>
      <c r="S337" s="3"/>
      <c r="T337" s="3"/>
      <c r="U337" s="3"/>
      <c r="V337" s="3"/>
      <c r="W337" s="3"/>
      <c r="X337" s="3"/>
    </row>
    <row r="338" spans="1:24" x14ac:dyDescent="0.2">
      <c r="A338" s="3"/>
      <c r="B338" s="3"/>
      <c r="C338" s="3"/>
      <c r="D338" s="3"/>
      <c r="E338" s="3"/>
      <c r="F338" s="3"/>
      <c r="G338" s="3"/>
      <c r="H338" s="3"/>
      <c r="I338" s="3"/>
      <c r="J338" s="3"/>
      <c r="K338" s="3"/>
      <c r="L338" s="5">
        <f ca="1">IFERROR(__xludf.DUMMYFUNCTION("""COMPUTED_VALUE"""),180)</f>
        <v>180</v>
      </c>
      <c r="M338" s="5">
        <f ca="1">IFERROR(__xludf.DUMMYFUNCTION("""COMPUTED_VALUE"""),181)</f>
        <v>181</v>
      </c>
      <c r="N338" s="3" t="str">
        <f ca="1">IFERROR(__xludf.DUMMYFUNCTION("""COMPUTED_VALUE""")," ")</f>
        <v xml:space="preserve"> </v>
      </c>
      <c r="O338" s="5">
        <f ca="1">IFERROR(__xludf.DUMMYFUNCTION("""COMPUTED_VALUE"""),911)</f>
        <v>911</v>
      </c>
      <c r="P338" s="3">
        <f ca="1">IFERROR(__xludf.DUMMYFUNCTION("""COMPUTED_VALUE"""),-44276)</f>
        <v>-44276</v>
      </c>
      <c r="Q338" s="5">
        <f ca="1">IFERROR(__xludf.DUMMYFUNCTION("""COMPUTED_VALUE"""),2007)</f>
        <v>2007</v>
      </c>
      <c r="R338" s="3"/>
      <c r="S338" s="3"/>
      <c r="T338" s="3"/>
      <c r="U338" s="3"/>
      <c r="V338" s="3"/>
      <c r="W338" s="3"/>
      <c r="X338" s="3"/>
    </row>
    <row r="339" spans="1:24" x14ac:dyDescent="0.2">
      <c r="A339" s="3"/>
      <c r="B339" s="3"/>
      <c r="C339" s="3"/>
      <c r="D339" s="3"/>
      <c r="E339" s="3"/>
      <c r="F339" s="3"/>
      <c r="G339" s="3"/>
      <c r="H339" s="3"/>
      <c r="I339" s="3"/>
      <c r="J339" s="3"/>
      <c r="K339" s="3"/>
      <c r="L339" s="5">
        <f ca="1">IFERROR(__xludf.DUMMYFUNCTION("""COMPUTED_VALUE"""),180)</f>
        <v>180</v>
      </c>
      <c r="M339" s="5">
        <f ca="1">IFERROR(__xludf.DUMMYFUNCTION("""COMPUTED_VALUE"""),181)</f>
        <v>181</v>
      </c>
      <c r="N339" s="3" t="str">
        <f ca="1">IFERROR(__xludf.DUMMYFUNCTION("""COMPUTED_VALUE""")," ")</f>
        <v xml:space="preserve"> </v>
      </c>
      <c r="O339" s="5">
        <f ca="1">IFERROR(__xludf.DUMMYFUNCTION("""COMPUTED_VALUE"""),911)</f>
        <v>911</v>
      </c>
      <c r="P339" s="3">
        <f ca="1">IFERROR(__xludf.DUMMYFUNCTION("""COMPUTED_VALUE"""),-44276)</f>
        <v>-44276</v>
      </c>
      <c r="Q339" s="5">
        <f ca="1">IFERROR(__xludf.DUMMYFUNCTION("""COMPUTED_VALUE"""),2007)</f>
        <v>2007</v>
      </c>
      <c r="R339" s="3"/>
      <c r="S339" s="3"/>
      <c r="T339" s="3"/>
      <c r="U339" s="3"/>
      <c r="V339" s="3"/>
      <c r="W339" s="3"/>
      <c r="X339" s="3"/>
    </row>
    <row r="340" spans="1:24" x14ac:dyDescent="0.2">
      <c r="A340" s="3"/>
      <c r="B340" s="3"/>
      <c r="C340" s="3"/>
      <c r="D340" s="3"/>
      <c r="E340" s="3"/>
      <c r="F340" s="3"/>
      <c r="G340" s="3"/>
      <c r="H340" s="3"/>
      <c r="I340" s="3"/>
      <c r="J340" s="3"/>
      <c r="K340" s="3"/>
      <c r="L340" s="5">
        <f ca="1">IFERROR(__xludf.DUMMYFUNCTION("""COMPUTED_VALUE"""),180)</f>
        <v>180</v>
      </c>
      <c r="M340" s="5">
        <f ca="1">IFERROR(__xludf.DUMMYFUNCTION("""COMPUTED_VALUE"""),181)</f>
        <v>181</v>
      </c>
      <c r="N340" s="3" t="str">
        <f ca="1">IFERROR(__xludf.DUMMYFUNCTION("""COMPUTED_VALUE""")," ")</f>
        <v xml:space="preserve"> </v>
      </c>
      <c r="O340" s="5">
        <f ca="1">IFERROR(__xludf.DUMMYFUNCTION("""COMPUTED_VALUE"""),911)</f>
        <v>911</v>
      </c>
      <c r="P340" s="3">
        <f ca="1">IFERROR(__xludf.DUMMYFUNCTION("""COMPUTED_VALUE"""),-44276)</f>
        <v>-44276</v>
      </c>
      <c r="Q340" s="5">
        <f ca="1">IFERROR(__xludf.DUMMYFUNCTION("""COMPUTED_VALUE"""),2007)</f>
        <v>2007</v>
      </c>
      <c r="R340" s="3"/>
      <c r="S340" s="3"/>
      <c r="T340" s="3"/>
      <c r="U340" s="3"/>
      <c r="V340" s="3"/>
      <c r="W340" s="3"/>
      <c r="X340" s="3"/>
    </row>
    <row r="341" spans="1:24" x14ac:dyDescent="0.2">
      <c r="A341" s="3"/>
      <c r="B341" s="3"/>
      <c r="C341" s="3"/>
      <c r="D341" s="3"/>
      <c r="E341" s="3"/>
      <c r="F341" s="3"/>
      <c r="G341" s="3"/>
      <c r="H341" s="3"/>
      <c r="I341" s="3"/>
      <c r="J341" s="3"/>
      <c r="K341" s="3"/>
      <c r="L341" s="5">
        <f ca="1">IFERROR(__xludf.DUMMYFUNCTION("""COMPUTED_VALUE"""),180)</f>
        <v>180</v>
      </c>
      <c r="M341" s="5">
        <f ca="1">IFERROR(__xludf.DUMMYFUNCTION("""COMPUTED_VALUE"""),181)</f>
        <v>181</v>
      </c>
      <c r="N341" s="3" t="str">
        <f ca="1">IFERROR(__xludf.DUMMYFUNCTION("""COMPUTED_VALUE""")," ")</f>
        <v xml:space="preserve"> </v>
      </c>
      <c r="O341" s="5">
        <f ca="1">IFERROR(__xludf.DUMMYFUNCTION("""COMPUTED_VALUE"""),911)</f>
        <v>911</v>
      </c>
      <c r="P341" s="3">
        <f ca="1">IFERROR(__xludf.DUMMYFUNCTION("""COMPUTED_VALUE"""),-44276)</f>
        <v>-44276</v>
      </c>
      <c r="Q341" s="5">
        <f ca="1">IFERROR(__xludf.DUMMYFUNCTION("""COMPUTED_VALUE"""),2007)</f>
        <v>2007</v>
      </c>
      <c r="R341" s="3"/>
      <c r="S341" s="3"/>
      <c r="T341" s="3"/>
      <c r="U341" s="3"/>
      <c r="V341" s="3"/>
      <c r="W341" s="3"/>
      <c r="X341" s="3"/>
    </row>
    <row r="342" spans="1:24" x14ac:dyDescent="0.2">
      <c r="A342" s="3"/>
      <c r="B342" s="3"/>
      <c r="C342" s="3"/>
      <c r="D342" s="3"/>
      <c r="E342" s="3"/>
      <c r="F342" s="3"/>
      <c r="G342" s="3"/>
      <c r="H342" s="3"/>
      <c r="I342" s="3"/>
      <c r="J342" s="3"/>
      <c r="K342" s="3"/>
      <c r="L342" s="5">
        <f ca="1">IFERROR(__xludf.DUMMYFUNCTION("""COMPUTED_VALUE"""),180)</f>
        <v>180</v>
      </c>
      <c r="M342" s="5">
        <f ca="1">IFERROR(__xludf.DUMMYFUNCTION("""COMPUTED_VALUE"""),181)</f>
        <v>181</v>
      </c>
      <c r="N342" s="3" t="str">
        <f ca="1">IFERROR(__xludf.DUMMYFUNCTION("""COMPUTED_VALUE""")," ")</f>
        <v xml:space="preserve"> </v>
      </c>
      <c r="O342" s="5">
        <f ca="1">IFERROR(__xludf.DUMMYFUNCTION("""COMPUTED_VALUE"""),911)</f>
        <v>911</v>
      </c>
      <c r="P342" s="3">
        <f ca="1">IFERROR(__xludf.DUMMYFUNCTION("""COMPUTED_VALUE"""),-44276)</f>
        <v>-44276</v>
      </c>
      <c r="Q342" s="5">
        <f ca="1">IFERROR(__xludf.DUMMYFUNCTION("""COMPUTED_VALUE"""),2007)</f>
        <v>2007</v>
      </c>
      <c r="R342" s="3"/>
      <c r="S342" s="3"/>
      <c r="T342" s="3"/>
      <c r="U342" s="3"/>
      <c r="V342" s="3"/>
      <c r="W342" s="3"/>
      <c r="X342" s="3"/>
    </row>
    <row r="343" spans="1:24" x14ac:dyDescent="0.2">
      <c r="A343" s="3"/>
      <c r="B343" s="3"/>
      <c r="C343" s="3"/>
      <c r="D343" s="3"/>
      <c r="E343" s="3"/>
      <c r="F343" s="3"/>
      <c r="G343" s="3"/>
      <c r="H343" s="3"/>
      <c r="I343" s="3"/>
      <c r="J343" s="3"/>
      <c r="K343" s="3"/>
      <c r="L343" s="5">
        <f ca="1">IFERROR(__xludf.DUMMYFUNCTION("""COMPUTED_VALUE"""),180)</f>
        <v>180</v>
      </c>
      <c r="M343" s="5">
        <f ca="1">IFERROR(__xludf.DUMMYFUNCTION("""COMPUTED_VALUE"""),181)</f>
        <v>181</v>
      </c>
      <c r="N343" s="3" t="str">
        <f ca="1">IFERROR(__xludf.DUMMYFUNCTION("""COMPUTED_VALUE""")," ")</f>
        <v xml:space="preserve"> </v>
      </c>
      <c r="O343" s="5">
        <f ca="1">IFERROR(__xludf.DUMMYFUNCTION("""COMPUTED_VALUE"""),911)</f>
        <v>911</v>
      </c>
      <c r="P343" s="3">
        <f ca="1">IFERROR(__xludf.DUMMYFUNCTION("""COMPUTED_VALUE"""),-44276)</f>
        <v>-44276</v>
      </c>
      <c r="Q343" s="5">
        <f ca="1">IFERROR(__xludf.DUMMYFUNCTION("""COMPUTED_VALUE"""),2007)</f>
        <v>2007</v>
      </c>
      <c r="R343" s="3"/>
      <c r="S343" s="3"/>
      <c r="T343" s="3"/>
      <c r="U343" s="3"/>
      <c r="V343" s="3"/>
      <c r="W343" s="3"/>
      <c r="X343" s="3"/>
    </row>
    <row r="344" spans="1:24" x14ac:dyDescent="0.2">
      <c r="A344" s="3"/>
      <c r="B344" s="3"/>
      <c r="C344" s="3"/>
      <c r="D344" s="3"/>
      <c r="E344" s="3"/>
      <c r="F344" s="3"/>
      <c r="G344" s="3"/>
      <c r="H344" s="3"/>
      <c r="I344" s="3"/>
      <c r="J344" s="3"/>
      <c r="K344" s="3"/>
      <c r="L344" s="5">
        <f ca="1">IFERROR(__xludf.DUMMYFUNCTION("""COMPUTED_VALUE"""),180)</f>
        <v>180</v>
      </c>
      <c r="M344" s="5">
        <f ca="1">IFERROR(__xludf.DUMMYFUNCTION("""COMPUTED_VALUE"""),181)</f>
        <v>181</v>
      </c>
      <c r="N344" s="3" t="str">
        <f ca="1">IFERROR(__xludf.DUMMYFUNCTION("""COMPUTED_VALUE""")," ")</f>
        <v xml:space="preserve"> </v>
      </c>
      <c r="O344" s="5">
        <f ca="1">IFERROR(__xludf.DUMMYFUNCTION("""COMPUTED_VALUE"""),911)</f>
        <v>911</v>
      </c>
      <c r="P344" s="3">
        <f ca="1">IFERROR(__xludf.DUMMYFUNCTION("""COMPUTED_VALUE"""),-44276)</f>
        <v>-44276</v>
      </c>
      <c r="Q344" s="5">
        <f ca="1">IFERROR(__xludf.DUMMYFUNCTION("""COMPUTED_VALUE"""),2007)</f>
        <v>2007</v>
      </c>
      <c r="R344" s="3"/>
      <c r="S344" s="3"/>
      <c r="T344" s="3"/>
      <c r="U344" s="3"/>
      <c r="V344" s="3"/>
      <c r="W344" s="3"/>
      <c r="X344" s="3"/>
    </row>
    <row r="345" spans="1:24" x14ac:dyDescent="0.2">
      <c r="A345" s="3"/>
      <c r="B345" s="3"/>
      <c r="C345" s="3"/>
      <c r="D345" s="3"/>
      <c r="E345" s="3"/>
      <c r="F345" s="3"/>
      <c r="G345" s="3"/>
      <c r="H345" s="3"/>
      <c r="I345" s="3"/>
      <c r="J345" s="3"/>
      <c r="K345" s="3"/>
      <c r="L345" s="5">
        <f ca="1">IFERROR(__xludf.DUMMYFUNCTION("""COMPUTED_VALUE"""),180)</f>
        <v>180</v>
      </c>
      <c r="M345" s="5">
        <f ca="1">IFERROR(__xludf.DUMMYFUNCTION("""COMPUTED_VALUE"""),181)</f>
        <v>181</v>
      </c>
      <c r="N345" s="3" t="str">
        <f ca="1">IFERROR(__xludf.DUMMYFUNCTION("""COMPUTED_VALUE""")," ")</f>
        <v xml:space="preserve"> </v>
      </c>
      <c r="O345" s="5">
        <f ca="1">IFERROR(__xludf.DUMMYFUNCTION("""COMPUTED_VALUE"""),911)</f>
        <v>911</v>
      </c>
      <c r="P345" s="3">
        <f ca="1">IFERROR(__xludf.DUMMYFUNCTION("""COMPUTED_VALUE"""),-44276)</f>
        <v>-44276</v>
      </c>
      <c r="Q345" s="5">
        <f ca="1">IFERROR(__xludf.DUMMYFUNCTION("""COMPUTED_VALUE"""),2007)</f>
        <v>2007</v>
      </c>
      <c r="R345" s="3"/>
      <c r="S345" s="3"/>
      <c r="T345" s="3"/>
      <c r="U345" s="3"/>
      <c r="V345" s="3"/>
      <c r="W345" s="3"/>
      <c r="X345" s="3"/>
    </row>
    <row r="346" spans="1:24" x14ac:dyDescent="0.2">
      <c r="A346" s="3"/>
      <c r="B346" s="3"/>
      <c r="C346" s="3"/>
      <c r="D346" s="3"/>
      <c r="E346" s="3"/>
      <c r="F346" s="3"/>
      <c r="G346" s="3"/>
      <c r="H346" s="3"/>
      <c r="I346" s="3"/>
      <c r="J346" s="3"/>
      <c r="K346" s="3"/>
      <c r="L346" s="5">
        <f ca="1">IFERROR(__xludf.DUMMYFUNCTION("""COMPUTED_VALUE"""),180)</f>
        <v>180</v>
      </c>
      <c r="M346" s="5">
        <f ca="1">IFERROR(__xludf.DUMMYFUNCTION("""COMPUTED_VALUE"""),181)</f>
        <v>181</v>
      </c>
      <c r="N346" s="3" t="str">
        <f ca="1">IFERROR(__xludf.DUMMYFUNCTION("""COMPUTED_VALUE""")," ")</f>
        <v xml:space="preserve"> </v>
      </c>
      <c r="O346" s="5">
        <f ca="1">IFERROR(__xludf.DUMMYFUNCTION("""COMPUTED_VALUE"""),911)</f>
        <v>911</v>
      </c>
      <c r="P346" s="3">
        <f ca="1">IFERROR(__xludf.DUMMYFUNCTION("""COMPUTED_VALUE"""),-44276)</f>
        <v>-44276</v>
      </c>
      <c r="Q346" s="5">
        <f ca="1">IFERROR(__xludf.DUMMYFUNCTION("""COMPUTED_VALUE"""),2007)</f>
        <v>2007</v>
      </c>
      <c r="R346" s="3"/>
      <c r="S346" s="3"/>
      <c r="T346" s="3"/>
      <c r="U346" s="3"/>
      <c r="V346" s="3"/>
      <c r="W346" s="3"/>
      <c r="X346" s="3"/>
    </row>
    <row r="347" spans="1:24" x14ac:dyDescent="0.2">
      <c r="A347" s="3"/>
      <c r="B347" s="3"/>
      <c r="C347" s="3"/>
      <c r="D347" s="3"/>
      <c r="E347" s="3"/>
      <c r="F347" s="3"/>
      <c r="G347" s="3"/>
      <c r="H347" s="3"/>
      <c r="I347" s="3"/>
      <c r="J347" s="3"/>
      <c r="K347" s="3"/>
      <c r="L347" s="5">
        <f ca="1">IFERROR(__xludf.DUMMYFUNCTION("""COMPUTED_VALUE"""),180)</f>
        <v>180</v>
      </c>
      <c r="M347" s="5">
        <f ca="1">IFERROR(__xludf.DUMMYFUNCTION("""COMPUTED_VALUE"""),181)</f>
        <v>181</v>
      </c>
      <c r="N347" s="3" t="str">
        <f ca="1">IFERROR(__xludf.DUMMYFUNCTION("""COMPUTED_VALUE""")," ")</f>
        <v xml:space="preserve"> </v>
      </c>
      <c r="O347" s="5">
        <f ca="1">IFERROR(__xludf.DUMMYFUNCTION("""COMPUTED_VALUE"""),911)</f>
        <v>911</v>
      </c>
      <c r="P347" s="3">
        <f ca="1">IFERROR(__xludf.DUMMYFUNCTION("""COMPUTED_VALUE"""),-44276)</f>
        <v>-44276</v>
      </c>
      <c r="Q347" s="5">
        <f ca="1">IFERROR(__xludf.DUMMYFUNCTION("""COMPUTED_VALUE"""),2007)</f>
        <v>2007</v>
      </c>
      <c r="R347" s="3"/>
      <c r="S347" s="3"/>
      <c r="T347" s="3"/>
      <c r="U347" s="3"/>
      <c r="V347" s="3"/>
      <c r="W347" s="3"/>
      <c r="X347" s="3"/>
    </row>
    <row r="348" spans="1:24" x14ac:dyDescent="0.2">
      <c r="A348" s="3"/>
      <c r="B348" s="3"/>
      <c r="C348" s="3"/>
      <c r="D348" s="3"/>
      <c r="E348" s="3"/>
      <c r="F348" s="3"/>
      <c r="G348" s="3"/>
      <c r="H348" s="3"/>
      <c r="I348" s="3"/>
      <c r="J348" s="3"/>
      <c r="K348" s="3"/>
      <c r="L348" s="5">
        <f ca="1">IFERROR(__xludf.DUMMYFUNCTION("""COMPUTED_VALUE"""),180)</f>
        <v>180</v>
      </c>
      <c r="M348" s="5">
        <f ca="1">IFERROR(__xludf.DUMMYFUNCTION("""COMPUTED_VALUE"""),181)</f>
        <v>181</v>
      </c>
      <c r="N348" s="3" t="str">
        <f ca="1">IFERROR(__xludf.DUMMYFUNCTION("""COMPUTED_VALUE""")," ")</f>
        <v xml:space="preserve"> </v>
      </c>
      <c r="O348" s="5">
        <f ca="1">IFERROR(__xludf.DUMMYFUNCTION("""COMPUTED_VALUE"""),911)</f>
        <v>911</v>
      </c>
      <c r="P348" s="3">
        <f ca="1">IFERROR(__xludf.DUMMYFUNCTION("""COMPUTED_VALUE"""),-44276)</f>
        <v>-44276</v>
      </c>
      <c r="Q348" s="5">
        <f ca="1">IFERROR(__xludf.DUMMYFUNCTION("""COMPUTED_VALUE"""),2007)</f>
        <v>2007</v>
      </c>
      <c r="R348" s="3"/>
      <c r="S348" s="3"/>
      <c r="T348" s="3"/>
      <c r="U348" s="3"/>
      <c r="V348" s="3"/>
      <c r="W348" s="3"/>
      <c r="X348" s="3"/>
    </row>
    <row r="349" spans="1:24" x14ac:dyDescent="0.2">
      <c r="A349" s="3"/>
      <c r="B349" s="3"/>
      <c r="C349" s="3"/>
      <c r="D349" s="3"/>
      <c r="E349" s="3"/>
      <c r="F349" s="3"/>
      <c r="G349" s="3"/>
      <c r="H349" s="3"/>
      <c r="I349" s="3"/>
      <c r="J349" s="3"/>
      <c r="K349" s="3"/>
      <c r="L349" s="5">
        <f ca="1">IFERROR(__xludf.DUMMYFUNCTION("""COMPUTED_VALUE"""),180)</f>
        <v>180</v>
      </c>
      <c r="M349" s="5">
        <f ca="1">IFERROR(__xludf.DUMMYFUNCTION("""COMPUTED_VALUE"""),181)</f>
        <v>181</v>
      </c>
      <c r="N349" s="3" t="str">
        <f ca="1">IFERROR(__xludf.DUMMYFUNCTION("""COMPUTED_VALUE""")," ")</f>
        <v xml:space="preserve"> </v>
      </c>
      <c r="O349" s="5">
        <f ca="1">IFERROR(__xludf.DUMMYFUNCTION("""COMPUTED_VALUE"""),911)</f>
        <v>911</v>
      </c>
      <c r="P349" s="3">
        <f ca="1">IFERROR(__xludf.DUMMYFUNCTION("""COMPUTED_VALUE"""),-44276)</f>
        <v>-44276</v>
      </c>
      <c r="Q349" s="5">
        <f ca="1">IFERROR(__xludf.DUMMYFUNCTION("""COMPUTED_VALUE"""),2007)</f>
        <v>2007</v>
      </c>
      <c r="R349" s="3"/>
      <c r="S349" s="3"/>
      <c r="T349" s="3"/>
      <c r="U349" s="3"/>
      <c r="V349" s="3"/>
      <c r="W349" s="3"/>
      <c r="X349" s="3"/>
    </row>
    <row r="350" spans="1:24" x14ac:dyDescent="0.2">
      <c r="A350" s="3"/>
      <c r="B350" s="3"/>
      <c r="C350" s="3"/>
      <c r="D350" s="3"/>
      <c r="E350" s="3"/>
      <c r="F350" s="3"/>
      <c r="G350" s="3"/>
      <c r="H350" s="3"/>
      <c r="I350" s="3"/>
      <c r="J350" s="3"/>
      <c r="K350" s="3"/>
      <c r="L350" s="5">
        <f ca="1">IFERROR(__xludf.DUMMYFUNCTION("""COMPUTED_VALUE"""),180)</f>
        <v>180</v>
      </c>
      <c r="M350" s="5">
        <f ca="1">IFERROR(__xludf.DUMMYFUNCTION("""COMPUTED_VALUE"""),181)</f>
        <v>181</v>
      </c>
      <c r="N350" s="3" t="str">
        <f ca="1">IFERROR(__xludf.DUMMYFUNCTION("""COMPUTED_VALUE""")," ")</f>
        <v xml:space="preserve"> </v>
      </c>
      <c r="O350" s="5">
        <f ca="1">IFERROR(__xludf.DUMMYFUNCTION("""COMPUTED_VALUE"""),911)</f>
        <v>911</v>
      </c>
      <c r="P350" s="3">
        <f ca="1">IFERROR(__xludf.DUMMYFUNCTION("""COMPUTED_VALUE"""),-44276)</f>
        <v>-44276</v>
      </c>
      <c r="Q350" s="5">
        <f ca="1">IFERROR(__xludf.DUMMYFUNCTION("""COMPUTED_VALUE"""),2007)</f>
        <v>2007</v>
      </c>
      <c r="R350" s="3"/>
      <c r="S350" s="3"/>
      <c r="T350" s="3"/>
      <c r="U350" s="3"/>
      <c r="V350" s="3"/>
      <c r="W350" s="3"/>
      <c r="X350" s="3"/>
    </row>
    <row r="351" spans="1:24" x14ac:dyDescent="0.2">
      <c r="A351" s="3"/>
      <c r="B351" s="3"/>
      <c r="C351" s="3"/>
      <c r="D351" s="3"/>
      <c r="E351" s="3"/>
      <c r="F351" s="3"/>
      <c r="G351" s="3"/>
      <c r="H351" s="3"/>
      <c r="I351" s="3"/>
      <c r="J351" s="3"/>
      <c r="K351" s="3"/>
      <c r="L351" s="5">
        <f ca="1">IFERROR(__xludf.DUMMYFUNCTION("""COMPUTED_VALUE"""),180)</f>
        <v>180</v>
      </c>
      <c r="M351" s="5">
        <f ca="1">IFERROR(__xludf.DUMMYFUNCTION("""COMPUTED_VALUE"""),181)</f>
        <v>181</v>
      </c>
      <c r="N351" s="3" t="str">
        <f ca="1">IFERROR(__xludf.DUMMYFUNCTION("""COMPUTED_VALUE""")," ")</f>
        <v xml:space="preserve"> </v>
      </c>
      <c r="O351" s="5">
        <f ca="1">IFERROR(__xludf.DUMMYFUNCTION("""COMPUTED_VALUE"""),911)</f>
        <v>911</v>
      </c>
      <c r="P351" s="3">
        <f ca="1">IFERROR(__xludf.DUMMYFUNCTION("""COMPUTED_VALUE"""),-44276)</f>
        <v>-44276</v>
      </c>
      <c r="Q351" s="5">
        <f ca="1">IFERROR(__xludf.DUMMYFUNCTION("""COMPUTED_VALUE"""),2007)</f>
        <v>2007</v>
      </c>
      <c r="R351" s="3"/>
      <c r="S351" s="3"/>
      <c r="T351" s="3"/>
      <c r="U351" s="3"/>
      <c r="V351" s="3"/>
      <c r="W351" s="3"/>
      <c r="X351" s="3"/>
    </row>
    <row r="352" spans="1:24" x14ac:dyDescent="0.2">
      <c r="A352" s="3"/>
      <c r="B352" s="3"/>
      <c r="C352" s="3"/>
      <c r="D352" s="3"/>
      <c r="E352" s="3"/>
      <c r="F352" s="3"/>
      <c r="G352" s="3"/>
      <c r="H352" s="3"/>
      <c r="I352" s="3"/>
      <c r="J352" s="3"/>
      <c r="K352" s="3"/>
      <c r="L352" s="5">
        <f ca="1">IFERROR(__xludf.DUMMYFUNCTION("""COMPUTED_VALUE"""),180)</f>
        <v>180</v>
      </c>
      <c r="M352" s="5">
        <f ca="1">IFERROR(__xludf.DUMMYFUNCTION("""COMPUTED_VALUE"""),181)</f>
        <v>181</v>
      </c>
      <c r="N352" s="3" t="str">
        <f ca="1">IFERROR(__xludf.DUMMYFUNCTION("""COMPUTED_VALUE""")," ")</f>
        <v xml:space="preserve"> </v>
      </c>
      <c r="O352" s="5">
        <f ca="1">IFERROR(__xludf.DUMMYFUNCTION("""COMPUTED_VALUE"""),911)</f>
        <v>911</v>
      </c>
      <c r="P352" s="3">
        <f ca="1">IFERROR(__xludf.DUMMYFUNCTION("""COMPUTED_VALUE"""),-44276)</f>
        <v>-44276</v>
      </c>
      <c r="Q352" s="5">
        <f ca="1">IFERROR(__xludf.DUMMYFUNCTION("""COMPUTED_VALUE"""),2007)</f>
        <v>2007</v>
      </c>
      <c r="R352" s="3"/>
      <c r="S352" s="3"/>
      <c r="T352" s="3"/>
      <c r="U352" s="3"/>
      <c r="V352" s="3"/>
      <c r="W352" s="3"/>
      <c r="X352" s="3"/>
    </row>
    <row r="353" spans="1:24" x14ac:dyDescent="0.2">
      <c r="A353" s="3"/>
      <c r="B353" s="3"/>
      <c r="C353" s="3"/>
      <c r="D353" s="3"/>
      <c r="E353" s="3"/>
      <c r="F353" s="3"/>
      <c r="G353" s="3"/>
      <c r="H353" s="3"/>
      <c r="I353" s="3"/>
      <c r="J353" s="3"/>
      <c r="K353" s="3"/>
      <c r="L353" s="5">
        <f ca="1">IFERROR(__xludf.DUMMYFUNCTION("""COMPUTED_VALUE"""),180)</f>
        <v>180</v>
      </c>
      <c r="M353" s="5">
        <f ca="1">IFERROR(__xludf.DUMMYFUNCTION("""COMPUTED_VALUE"""),181)</f>
        <v>181</v>
      </c>
      <c r="N353" s="3" t="str">
        <f ca="1">IFERROR(__xludf.DUMMYFUNCTION("""COMPUTED_VALUE""")," ")</f>
        <v xml:space="preserve"> </v>
      </c>
      <c r="O353" s="5">
        <f ca="1">IFERROR(__xludf.DUMMYFUNCTION("""COMPUTED_VALUE"""),911)</f>
        <v>911</v>
      </c>
      <c r="P353" s="3">
        <f ca="1">IFERROR(__xludf.DUMMYFUNCTION("""COMPUTED_VALUE"""),-44276)</f>
        <v>-44276</v>
      </c>
      <c r="Q353" s="5">
        <f ca="1">IFERROR(__xludf.DUMMYFUNCTION("""COMPUTED_VALUE"""),2007)</f>
        <v>2007</v>
      </c>
      <c r="R353" s="3"/>
      <c r="S353" s="3"/>
      <c r="T353" s="3"/>
      <c r="U353" s="3"/>
      <c r="V353" s="3"/>
      <c r="W353" s="3"/>
      <c r="X353" s="3"/>
    </row>
    <row r="354" spans="1:24" x14ac:dyDescent="0.2">
      <c r="A354" s="3"/>
      <c r="B354" s="3"/>
      <c r="C354" s="3"/>
      <c r="D354" s="3"/>
      <c r="E354" s="3"/>
      <c r="F354" s="3"/>
      <c r="G354" s="3"/>
      <c r="H354" s="3"/>
      <c r="I354" s="3"/>
      <c r="J354" s="3"/>
      <c r="K354" s="3"/>
      <c r="L354" s="5">
        <f ca="1">IFERROR(__xludf.DUMMYFUNCTION("""COMPUTED_VALUE"""),180)</f>
        <v>180</v>
      </c>
      <c r="M354" s="5">
        <f ca="1">IFERROR(__xludf.DUMMYFUNCTION("""COMPUTED_VALUE"""),181)</f>
        <v>181</v>
      </c>
      <c r="N354" s="3" t="str">
        <f ca="1">IFERROR(__xludf.DUMMYFUNCTION("""COMPUTED_VALUE""")," ")</f>
        <v xml:space="preserve"> </v>
      </c>
      <c r="O354" s="5">
        <f ca="1">IFERROR(__xludf.DUMMYFUNCTION("""COMPUTED_VALUE"""),911)</f>
        <v>911</v>
      </c>
      <c r="P354" s="3">
        <f ca="1">IFERROR(__xludf.DUMMYFUNCTION("""COMPUTED_VALUE"""),-44276)</f>
        <v>-44276</v>
      </c>
      <c r="Q354" s="5">
        <f ca="1">IFERROR(__xludf.DUMMYFUNCTION("""COMPUTED_VALUE"""),2007)</f>
        <v>2007</v>
      </c>
      <c r="R354" s="3"/>
      <c r="S354" s="3"/>
      <c r="T354" s="3"/>
      <c r="U354" s="3"/>
      <c r="V354" s="3"/>
      <c r="W354" s="3"/>
      <c r="X354" s="3"/>
    </row>
    <row r="355" spans="1:24" x14ac:dyDescent="0.2">
      <c r="A355" s="3"/>
      <c r="B355" s="3"/>
      <c r="C355" s="3"/>
      <c r="D355" s="3"/>
      <c r="E355" s="3"/>
      <c r="F355" s="3"/>
      <c r="G355" s="3"/>
      <c r="H355" s="3"/>
      <c r="I355" s="3"/>
      <c r="J355" s="3"/>
      <c r="K355" s="3"/>
      <c r="L355" s="5">
        <f ca="1">IFERROR(__xludf.DUMMYFUNCTION("""COMPUTED_VALUE"""),180)</f>
        <v>180</v>
      </c>
      <c r="M355" s="5">
        <f ca="1">IFERROR(__xludf.DUMMYFUNCTION("""COMPUTED_VALUE"""),181)</f>
        <v>181</v>
      </c>
      <c r="N355" s="3" t="str">
        <f ca="1">IFERROR(__xludf.DUMMYFUNCTION("""COMPUTED_VALUE""")," ")</f>
        <v xml:space="preserve"> </v>
      </c>
      <c r="O355" s="5">
        <f ca="1">IFERROR(__xludf.DUMMYFUNCTION("""COMPUTED_VALUE"""),911)</f>
        <v>911</v>
      </c>
      <c r="P355" s="3">
        <f ca="1">IFERROR(__xludf.DUMMYFUNCTION("""COMPUTED_VALUE"""),-44276)</f>
        <v>-44276</v>
      </c>
      <c r="Q355" s="5">
        <f ca="1">IFERROR(__xludf.DUMMYFUNCTION("""COMPUTED_VALUE"""),2007)</f>
        <v>2007</v>
      </c>
      <c r="R355" s="3"/>
      <c r="S355" s="3"/>
      <c r="T355" s="3"/>
      <c r="U355" s="3"/>
      <c r="V355" s="3"/>
      <c r="W355" s="3"/>
      <c r="X355" s="3"/>
    </row>
    <row r="356" spans="1:24" x14ac:dyDescent="0.2">
      <c r="A356" s="3"/>
      <c r="B356" s="3"/>
      <c r="C356" s="3"/>
      <c r="D356" s="3"/>
      <c r="E356" s="3"/>
      <c r="F356" s="3"/>
      <c r="G356" s="3"/>
      <c r="H356" s="3"/>
      <c r="I356" s="3"/>
      <c r="J356" s="3"/>
      <c r="K356" s="3"/>
      <c r="L356" s="5">
        <f ca="1">IFERROR(__xludf.DUMMYFUNCTION("""COMPUTED_VALUE"""),180)</f>
        <v>180</v>
      </c>
      <c r="M356" s="5">
        <f ca="1">IFERROR(__xludf.DUMMYFUNCTION("""COMPUTED_VALUE"""),181)</f>
        <v>181</v>
      </c>
      <c r="N356" s="3" t="str">
        <f ca="1">IFERROR(__xludf.DUMMYFUNCTION("""COMPUTED_VALUE""")," ")</f>
        <v xml:space="preserve"> </v>
      </c>
      <c r="O356" s="5">
        <f ca="1">IFERROR(__xludf.DUMMYFUNCTION("""COMPUTED_VALUE"""),911)</f>
        <v>911</v>
      </c>
      <c r="P356" s="3">
        <f ca="1">IFERROR(__xludf.DUMMYFUNCTION("""COMPUTED_VALUE"""),-44276)</f>
        <v>-44276</v>
      </c>
      <c r="Q356" s="5">
        <f ca="1">IFERROR(__xludf.DUMMYFUNCTION("""COMPUTED_VALUE"""),2007)</f>
        <v>2007</v>
      </c>
      <c r="R356" s="3"/>
      <c r="S356" s="3"/>
      <c r="T356" s="3"/>
      <c r="U356" s="3"/>
      <c r="V356" s="3"/>
      <c r="W356" s="3"/>
      <c r="X356" s="3"/>
    </row>
    <row r="357" spans="1:24" x14ac:dyDescent="0.2">
      <c r="A357" s="3"/>
      <c r="B357" s="3"/>
      <c r="C357" s="3"/>
      <c r="D357" s="3"/>
      <c r="E357" s="3"/>
      <c r="F357" s="3"/>
      <c r="G357" s="3"/>
      <c r="H357" s="3"/>
      <c r="I357" s="3"/>
      <c r="J357" s="3"/>
      <c r="K357" s="3"/>
      <c r="L357" s="5">
        <f ca="1">IFERROR(__xludf.DUMMYFUNCTION("""COMPUTED_VALUE"""),180)</f>
        <v>180</v>
      </c>
      <c r="M357" s="5">
        <f ca="1">IFERROR(__xludf.DUMMYFUNCTION("""COMPUTED_VALUE"""),181)</f>
        <v>181</v>
      </c>
      <c r="N357" s="3" t="str">
        <f ca="1">IFERROR(__xludf.DUMMYFUNCTION("""COMPUTED_VALUE""")," ")</f>
        <v xml:space="preserve"> </v>
      </c>
      <c r="O357" s="5">
        <f ca="1">IFERROR(__xludf.DUMMYFUNCTION("""COMPUTED_VALUE"""),911)</f>
        <v>911</v>
      </c>
      <c r="P357" s="3">
        <f ca="1">IFERROR(__xludf.DUMMYFUNCTION("""COMPUTED_VALUE"""),-44276)</f>
        <v>-44276</v>
      </c>
      <c r="Q357" s="5">
        <f ca="1">IFERROR(__xludf.DUMMYFUNCTION("""COMPUTED_VALUE"""),2007)</f>
        <v>2007</v>
      </c>
      <c r="R357" s="3"/>
      <c r="S357" s="3"/>
      <c r="T357" s="3"/>
      <c r="U357" s="3"/>
      <c r="V357" s="3"/>
      <c r="W357" s="3"/>
      <c r="X357" s="3"/>
    </row>
    <row r="358" spans="1:24" x14ac:dyDescent="0.2">
      <c r="A358" s="3"/>
      <c r="B358" s="3"/>
      <c r="C358" s="3"/>
      <c r="D358" s="3"/>
      <c r="E358" s="3"/>
      <c r="F358" s="3"/>
      <c r="G358" s="3"/>
      <c r="H358" s="3"/>
      <c r="I358" s="3"/>
      <c r="J358" s="3"/>
      <c r="K358" s="3"/>
      <c r="L358" s="5">
        <f ca="1">IFERROR(__xludf.DUMMYFUNCTION("""COMPUTED_VALUE"""),180)</f>
        <v>180</v>
      </c>
      <c r="M358" s="5">
        <f ca="1">IFERROR(__xludf.DUMMYFUNCTION("""COMPUTED_VALUE"""),181)</f>
        <v>181</v>
      </c>
      <c r="N358" s="3" t="str">
        <f ca="1">IFERROR(__xludf.DUMMYFUNCTION("""COMPUTED_VALUE""")," ")</f>
        <v xml:space="preserve"> </v>
      </c>
      <c r="O358" s="5">
        <f ca="1">IFERROR(__xludf.DUMMYFUNCTION("""COMPUTED_VALUE"""),911)</f>
        <v>911</v>
      </c>
      <c r="P358" s="3">
        <f ca="1">IFERROR(__xludf.DUMMYFUNCTION("""COMPUTED_VALUE"""),-44276)</f>
        <v>-44276</v>
      </c>
      <c r="Q358" s="5">
        <f ca="1">IFERROR(__xludf.DUMMYFUNCTION("""COMPUTED_VALUE"""),2007)</f>
        <v>2007</v>
      </c>
      <c r="R358" s="3"/>
      <c r="S358" s="3"/>
      <c r="T358" s="3"/>
      <c r="U358" s="3"/>
      <c r="V358" s="3"/>
      <c r="W358" s="3"/>
      <c r="X358" s="3"/>
    </row>
    <row r="359" spans="1:24" x14ac:dyDescent="0.2">
      <c r="A359" s="3"/>
      <c r="B359" s="3"/>
      <c r="C359" s="3"/>
      <c r="D359" s="3"/>
      <c r="E359" s="3"/>
      <c r="F359" s="3"/>
      <c r="G359" s="3"/>
      <c r="H359" s="3"/>
      <c r="I359" s="3"/>
      <c r="J359" s="3"/>
      <c r="K359" s="3"/>
      <c r="L359" s="5">
        <f ca="1">IFERROR(__xludf.DUMMYFUNCTION("""COMPUTED_VALUE"""),180)</f>
        <v>180</v>
      </c>
      <c r="M359" s="5">
        <f ca="1">IFERROR(__xludf.DUMMYFUNCTION("""COMPUTED_VALUE"""),181)</f>
        <v>181</v>
      </c>
      <c r="N359" s="3" t="str">
        <f ca="1">IFERROR(__xludf.DUMMYFUNCTION("""COMPUTED_VALUE""")," ")</f>
        <v xml:space="preserve"> </v>
      </c>
      <c r="O359" s="5">
        <f ca="1">IFERROR(__xludf.DUMMYFUNCTION("""COMPUTED_VALUE"""),911)</f>
        <v>911</v>
      </c>
      <c r="P359" s="3">
        <f ca="1">IFERROR(__xludf.DUMMYFUNCTION("""COMPUTED_VALUE"""),-44276)</f>
        <v>-44276</v>
      </c>
      <c r="Q359" s="5">
        <f ca="1">IFERROR(__xludf.DUMMYFUNCTION("""COMPUTED_VALUE"""),2007)</f>
        <v>2007</v>
      </c>
      <c r="R359" s="3"/>
      <c r="S359" s="3"/>
      <c r="T359" s="3"/>
      <c r="U359" s="3"/>
      <c r="V359" s="3"/>
      <c r="W359" s="3"/>
      <c r="X359" s="3"/>
    </row>
    <row r="360" spans="1:24" x14ac:dyDescent="0.2">
      <c r="A360" s="3"/>
      <c r="B360" s="3"/>
      <c r="C360" s="3"/>
      <c r="D360" s="3"/>
      <c r="E360" s="3"/>
      <c r="F360" s="3"/>
      <c r="G360" s="3"/>
      <c r="H360" s="3"/>
      <c r="I360" s="3"/>
      <c r="J360" s="3"/>
      <c r="K360" s="3"/>
      <c r="L360" s="5">
        <f ca="1">IFERROR(__xludf.DUMMYFUNCTION("""COMPUTED_VALUE"""),180)</f>
        <v>180</v>
      </c>
      <c r="M360" s="5">
        <f ca="1">IFERROR(__xludf.DUMMYFUNCTION("""COMPUTED_VALUE"""),181)</f>
        <v>181</v>
      </c>
      <c r="N360" s="3" t="str">
        <f ca="1">IFERROR(__xludf.DUMMYFUNCTION("""COMPUTED_VALUE""")," ")</f>
        <v xml:space="preserve"> </v>
      </c>
      <c r="O360" s="5">
        <f ca="1">IFERROR(__xludf.DUMMYFUNCTION("""COMPUTED_VALUE"""),911)</f>
        <v>911</v>
      </c>
      <c r="P360" s="3">
        <f ca="1">IFERROR(__xludf.DUMMYFUNCTION("""COMPUTED_VALUE"""),-44276)</f>
        <v>-44276</v>
      </c>
      <c r="Q360" s="5">
        <f ca="1">IFERROR(__xludf.DUMMYFUNCTION("""COMPUTED_VALUE"""),2007)</f>
        <v>2007</v>
      </c>
      <c r="R360" s="3"/>
      <c r="S360" s="3"/>
      <c r="T360" s="3"/>
      <c r="U360" s="3"/>
      <c r="V360" s="3"/>
      <c r="W360" s="3"/>
      <c r="X360" s="3"/>
    </row>
    <row r="361" spans="1:24" x14ac:dyDescent="0.2">
      <c r="A361" s="3"/>
      <c r="B361" s="3"/>
      <c r="C361" s="3"/>
      <c r="D361" s="3"/>
      <c r="E361" s="3"/>
      <c r="F361" s="3"/>
      <c r="G361" s="3"/>
      <c r="H361" s="3"/>
      <c r="I361" s="3"/>
      <c r="J361" s="3"/>
      <c r="K361" s="3"/>
      <c r="L361" s="5">
        <f ca="1">IFERROR(__xludf.DUMMYFUNCTION("""COMPUTED_VALUE"""),180)</f>
        <v>180</v>
      </c>
      <c r="M361" s="5">
        <f ca="1">IFERROR(__xludf.DUMMYFUNCTION("""COMPUTED_VALUE"""),181)</f>
        <v>181</v>
      </c>
      <c r="N361" s="3" t="str">
        <f ca="1">IFERROR(__xludf.DUMMYFUNCTION("""COMPUTED_VALUE""")," ")</f>
        <v xml:space="preserve"> </v>
      </c>
      <c r="O361" s="5">
        <f ca="1">IFERROR(__xludf.DUMMYFUNCTION("""COMPUTED_VALUE"""),911)</f>
        <v>911</v>
      </c>
      <c r="P361" s="3">
        <f ca="1">IFERROR(__xludf.DUMMYFUNCTION("""COMPUTED_VALUE"""),-44276)</f>
        <v>-44276</v>
      </c>
      <c r="Q361" s="5">
        <f ca="1">IFERROR(__xludf.DUMMYFUNCTION("""COMPUTED_VALUE"""),2007)</f>
        <v>2007</v>
      </c>
      <c r="R361" s="3"/>
      <c r="S361" s="3"/>
      <c r="T361" s="3"/>
      <c r="U361" s="3"/>
      <c r="V361" s="3"/>
      <c r="W361" s="3"/>
      <c r="X361" s="3"/>
    </row>
    <row r="362" spans="1:24" x14ac:dyDescent="0.2">
      <c r="A362" s="3"/>
      <c r="B362" s="3"/>
      <c r="C362" s="3"/>
      <c r="D362" s="3"/>
      <c r="E362" s="3"/>
      <c r="F362" s="3"/>
      <c r="G362" s="3"/>
      <c r="H362" s="3"/>
      <c r="I362" s="3"/>
      <c r="J362" s="3"/>
      <c r="K362" s="3"/>
      <c r="L362" s="5">
        <f ca="1">IFERROR(__xludf.DUMMYFUNCTION("""COMPUTED_VALUE"""),180)</f>
        <v>180</v>
      </c>
      <c r="M362" s="5">
        <f ca="1">IFERROR(__xludf.DUMMYFUNCTION("""COMPUTED_VALUE"""),181)</f>
        <v>181</v>
      </c>
      <c r="N362" s="3" t="str">
        <f ca="1">IFERROR(__xludf.DUMMYFUNCTION("""COMPUTED_VALUE""")," ")</f>
        <v xml:space="preserve"> </v>
      </c>
      <c r="O362" s="5">
        <f ca="1">IFERROR(__xludf.DUMMYFUNCTION("""COMPUTED_VALUE"""),911)</f>
        <v>911</v>
      </c>
      <c r="P362" s="3">
        <f ca="1">IFERROR(__xludf.DUMMYFUNCTION("""COMPUTED_VALUE"""),-44276)</f>
        <v>-44276</v>
      </c>
      <c r="Q362" s="5">
        <f ca="1">IFERROR(__xludf.DUMMYFUNCTION("""COMPUTED_VALUE"""),2007)</f>
        <v>2007</v>
      </c>
      <c r="R362" s="3"/>
      <c r="S362" s="3"/>
      <c r="T362" s="3"/>
      <c r="U362" s="3"/>
      <c r="V362" s="3"/>
      <c r="W362" s="3"/>
      <c r="X362" s="3"/>
    </row>
    <row r="363" spans="1:24" x14ac:dyDescent="0.2">
      <c r="A363" s="3"/>
      <c r="B363" s="3"/>
      <c r="C363" s="3"/>
      <c r="D363" s="3"/>
      <c r="E363" s="3"/>
      <c r="F363" s="3"/>
      <c r="G363" s="3"/>
      <c r="H363" s="3"/>
      <c r="I363" s="3"/>
      <c r="J363" s="3"/>
      <c r="K363" s="3"/>
      <c r="L363" s="5">
        <f ca="1">IFERROR(__xludf.DUMMYFUNCTION("""COMPUTED_VALUE"""),180)</f>
        <v>180</v>
      </c>
      <c r="M363" s="5">
        <f ca="1">IFERROR(__xludf.DUMMYFUNCTION("""COMPUTED_VALUE"""),181)</f>
        <v>181</v>
      </c>
      <c r="N363" s="3" t="str">
        <f ca="1">IFERROR(__xludf.DUMMYFUNCTION("""COMPUTED_VALUE""")," ")</f>
        <v xml:space="preserve"> </v>
      </c>
      <c r="O363" s="5">
        <f ca="1">IFERROR(__xludf.DUMMYFUNCTION("""COMPUTED_VALUE"""),911)</f>
        <v>911</v>
      </c>
      <c r="P363" s="3">
        <f ca="1">IFERROR(__xludf.DUMMYFUNCTION("""COMPUTED_VALUE"""),-44276)</f>
        <v>-44276</v>
      </c>
      <c r="Q363" s="5">
        <f ca="1">IFERROR(__xludf.DUMMYFUNCTION("""COMPUTED_VALUE"""),2007)</f>
        <v>2007</v>
      </c>
      <c r="R363" s="3"/>
      <c r="S363" s="3"/>
      <c r="T363" s="3"/>
      <c r="U363" s="3"/>
      <c r="V363" s="3"/>
      <c r="W363" s="3"/>
      <c r="X363" s="3"/>
    </row>
    <row r="364" spans="1:24" x14ac:dyDescent="0.2">
      <c r="A364" s="3"/>
      <c r="B364" s="3"/>
      <c r="C364" s="3"/>
      <c r="D364" s="3"/>
      <c r="E364" s="3"/>
      <c r="F364" s="3"/>
      <c r="G364" s="3"/>
      <c r="H364" s="3"/>
      <c r="I364" s="3"/>
      <c r="J364" s="3"/>
      <c r="K364" s="3"/>
      <c r="L364" s="5">
        <f ca="1">IFERROR(__xludf.DUMMYFUNCTION("""COMPUTED_VALUE"""),180)</f>
        <v>180</v>
      </c>
      <c r="M364" s="5">
        <f ca="1">IFERROR(__xludf.DUMMYFUNCTION("""COMPUTED_VALUE"""),181)</f>
        <v>181</v>
      </c>
      <c r="N364" s="3" t="str">
        <f ca="1">IFERROR(__xludf.DUMMYFUNCTION("""COMPUTED_VALUE""")," ")</f>
        <v xml:space="preserve"> </v>
      </c>
      <c r="O364" s="5">
        <f ca="1">IFERROR(__xludf.DUMMYFUNCTION("""COMPUTED_VALUE"""),911)</f>
        <v>911</v>
      </c>
      <c r="P364" s="3">
        <f ca="1">IFERROR(__xludf.DUMMYFUNCTION("""COMPUTED_VALUE"""),-44276)</f>
        <v>-44276</v>
      </c>
      <c r="Q364" s="5">
        <f ca="1">IFERROR(__xludf.DUMMYFUNCTION("""COMPUTED_VALUE"""),2007)</f>
        <v>2007</v>
      </c>
      <c r="R364" s="3"/>
      <c r="S364" s="3"/>
      <c r="T364" s="3"/>
      <c r="U364" s="3"/>
      <c r="V364" s="3"/>
      <c r="W364" s="3"/>
      <c r="X364" s="3"/>
    </row>
    <row r="365" spans="1:24" x14ac:dyDescent="0.2">
      <c r="A365" s="3"/>
      <c r="B365" s="3"/>
      <c r="C365" s="3"/>
      <c r="D365" s="3"/>
      <c r="E365" s="3"/>
      <c r="F365" s="3"/>
      <c r="G365" s="3"/>
      <c r="H365" s="3"/>
      <c r="I365" s="3"/>
      <c r="J365" s="3"/>
      <c r="K365" s="3"/>
      <c r="L365" s="5">
        <f ca="1">IFERROR(__xludf.DUMMYFUNCTION("""COMPUTED_VALUE"""),180)</f>
        <v>180</v>
      </c>
      <c r="M365" s="5">
        <f ca="1">IFERROR(__xludf.DUMMYFUNCTION("""COMPUTED_VALUE"""),181)</f>
        <v>181</v>
      </c>
      <c r="N365" s="3" t="str">
        <f ca="1">IFERROR(__xludf.DUMMYFUNCTION("""COMPUTED_VALUE""")," ")</f>
        <v xml:space="preserve"> </v>
      </c>
      <c r="O365" s="5">
        <f ca="1">IFERROR(__xludf.DUMMYFUNCTION("""COMPUTED_VALUE"""),911)</f>
        <v>911</v>
      </c>
      <c r="P365" s="3">
        <f ca="1">IFERROR(__xludf.DUMMYFUNCTION("""COMPUTED_VALUE"""),-44276)</f>
        <v>-44276</v>
      </c>
      <c r="Q365" s="5">
        <f ca="1">IFERROR(__xludf.DUMMYFUNCTION("""COMPUTED_VALUE"""),2007)</f>
        <v>2007</v>
      </c>
      <c r="R365" s="3"/>
      <c r="S365" s="3"/>
      <c r="T365" s="3"/>
      <c r="U365" s="3"/>
      <c r="V365" s="3"/>
      <c r="W365" s="3"/>
      <c r="X365" s="3"/>
    </row>
    <row r="366" spans="1:24" x14ac:dyDescent="0.2">
      <c r="A366" s="3"/>
      <c r="B366" s="3"/>
      <c r="C366" s="3"/>
      <c r="D366" s="3"/>
      <c r="E366" s="3"/>
      <c r="F366" s="3"/>
      <c r="G366" s="3"/>
      <c r="H366" s="3"/>
      <c r="I366" s="3"/>
      <c r="J366" s="3"/>
      <c r="K366" s="3"/>
      <c r="L366" s="5">
        <f ca="1">IFERROR(__xludf.DUMMYFUNCTION("""COMPUTED_VALUE"""),180)</f>
        <v>180</v>
      </c>
      <c r="M366" s="5">
        <f ca="1">IFERROR(__xludf.DUMMYFUNCTION("""COMPUTED_VALUE"""),181)</f>
        <v>181</v>
      </c>
      <c r="N366" s="3" t="str">
        <f ca="1">IFERROR(__xludf.DUMMYFUNCTION("""COMPUTED_VALUE""")," ")</f>
        <v xml:space="preserve"> </v>
      </c>
      <c r="O366" s="5">
        <f ca="1">IFERROR(__xludf.DUMMYFUNCTION("""COMPUTED_VALUE"""),911)</f>
        <v>911</v>
      </c>
      <c r="P366" s="3">
        <f ca="1">IFERROR(__xludf.DUMMYFUNCTION("""COMPUTED_VALUE"""),-44276)</f>
        <v>-44276</v>
      </c>
      <c r="Q366" s="5">
        <f ca="1">IFERROR(__xludf.DUMMYFUNCTION("""COMPUTED_VALUE"""),2007)</f>
        <v>2007</v>
      </c>
      <c r="R366" s="3"/>
      <c r="S366" s="3"/>
      <c r="T366" s="3"/>
      <c r="U366" s="3"/>
      <c r="V366" s="3"/>
      <c r="W366" s="3"/>
      <c r="X366" s="3"/>
    </row>
    <row r="367" spans="1:24" x14ac:dyDescent="0.2">
      <c r="A367" s="3"/>
      <c r="B367" s="3"/>
      <c r="C367" s="3"/>
      <c r="D367" s="3"/>
      <c r="E367" s="3"/>
      <c r="F367" s="3"/>
      <c r="G367" s="3"/>
      <c r="H367" s="3"/>
      <c r="I367" s="3"/>
      <c r="J367" s="3"/>
      <c r="K367" s="3"/>
      <c r="L367" s="5">
        <f ca="1">IFERROR(__xludf.DUMMYFUNCTION("""COMPUTED_VALUE"""),180)</f>
        <v>180</v>
      </c>
      <c r="M367" s="5">
        <f ca="1">IFERROR(__xludf.DUMMYFUNCTION("""COMPUTED_VALUE"""),181)</f>
        <v>181</v>
      </c>
      <c r="N367" s="3" t="str">
        <f ca="1">IFERROR(__xludf.DUMMYFUNCTION("""COMPUTED_VALUE""")," ")</f>
        <v xml:space="preserve"> </v>
      </c>
      <c r="O367" s="5">
        <f ca="1">IFERROR(__xludf.DUMMYFUNCTION("""COMPUTED_VALUE"""),911)</f>
        <v>911</v>
      </c>
      <c r="P367" s="3">
        <f ca="1">IFERROR(__xludf.DUMMYFUNCTION("""COMPUTED_VALUE"""),-44276)</f>
        <v>-44276</v>
      </c>
      <c r="Q367" s="5">
        <f ca="1">IFERROR(__xludf.DUMMYFUNCTION("""COMPUTED_VALUE"""),2007)</f>
        <v>2007</v>
      </c>
      <c r="R367" s="3"/>
      <c r="S367" s="3"/>
      <c r="T367" s="3"/>
      <c r="U367" s="3"/>
      <c r="V367" s="3"/>
      <c r="W367" s="3"/>
      <c r="X367" s="3"/>
    </row>
    <row r="368" spans="1:24" x14ac:dyDescent="0.2">
      <c r="A368" s="3"/>
      <c r="B368" s="3"/>
      <c r="C368" s="3"/>
      <c r="D368" s="3"/>
      <c r="E368" s="3"/>
      <c r="F368" s="3"/>
      <c r="G368" s="3"/>
      <c r="H368" s="3"/>
      <c r="I368" s="3"/>
      <c r="J368" s="3"/>
      <c r="K368" s="3"/>
      <c r="L368" s="5">
        <f ca="1">IFERROR(__xludf.DUMMYFUNCTION("""COMPUTED_VALUE"""),180)</f>
        <v>180</v>
      </c>
      <c r="M368" s="5">
        <f ca="1">IFERROR(__xludf.DUMMYFUNCTION("""COMPUTED_VALUE"""),181)</f>
        <v>181</v>
      </c>
      <c r="N368" s="3" t="str">
        <f ca="1">IFERROR(__xludf.DUMMYFUNCTION("""COMPUTED_VALUE""")," ")</f>
        <v xml:space="preserve"> </v>
      </c>
      <c r="O368" s="5">
        <f ca="1">IFERROR(__xludf.DUMMYFUNCTION("""COMPUTED_VALUE"""),911)</f>
        <v>911</v>
      </c>
      <c r="P368" s="3">
        <f ca="1">IFERROR(__xludf.DUMMYFUNCTION("""COMPUTED_VALUE"""),-44276)</f>
        <v>-44276</v>
      </c>
      <c r="Q368" s="5">
        <f ca="1">IFERROR(__xludf.DUMMYFUNCTION("""COMPUTED_VALUE"""),2007)</f>
        <v>2007</v>
      </c>
      <c r="R368" s="3"/>
      <c r="S368" s="3"/>
      <c r="T368" s="3"/>
      <c r="U368" s="3"/>
      <c r="V368" s="3"/>
      <c r="W368" s="3"/>
      <c r="X368" s="3"/>
    </row>
    <row r="369" spans="1:24" x14ac:dyDescent="0.2">
      <c r="A369" s="3"/>
      <c r="B369" s="3"/>
      <c r="C369" s="3"/>
      <c r="D369" s="3"/>
      <c r="E369" s="3"/>
      <c r="F369" s="3"/>
      <c r="G369" s="3"/>
      <c r="H369" s="3"/>
      <c r="I369" s="3"/>
      <c r="J369" s="3"/>
      <c r="K369" s="3"/>
      <c r="L369" s="5">
        <f ca="1">IFERROR(__xludf.DUMMYFUNCTION("""COMPUTED_VALUE"""),180)</f>
        <v>180</v>
      </c>
      <c r="M369" s="5">
        <f ca="1">IFERROR(__xludf.DUMMYFUNCTION("""COMPUTED_VALUE"""),181)</f>
        <v>181</v>
      </c>
      <c r="N369" s="3" t="str">
        <f ca="1">IFERROR(__xludf.DUMMYFUNCTION("""COMPUTED_VALUE""")," ")</f>
        <v xml:space="preserve"> </v>
      </c>
      <c r="O369" s="5">
        <f ca="1">IFERROR(__xludf.DUMMYFUNCTION("""COMPUTED_VALUE"""),911)</f>
        <v>911</v>
      </c>
      <c r="P369" s="3">
        <f ca="1">IFERROR(__xludf.DUMMYFUNCTION("""COMPUTED_VALUE"""),-44276)</f>
        <v>-44276</v>
      </c>
      <c r="Q369" s="5">
        <f ca="1">IFERROR(__xludf.DUMMYFUNCTION("""COMPUTED_VALUE"""),2007)</f>
        <v>2007</v>
      </c>
      <c r="R369" s="3"/>
      <c r="S369" s="3"/>
      <c r="T369" s="3"/>
      <c r="U369" s="3"/>
      <c r="V369" s="3"/>
      <c r="W369" s="3"/>
      <c r="X369" s="3"/>
    </row>
    <row r="370" spans="1:24" x14ac:dyDescent="0.2">
      <c r="A370" s="3"/>
      <c r="B370" s="3"/>
      <c r="C370" s="3"/>
      <c r="D370" s="3"/>
      <c r="E370" s="3"/>
      <c r="F370" s="3"/>
      <c r="G370" s="3"/>
      <c r="H370" s="3"/>
      <c r="I370" s="3"/>
      <c r="J370" s="3"/>
      <c r="K370" s="3"/>
      <c r="L370" s="5">
        <f ca="1">IFERROR(__xludf.DUMMYFUNCTION("""COMPUTED_VALUE"""),180)</f>
        <v>180</v>
      </c>
      <c r="M370" s="5">
        <f ca="1">IFERROR(__xludf.DUMMYFUNCTION("""COMPUTED_VALUE"""),181)</f>
        <v>181</v>
      </c>
      <c r="N370" s="3" t="str">
        <f ca="1">IFERROR(__xludf.DUMMYFUNCTION("""COMPUTED_VALUE""")," ")</f>
        <v xml:space="preserve"> </v>
      </c>
      <c r="O370" s="5">
        <f ca="1">IFERROR(__xludf.DUMMYFUNCTION("""COMPUTED_VALUE"""),911)</f>
        <v>911</v>
      </c>
      <c r="P370" s="3">
        <f ca="1">IFERROR(__xludf.DUMMYFUNCTION("""COMPUTED_VALUE"""),-44276)</f>
        <v>-44276</v>
      </c>
      <c r="Q370" s="5">
        <f ca="1">IFERROR(__xludf.DUMMYFUNCTION("""COMPUTED_VALUE"""),2007)</f>
        <v>2007</v>
      </c>
      <c r="R370" s="3"/>
      <c r="S370" s="3"/>
      <c r="T370" s="3"/>
      <c r="U370" s="3"/>
      <c r="V370" s="3"/>
      <c r="W370" s="3"/>
      <c r="X370" s="3"/>
    </row>
    <row r="371" spans="1:24" x14ac:dyDescent="0.2">
      <c r="A371" s="3"/>
      <c r="B371" s="3"/>
      <c r="C371" s="3"/>
      <c r="D371" s="3"/>
      <c r="E371" s="3"/>
      <c r="F371" s="3"/>
      <c r="G371" s="3"/>
      <c r="H371" s="3"/>
      <c r="I371" s="3"/>
      <c r="J371" s="3"/>
      <c r="K371" s="3"/>
      <c r="L371" s="5">
        <f ca="1">IFERROR(__xludf.DUMMYFUNCTION("""COMPUTED_VALUE"""),180)</f>
        <v>180</v>
      </c>
      <c r="M371" s="5">
        <f ca="1">IFERROR(__xludf.DUMMYFUNCTION("""COMPUTED_VALUE"""),181)</f>
        <v>181</v>
      </c>
      <c r="N371" s="3" t="str">
        <f ca="1">IFERROR(__xludf.DUMMYFUNCTION("""COMPUTED_VALUE""")," ")</f>
        <v xml:space="preserve"> </v>
      </c>
      <c r="O371" s="5">
        <f ca="1">IFERROR(__xludf.DUMMYFUNCTION("""COMPUTED_VALUE"""),911)</f>
        <v>911</v>
      </c>
      <c r="P371" s="3">
        <f ca="1">IFERROR(__xludf.DUMMYFUNCTION("""COMPUTED_VALUE"""),-44276)</f>
        <v>-44276</v>
      </c>
      <c r="Q371" s="5">
        <f ca="1">IFERROR(__xludf.DUMMYFUNCTION("""COMPUTED_VALUE"""),2007)</f>
        <v>2007</v>
      </c>
      <c r="R371" s="3"/>
      <c r="S371" s="3"/>
      <c r="T371" s="3"/>
      <c r="U371" s="3"/>
      <c r="V371" s="3"/>
      <c r="W371" s="3"/>
      <c r="X371" s="3"/>
    </row>
    <row r="372" spans="1:24" x14ac:dyDescent="0.2">
      <c r="A372" s="3"/>
      <c r="B372" s="3"/>
      <c r="C372" s="3"/>
      <c r="D372" s="3"/>
      <c r="E372" s="3"/>
      <c r="F372" s="3"/>
      <c r="G372" s="3"/>
      <c r="H372" s="3"/>
      <c r="I372" s="3"/>
      <c r="J372" s="3"/>
      <c r="K372" s="3"/>
      <c r="L372" s="5">
        <f ca="1">IFERROR(__xludf.DUMMYFUNCTION("""COMPUTED_VALUE"""),180)</f>
        <v>180</v>
      </c>
      <c r="M372" s="5">
        <f ca="1">IFERROR(__xludf.DUMMYFUNCTION("""COMPUTED_VALUE"""),181)</f>
        <v>181</v>
      </c>
      <c r="N372" s="3" t="str">
        <f ca="1">IFERROR(__xludf.DUMMYFUNCTION("""COMPUTED_VALUE""")," ")</f>
        <v xml:space="preserve"> </v>
      </c>
      <c r="O372" s="5">
        <f ca="1">IFERROR(__xludf.DUMMYFUNCTION("""COMPUTED_VALUE"""),911)</f>
        <v>911</v>
      </c>
      <c r="P372" s="3">
        <f ca="1">IFERROR(__xludf.DUMMYFUNCTION("""COMPUTED_VALUE"""),-44276)</f>
        <v>-44276</v>
      </c>
      <c r="Q372" s="5">
        <f ca="1">IFERROR(__xludf.DUMMYFUNCTION("""COMPUTED_VALUE"""),2007)</f>
        <v>2007</v>
      </c>
      <c r="R372" s="3"/>
      <c r="S372" s="3"/>
      <c r="T372" s="3"/>
      <c r="U372" s="3"/>
      <c r="V372" s="3"/>
      <c r="W372" s="3"/>
      <c r="X372" s="3"/>
    </row>
    <row r="373" spans="1:24" x14ac:dyDescent="0.2">
      <c r="A373" s="3"/>
      <c r="B373" s="3"/>
      <c r="C373" s="3"/>
      <c r="D373" s="3"/>
      <c r="E373" s="3"/>
      <c r="F373" s="3"/>
      <c r="G373" s="3"/>
      <c r="H373" s="3"/>
      <c r="I373" s="3"/>
      <c r="J373" s="3"/>
      <c r="K373" s="3"/>
      <c r="L373" s="5">
        <f ca="1">IFERROR(__xludf.DUMMYFUNCTION("""COMPUTED_VALUE"""),180)</f>
        <v>180</v>
      </c>
      <c r="M373" s="5">
        <f ca="1">IFERROR(__xludf.DUMMYFUNCTION("""COMPUTED_VALUE"""),181)</f>
        <v>181</v>
      </c>
      <c r="N373" s="3" t="str">
        <f ca="1">IFERROR(__xludf.DUMMYFUNCTION("""COMPUTED_VALUE""")," ")</f>
        <v xml:space="preserve"> </v>
      </c>
      <c r="O373" s="5">
        <f ca="1">IFERROR(__xludf.DUMMYFUNCTION("""COMPUTED_VALUE"""),911)</f>
        <v>911</v>
      </c>
      <c r="P373" s="3">
        <f ca="1">IFERROR(__xludf.DUMMYFUNCTION("""COMPUTED_VALUE"""),-44276)</f>
        <v>-44276</v>
      </c>
      <c r="Q373" s="5">
        <f ca="1">IFERROR(__xludf.DUMMYFUNCTION("""COMPUTED_VALUE"""),2007)</f>
        <v>2007</v>
      </c>
      <c r="R373" s="3"/>
      <c r="S373" s="3"/>
      <c r="T373" s="3"/>
      <c r="U373" s="3"/>
      <c r="V373" s="3"/>
      <c r="W373" s="3"/>
      <c r="X373" s="3"/>
    </row>
    <row r="374" spans="1:24" x14ac:dyDescent="0.2">
      <c r="A374" s="3"/>
      <c r="B374" s="3"/>
      <c r="C374" s="3"/>
      <c r="D374" s="3"/>
      <c r="E374" s="3"/>
      <c r="F374" s="3"/>
      <c r="G374" s="3"/>
      <c r="H374" s="3"/>
      <c r="I374" s="3"/>
      <c r="J374" s="3"/>
      <c r="K374" s="3"/>
      <c r="L374" s="5">
        <f ca="1">IFERROR(__xludf.DUMMYFUNCTION("""COMPUTED_VALUE"""),180)</f>
        <v>180</v>
      </c>
      <c r="M374" s="5">
        <f ca="1">IFERROR(__xludf.DUMMYFUNCTION("""COMPUTED_VALUE"""),181)</f>
        <v>181</v>
      </c>
      <c r="N374" s="3" t="str">
        <f ca="1">IFERROR(__xludf.DUMMYFUNCTION("""COMPUTED_VALUE""")," ")</f>
        <v xml:space="preserve"> </v>
      </c>
      <c r="O374" s="5">
        <f ca="1">IFERROR(__xludf.DUMMYFUNCTION("""COMPUTED_VALUE"""),911)</f>
        <v>911</v>
      </c>
      <c r="P374" s="3">
        <f ca="1">IFERROR(__xludf.DUMMYFUNCTION("""COMPUTED_VALUE"""),-44276)</f>
        <v>-44276</v>
      </c>
      <c r="Q374" s="5">
        <f ca="1">IFERROR(__xludf.DUMMYFUNCTION("""COMPUTED_VALUE"""),2007)</f>
        <v>2007</v>
      </c>
      <c r="R374" s="3"/>
      <c r="S374" s="3"/>
      <c r="T374" s="3"/>
      <c r="U374" s="3"/>
      <c r="V374" s="3"/>
      <c r="W374" s="3"/>
      <c r="X374" s="3"/>
    </row>
    <row r="375" spans="1:24" x14ac:dyDescent="0.2">
      <c r="A375" s="3"/>
      <c r="B375" s="3"/>
      <c r="C375" s="3"/>
      <c r="D375" s="3"/>
      <c r="E375" s="3"/>
      <c r="F375" s="3"/>
      <c r="G375" s="3"/>
      <c r="H375" s="3"/>
      <c r="I375" s="3"/>
      <c r="J375" s="3"/>
      <c r="K375" s="3"/>
      <c r="L375" s="5">
        <f ca="1">IFERROR(__xludf.DUMMYFUNCTION("""COMPUTED_VALUE"""),180)</f>
        <v>180</v>
      </c>
      <c r="M375" s="5">
        <f ca="1">IFERROR(__xludf.DUMMYFUNCTION("""COMPUTED_VALUE"""),181)</f>
        <v>181</v>
      </c>
      <c r="N375" s="3" t="str">
        <f ca="1">IFERROR(__xludf.DUMMYFUNCTION("""COMPUTED_VALUE""")," ")</f>
        <v xml:space="preserve"> </v>
      </c>
      <c r="O375" s="5">
        <f ca="1">IFERROR(__xludf.DUMMYFUNCTION("""COMPUTED_VALUE"""),911)</f>
        <v>911</v>
      </c>
      <c r="P375" s="3">
        <f ca="1">IFERROR(__xludf.DUMMYFUNCTION("""COMPUTED_VALUE"""),-44276)</f>
        <v>-44276</v>
      </c>
      <c r="Q375" s="5">
        <f ca="1">IFERROR(__xludf.DUMMYFUNCTION("""COMPUTED_VALUE"""),2007)</f>
        <v>2007</v>
      </c>
      <c r="R375" s="3"/>
      <c r="S375" s="3"/>
      <c r="T375" s="3"/>
      <c r="U375" s="3"/>
      <c r="V375" s="3"/>
      <c r="W375" s="3"/>
      <c r="X375" s="3"/>
    </row>
    <row r="376" spans="1:24" x14ac:dyDescent="0.2">
      <c r="A376" s="3"/>
      <c r="B376" s="3"/>
      <c r="C376" s="3"/>
      <c r="D376" s="3"/>
      <c r="E376" s="3"/>
      <c r="F376" s="3"/>
      <c r="G376" s="3"/>
      <c r="H376" s="3"/>
      <c r="I376" s="3"/>
      <c r="J376" s="3"/>
      <c r="K376" s="3"/>
      <c r="L376" s="5">
        <f ca="1">IFERROR(__xludf.DUMMYFUNCTION("""COMPUTED_VALUE"""),180)</f>
        <v>180</v>
      </c>
      <c r="M376" s="5">
        <f ca="1">IFERROR(__xludf.DUMMYFUNCTION("""COMPUTED_VALUE"""),181)</f>
        <v>181</v>
      </c>
      <c r="N376" s="3" t="str">
        <f ca="1">IFERROR(__xludf.DUMMYFUNCTION("""COMPUTED_VALUE""")," ")</f>
        <v xml:space="preserve"> </v>
      </c>
      <c r="O376" s="5">
        <f ca="1">IFERROR(__xludf.DUMMYFUNCTION("""COMPUTED_VALUE"""),911)</f>
        <v>911</v>
      </c>
      <c r="P376" s="3">
        <f ca="1">IFERROR(__xludf.DUMMYFUNCTION("""COMPUTED_VALUE"""),-44276)</f>
        <v>-44276</v>
      </c>
      <c r="Q376" s="5">
        <f ca="1">IFERROR(__xludf.DUMMYFUNCTION("""COMPUTED_VALUE"""),2007)</f>
        <v>2007</v>
      </c>
      <c r="R376" s="3"/>
      <c r="S376" s="3"/>
      <c r="T376" s="3"/>
      <c r="U376" s="3"/>
      <c r="V376" s="3"/>
      <c r="W376" s="3"/>
      <c r="X376" s="3"/>
    </row>
    <row r="377" spans="1:24" x14ac:dyDescent="0.2">
      <c r="A377" s="3"/>
      <c r="B377" s="3"/>
      <c r="C377" s="3"/>
      <c r="D377" s="3"/>
      <c r="E377" s="3"/>
      <c r="F377" s="3"/>
      <c r="G377" s="3"/>
      <c r="H377" s="3"/>
      <c r="I377" s="3"/>
      <c r="J377" s="3"/>
      <c r="K377" s="3"/>
      <c r="L377" s="5">
        <f ca="1">IFERROR(__xludf.DUMMYFUNCTION("""COMPUTED_VALUE"""),180)</f>
        <v>180</v>
      </c>
      <c r="M377" s="5">
        <f ca="1">IFERROR(__xludf.DUMMYFUNCTION("""COMPUTED_VALUE"""),181)</f>
        <v>181</v>
      </c>
      <c r="N377" s="3" t="str">
        <f ca="1">IFERROR(__xludf.DUMMYFUNCTION("""COMPUTED_VALUE""")," ")</f>
        <v xml:space="preserve"> </v>
      </c>
      <c r="O377" s="5">
        <f ca="1">IFERROR(__xludf.DUMMYFUNCTION("""COMPUTED_VALUE"""),911)</f>
        <v>911</v>
      </c>
      <c r="P377" s="3">
        <f ca="1">IFERROR(__xludf.DUMMYFUNCTION("""COMPUTED_VALUE"""),-44276)</f>
        <v>-44276</v>
      </c>
      <c r="Q377" s="5">
        <f ca="1">IFERROR(__xludf.DUMMYFUNCTION("""COMPUTED_VALUE"""),2007)</f>
        <v>2007</v>
      </c>
      <c r="R377" s="3"/>
      <c r="S377" s="3"/>
      <c r="T377" s="3"/>
      <c r="U377" s="3"/>
      <c r="V377" s="3"/>
      <c r="W377" s="3"/>
      <c r="X377" s="3"/>
    </row>
    <row r="378" spans="1:24" x14ac:dyDescent="0.2">
      <c r="A378" s="3"/>
      <c r="B378" s="3"/>
      <c r="C378" s="3"/>
      <c r="D378" s="3"/>
      <c r="E378" s="3"/>
      <c r="F378" s="3"/>
      <c r="G378" s="3"/>
      <c r="H378" s="3"/>
      <c r="I378" s="3"/>
      <c r="J378" s="3"/>
      <c r="K378" s="3"/>
      <c r="L378" s="5">
        <f ca="1">IFERROR(__xludf.DUMMYFUNCTION("""COMPUTED_VALUE"""),180)</f>
        <v>180</v>
      </c>
      <c r="M378" s="5">
        <f ca="1">IFERROR(__xludf.DUMMYFUNCTION("""COMPUTED_VALUE"""),181)</f>
        <v>181</v>
      </c>
      <c r="N378" s="3" t="str">
        <f ca="1">IFERROR(__xludf.DUMMYFUNCTION("""COMPUTED_VALUE""")," ")</f>
        <v xml:space="preserve"> </v>
      </c>
      <c r="O378" s="5">
        <f ca="1">IFERROR(__xludf.DUMMYFUNCTION("""COMPUTED_VALUE"""),911)</f>
        <v>911</v>
      </c>
      <c r="P378" s="3">
        <f ca="1">IFERROR(__xludf.DUMMYFUNCTION("""COMPUTED_VALUE"""),-44276)</f>
        <v>-44276</v>
      </c>
      <c r="Q378" s="5">
        <f ca="1">IFERROR(__xludf.DUMMYFUNCTION("""COMPUTED_VALUE"""),2007)</f>
        <v>2007</v>
      </c>
      <c r="R378" s="3"/>
      <c r="S378" s="3"/>
      <c r="T378" s="3"/>
      <c r="U378" s="3"/>
      <c r="V378" s="3"/>
      <c r="W378" s="3"/>
      <c r="X378" s="3"/>
    </row>
    <row r="379" spans="1:24" x14ac:dyDescent="0.2">
      <c r="A379" s="3"/>
      <c r="B379" s="3"/>
      <c r="C379" s="3"/>
      <c r="D379" s="3"/>
      <c r="E379" s="3"/>
      <c r="F379" s="3"/>
      <c r="G379" s="3"/>
      <c r="H379" s="3"/>
      <c r="I379" s="3"/>
      <c r="J379" s="3"/>
      <c r="K379" s="3"/>
      <c r="L379" s="5">
        <f ca="1">IFERROR(__xludf.DUMMYFUNCTION("""COMPUTED_VALUE"""),180)</f>
        <v>180</v>
      </c>
      <c r="M379" s="5">
        <f ca="1">IFERROR(__xludf.DUMMYFUNCTION("""COMPUTED_VALUE"""),181)</f>
        <v>181</v>
      </c>
      <c r="N379" s="3" t="str">
        <f ca="1">IFERROR(__xludf.DUMMYFUNCTION("""COMPUTED_VALUE""")," ")</f>
        <v xml:space="preserve"> </v>
      </c>
      <c r="O379" s="5">
        <f ca="1">IFERROR(__xludf.DUMMYFUNCTION("""COMPUTED_VALUE"""),911)</f>
        <v>911</v>
      </c>
      <c r="P379" s="3">
        <f ca="1">IFERROR(__xludf.DUMMYFUNCTION("""COMPUTED_VALUE"""),-44276)</f>
        <v>-44276</v>
      </c>
      <c r="Q379" s="5">
        <f ca="1">IFERROR(__xludf.DUMMYFUNCTION("""COMPUTED_VALUE"""),2007)</f>
        <v>2007</v>
      </c>
      <c r="R379" s="3"/>
      <c r="S379" s="3"/>
      <c r="T379" s="3"/>
      <c r="U379" s="3"/>
      <c r="V379" s="3"/>
      <c r="W379" s="3"/>
      <c r="X379" s="3"/>
    </row>
    <row r="380" spans="1:24" x14ac:dyDescent="0.2">
      <c r="A380" s="3"/>
      <c r="B380" s="3"/>
      <c r="C380" s="3"/>
      <c r="D380" s="3"/>
      <c r="E380" s="3"/>
      <c r="F380" s="3"/>
      <c r="G380" s="3"/>
      <c r="H380" s="3"/>
      <c r="I380" s="3"/>
      <c r="J380" s="3"/>
      <c r="K380" s="3"/>
      <c r="L380" s="5">
        <f ca="1">IFERROR(__xludf.DUMMYFUNCTION("""COMPUTED_VALUE"""),180)</f>
        <v>180</v>
      </c>
      <c r="M380" s="5">
        <f ca="1">IFERROR(__xludf.DUMMYFUNCTION("""COMPUTED_VALUE"""),181)</f>
        <v>181</v>
      </c>
      <c r="N380" s="3" t="str">
        <f ca="1">IFERROR(__xludf.DUMMYFUNCTION("""COMPUTED_VALUE""")," ")</f>
        <v xml:space="preserve"> </v>
      </c>
      <c r="O380" s="5">
        <f ca="1">IFERROR(__xludf.DUMMYFUNCTION("""COMPUTED_VALUE"""),911)</f>
        <v>911</v>
      </c>
      <c r="P380" s="3">
        <f ca="1">IFERROR(__xludf.DUMMYFUNCTION("""COMPUTED_VALUE"""),-44276)</f>
        <v>-44276</v>
      </c>
      <c r="Q380" s="5">
        <f ca="1">IFERROR(__xludf.DUMMYFUNCTION("""COMPUTED_VALUE"""),2007)</f>
        <v>2007</v>
      </c>
      <c r="R380" s="3"/>
      <c r="S380" s="3"/>
      <c r="T380" s="3"/>
      <c r="U380" s="3"/>
      <c r="V380" s="3"/>
      <c r="W380" s="3"/>
      <c r="X380" s="3"/>
    </row>
    <row r="381" spans="1:24" x14ac:dyDescent="0.2">
      <c r="A381" s="3"/>
      <c r="B381" s="3"/>
      <c r="C381" s="3"/>
      <c r="D381" s="3"/>
      <c r="E381" s="3"/>
      <c r="F381" s="3"/>
      <c r="G381" s="3"/>
      <c r="H381" s="3"/>
      <c r="I381" s="3"/>
      <c r="J381" s="3"/>
      <c r="K381" s="3"/>
      <c r="L381" s="5">
        <f ca="1">IFERROR(__xludf.DUMMYFUNCTION("""COMPUTED_VALUE"""),180)</f>
        <v>180</v>
      </c>
      <c r="M381" s="5">
        <f ca="1">IFERROR(__xludf.DUMMYFUNCTION("""COMPUTED_VALUE"""),181)</f>
        <v>181</v>
      </c>
      <c r="N381" s="3" t="str">
        <f ca="1">IFERROR(__xludf.DUMMYFUNCTION("""COMPUTED_VALUE""")," ")</f>
        <v xml:space="preserve"> </v>
      </c>
      <c r="O381" s="5">
        <f ca="1">IFERROR(__xludf.DUMMYFUNCTION("""COMPUTED_VALUE"""),911)</f>
        <v>911</v>
      </c>
      <c r="P381" s="3">
        <f ca="1">IFERROR(__xludf.DUMMYFUNCTION("""COMPUTED_VALUE"""),-44276)</f>
        <v>-44276</v>
      </c>
      <c r="Q381" s="5">
        <f ca="1">IFERROR(__xludf.DUMMYFUNCTION("""COMPUTED_VALUE"""),2007)</f>
        <v>2007</v>
      </c>
      <c r="R381" s="3"/>
      <c r="S381" s="3"/>
      <c r="T381" s="3"/>
      <c r="U381" s="3"/>
      <c r="V381" s="3"/>
      <c r="W381" s="3"/>
      <c r="X381" s="3"/>
    </row>
    <row r="382" spans="1:24" x14ac:dyDescent="0.2">
      <c r="A382" s="3"/>
      <c r="B382" s="3"/>
      <c r="C382" s="3"/>
      <c r="D382" s="3"/>
      <c r="E382" s="3"/>
      <c r="F382" s="3"/>
      <c r="G382" s="3"/>
      <c r="H382" s="3"/>
      <c r="I382" s="3"/>
      <c r="J382" s="3"/>
      <c r="K382" s="3"/>
      <c r="L382" s="5">
        <f ca="1">IFERROR(__xludf.DUMMYFUNCTION("""COMPUTED_VALUE"""),180)</f>
        <v>180</v>
      </c>
      <c r="M382" s="5">
        <f ca="1">IFERROR(__xludf.DUMMYFUNCTION("""COMPUTED_VALUE"""),181)</f>
        <v>181</v>
      </c>
      <c r="N382" s="3" t="str">
        <f ca="1">IFERROR(__xludf.DUMMYFUNCTION("""COMPUTED_VALUE""")," ")</f>
        <v xml:space="preserve"> </v>
      </c>
      <c r="O382" s="5">
        <f ca="1">IFERROR(__xludf.DUMMYFUNCTION("""COMPUTED_VALUE"""),911)</f>
        <v>911</v>
      </c>
      <c r="P382" s="3">
        <f ca="1">IFERROR(__xludf.DUMMYFUNCTION("""COMPUTED_VALUE"""),-44276)</f>
        <v>-44276</v>
      </c>
      <c r="Q382" s="5">
        <f ca="1">IFERROR(__xludf.DUMMYFUNCTION("""COMPUTED_VALUE"""),2007)</f>
        <v>2007</v>
      </c>
      <c r="R382" s="3"/>
      <c r="S382" s="3"/>
      <c r="T382" s="3"/>
      <c r="U382" s="3"/>
      <c r="V382" s="3"/>
      <c r="W382" s="3"/>
      <c r="X382" s="3"/>
    </row>
    <row r="383" spans="1:24" x14ac:dyDescent="0.2">
      <c r="A383" s="3"/>
      <c r="B383" s="3"/>
      <c r="C383" s="3"/>
      <c r="D383" s="3"/>
      <c r="E383" s="3"/>
      <c r="F383" s="3"/>
      <c r="G383" s="3"/>
      <c r="H383" s="3"/>
      <c r="I383" s="3"/>
      <c r="J383" s="3"/>
      <c r="K383" s="3"/>
      <c r="L383" s="5">
        <f ca="1">IFERROR(__xludf.DUMMYFUNCTION("""COMPUTED_VALUE"""),180)</f>
        <v>180</v>
      </c>
      <c r="M383" s="5">
        <f ca="1">IFERROR(__xludf.DUMMYFUNCTION("""COMPUTED_VALUE"""),181)</f>
        <v>181</v>
      </c>
      <c r="N383" s="3" t="str">
        <f ca="1">IFERROR(__xludf.DUMMYFUNCTION("""COMPUTED_VALUE""")," ")</f>
        <v xml:space="preserve"> </v>
      </c>
      <c r="O383" s="5">
        <f ca="1">IFERROR(__xludf.DUMMYFUNCTION("""COMPUTED_VALUE"""),911)</f>
        <v>911</v>
      </c>
      <c r="P383" s="3">
        <f ca="1">IFERROR(__xludf.DUMMYFUNCTION("""COMPUTED_VALUE"""),-44276)</f>
        <v>-44276</v>
      </c>
      <c r="Q383" s="5">
        <f ca="1">IFERROR(__xludf.DUMMYFUNCTION("""COMPUTED_VALUE"""),2007)</f>
        <v>2007</v>
      </c>
      <c r="R383" s="3"/>
      <c r="S383" s="3"/>
      <c r="T383" s="3"/>
      <c r="U383" s="3"/>
      <c r="V383" s="3"/>
      <c r="W383" s="3"/>
      <c r="X383" s="3"/>
    </row>
    <row r="384" spans="1:24" x14ac:dyDescent="0.2">
      <c r="A384" s="3"/>
      <c r="B384" s="3"/>
      <c r="C384" s="3"/>
      <c r="D384" s="3"/>
      <c r="E384" s="3"/>
      <c r="F384" s="3"/>
      <c r="G384" s="3"/>
      <c r="H384" s="3"/>
      <c r="I384" s="3"/>
      <c r="J384" s="3"/>
      <c r="K384" s="3"/>
      <c r="L384" s="5">
        <f ca="1">IFERROR(__xludf.DUMMYFUNCTION("""COMPUTED_VALUE"""),180)</f>
        <v>180</v>
      </c>
      <c r="M384" s="5">
        <f ca="1">IFERROR(__xludf.DUMMYFUNCTION("""COMPUTED_VALUE"""),181)</f>
        <v>181</v>
      </c>
      <c r="N384" s="3" t="str">
        <f ca="1">IFERROR(__xludf.DUMMYFUNCTION("""COMPUTED_VALUE""")," ")</f>
        <v xml:space="preserve"> </v>
      </c>
      <c r="O384" s="5">
        <f ca="1">IFERROR(__xludf.DUMMYFUNCTION("""COMPUTED_VALUE"""),911)</f>
        <v>911</v>
      </c>
      <c r="P384" s="3">
        <f ca="1">IFERROR(__xludf.DUMMYFUNCTION("""COMPUTED_VALUE"""),-44276)</f>
        <v>-44276</v>
      </c>
      <c r="Q384" s="5">
        <f ca="1">IFERROR(__xludf.DUMMYFUNCTION("""COMPUTED_VALUE"""),2007)</f>
        <v>2007</v>
      </c>
      <c r="R384" s="3"/>
      <c r="S384" s="3"/>
      <c r="T384" s="3"/>
      <c r="U384" s="3"/>
      <c r="V384" s="3"/>
      <c r="W384" s="3"/>
      <c r="X384" s="3"/>
    </row>
    <row r="385" spans="1:24" x14ac:dyDescent="0.2">
      <c r="A385" s="3"/>
      <c r="B385" s="3"/>
      <c r="C385" s="3"/>
      <c r="D385" s="3"/>
      <c r="E385" s="3"/>
      <c r="F385" s="3"/>
      <c r="G385" s="3"/>
      <c r="H385" s="3"/>
      <c r="I385" s="3"/>
      <c r="J385" s="3"/>
      <c r="K385" s="3"/>
      <c r="L385" s="5">
        <f ca="1">IFERROR(__xludf.DUMMYFUNCTION("""COMPUTED_VALUE"""),180)</f>
        <v>180</v>
      </c>
      <c r="M385" s="5">
        <f ca="1">IFERROR(__xludf.DUMMYFUNCTION("""COMPUTED_VALUE"""),181)</f>
        <v>181</v>
      </c>
      <c r="N385" s="3" t="str">
        <f ca="1">IFERROR(__xludf.DUMMYFUNCTION("""COMPUTED_VALUE""")," ")</f>
        <v xml:space="preserve"> </v>
      </c>
      <c r="O385" s="5">
        <f ca="1">IFERROR(__xludf.DUMMYFUNCTION("""COMPUTED_VALUE"""),911)</f>
        <v>911</v>
      </c>
      <c r="P385" s="3">
        <f ca="1">IFERROR(__xludf.DUMMYFUNCTION("""COMPUTED_VALUE"""),-44276)</f>
        <v>-44276</v>
      </c>
      <c r="Q385" s="5">
        <f ca="1">IFERROR(__xludf.DUMMYFUNCTION("""COMPUTED_VALUE"""),2007)</f>
        <v>2007</v>
      </c>
      <c r="R385" s="3"/>
      <c r="S385" s="3"/>
      <c r="T385" s="3"/>
      <c r="U385" s="3"/>
      <c r="V385" s="3"/>
      <c r="W385" s="3"/>
      <c r="X385" s="3"/>
    </row>
    <row r="386" spans="1:24" x14ac:dyDescent="0.2">
      <c r="A386" s="3"/>
      <c r="B386" s="3"/>
      <c r="C386" s="3"/>
      <c r="D386" s="3"/>
      <c r="E386" s="3"/>
      <c r="F386" s="3"/>
      <c r="G386" s="3"/>
      <c r="H386" s="3"/>
      <c r="I386" s="3"/>
      <c r="J386" s="3"/>
      <c r="K386" s="3"/>
      <c r="L386" s="5">
        <f ca="1">IFERROR(__xludf.DUMMYFUNCTION("""COMPUTED_VALUE"""),180)</f>
        <v>180</v>
      </c>
      <c r="M386" s="5">
        <f ca="1">IFERROR(__xludf.DUMMYFUNCTION("""COMPUTED_VALUE"""),181)</f>
        <v>181</v>
      </c>
      <c r="N386" s="3" t="str">
        <f ca="1">IFERROR(__xludf.DUMMYFUNCTION("""COMPUTED_VALUE""")," ")</f>
        <v xml:space="preserve"> </v>
      </c>
      <c r="O386" s="5">
        <f ca="1">IFERROR(__xludf.DUMMYFUNCTION("""COMPUTED_VALUE"""),911)</f>
        <v>911</v>
      </c>
      <c r="P386" s="3">
        <f ca="1">IFERROR(__xludf.DUMMYFUNCTION("""COMPUTED_VALUE"""),-44276)</f>
        <v>-44276</v>
      </c>
      <c r="Q386" s="5">
        <f ca="1">IFERROR(__xludf.DUMMYFUNCTION("""COMPUTED_VALUE"""),2007)</f>
        <v>2007</v>
      </c>
      <c r="R386" s="3"/>
      <c r="S386" s="3"/>
      <c r="T386" s="3"/>
      <c r="U386" s="3"/>
      <c r="V386" s="3"/>
      <c r="W386" s="3"/>
      <c r="X386" s="3"/>
    </row>
    <row r="387" spans="1:24" x14ac:dyDescent="0.2">
      <c r="A387" s="3"/>
      <c r="B387" s="3"/>
      <c r="C387" s="3"/>
      <c r="D387" s="3"/>
      <c r="E387" s="3"/>
      <c r="F387" s="3"/>
      <c r="G387" s="3"/>
      <c r="H387" s="3"/>
      <c r="I387" s="3"/>
      <c r="J387" s="3"/>
      <c r="K387" s="3"/>
      <c r="L387" s="5">
        <f ca="1">IFERROR(__xludf.DUMMYFUNCTION("""COMPUTED_VALUE"""),180)</f>
        <v>180</v>
      </c>
      <c r="M387" s="5">
        <f ca="1">IFERROR(__xludf.DUMMYFUNCTION("""COMPUTED_VALUE"""),181)</f>
        <v>181</v>
      </c>
      <c r="N387" s="3" t="str">
        <f ca="1">IFERROR(__xludf.DUMMYFUNCTION("""COMPUTED_VALUE""")," ")</f>
        <v xml:space="preserve"> </v>
      </c>
      <c r="O387" s="5">
        <f ca="1">IFERROR(__xludf.DUMMYFUNCTION("""COMPUTED_VALUE"""),911)</f>
        <v>911</v>
      </c>
      <c r="P387" s="3">
        <f ca="1">IFERROR(__xludf.DUMMYFUNCTION("""COMPUTED_VALUE"""),-44276)</f>
        <v>-44276</v>
      </c>
      <c r="Q387" s="5">
        <f ca="1">IFERROR(__xludf.DUMMYFUNCTION("""COMPUTED_VALUE"""),2007)</f>
        <v>2007</v>
      </c>
      <c r="R387" s="3"/>
      <c r="S387" s="3"/>
      <c r="T387" s="3"/>
      <c r="U387" s="3"/>
      <c r="V387" s="3"/>
      <c r="W387" s="3"/>
      <c r="X387" s="3"/>
    </row>
    <row r="388" spans="1:24" x14ac:dyDescent="0.2">
      <c r="A388" s="3"/>
      <c r="B388" s="3"/>
      <c r="C388" s="3"/>
      <c r="D388" s="3"/>
      <c r="E388" s="3"/>
      <c r="F388" s="3"/>
      <c r="G388" s="3"/>
      <c r="H388" s="3"/>
      <c r="I388" s="3"/>
      <c r="J388" s="3"/>
      <c r="K388" s="3"/>
      <c r="L388" s="5">
        <f ca="1">IFERROR(__xludf.DUMMYFUNCTION("""COMPUTED_VALUE"""),180)</f>
        <v>180</v>
      </c>
      <c r="M388" s="5">
        <f ca="1">IFERROR(__xludf.DUMMYFUNCTION("""COMPUTED_VALUE"""),181)</f>
        <v>181</v>
      </c>
      <c r="N388" s="3" t="str">
        <f ca="1">IFERROR(__xludf.DUMMYFUNCTION("""COMPUTED_VALUE""")," ")</f>
        <v xml:space="preserve"> </v>
      </c>
      <c r="O388" s="5">
        <f ca="1">IFERROR(__xludf.DUMMYFUNCTION("""COMPUTED_VALUE"""),911)</f>
        <v>911</v>
      </c>
      <c r="P388" s="3">
        <f ca="1">IFERROR(__xludf.DUMMYFUNCTION("""COMPUTED_VALUE"""),-44276)</f>
        <v>-44276</v>
      </c>
      <c r="Q388" s="5">
        <f ca="1">IFERROR(__xludf.DUMMYFUNCTION("""COMPUTED_VALUE"""),2007)</f>
        <v>2007</v>
      </c>
      <c r="R388" s="3"/>
      <c r="S388" s="3"/>
      <c r="T388" s="3"/>
      <c r="U388" s="3"/>
      <c r="V388" s="3"/>
      <c r="W388" s="3"/>
      <c r="X388" s="3"/>
    </row>
    <row r="389" spans="1:24" x14ac:dyDescent="0.2">
      <c r="A389" s="3"/>
      <c r="B389" s="3"/>
      <c r="C389" s="3"/>
      <c r="D389" s="3"/>
      <c r="E389" s="3"/>
      <c r="F389" s="3"/>
      <c r="G389" s="3"/>
      <c r="H389" s="3"/>
      <c r="I389" s="3"/>
      <c r="J389" s="3"/>
      <c r="K389" s="3"/>
      <c r="L389" s="5">
        <f ca="1">IFERROR(__xludf.DUMMYFUNCTION("""COMPUTED_VALUE"""),180)</f>
        <v>180</v>
      </c>
      <c r="M389" s="5">
        <f ca="1">IFERROR(__xludf.DUMMYFUNCTION("""COMPUTED_VALUE"""),181)</f>
        <v>181</v>
      </c>
      <c r="N389" s="3" t="str">
        <f ca="1">IFERROR(__xludf.DUMMYFUNCTION("""COMPUTED_VALUE""")," ")</f>
        <v xml:space="preserve"> </v>
      </c>
      <c r="O389" s="5">
        <f ca="1">IFERROR(__xludf.DUMMYFUNCTION("""COMPUTED_VALUE"""),911)</f>
        <v>911</v>
      </c>
      <c r="P389" s="3">
        <f ca="1">IFERROR(__xludf.DUMMYFUNCTION("""COMPUTED_VALUE"""),-44276)</f>
        <v>-44276</v>
      </c>
      <c r="Q389" s="5">
        <f ca="1">IFERROR(__xludf.DUMMYFUNCTION("""COMPUTED_VALUE"""),2007)</f>
        <v>2007</v>
      </c>
      <c r="R389" s="3"/>
      <c r="S389" s="3"/>
      <c r="T389" s="3"/>
      <c r="U389" s="3"/>
      <c r="V389" s="3"/>
      <c r="W389" s="3"/>
      <c r="X389" s="3"/>
    </row>
    <row r="390" spans="1:24" x14ac:dyDescent="0.2">
      <c r="A390" s="3"/>
      <c r="B390" s="3"/>
      <c r="C390" s="3"/>
      <c r="D390" s="3"/>
      <c r="E390" s="3"/>
      <c r="F390" s="3"/>
      <c r="G390" s="3"/>
      <c r="H390" s="3"/>
      <c r="I390" s="3"/>
      <c r="J390" s="3"/>
      <c r="K390" s="3"/>
      <c r="L390" s="5">
        <f ca="1">IFERROR(__xludf.DUMMYFUNCTION("""COMPUTED_VALUE"""),180)</f>
        <v>180</v>
      </c>
      <c r="M390" s="5">
        <f ca="1">IFERROR(__xludf.DUMMYFUNCTION("""COMPUTED_VALUE"""),181)</f>
        <v>181</v>
      </c>
      <c r="N390" s="3" t="str">
        <f ca="1">IFERROR(__xludf.DUMMYFUNCTION("""COMPUTED_VALUE""")," ")</f>
        <v xml:space="preserve"> </v>
      </c>
      <c r="O390" s="5">
        <f ca="1">IFERROR(__xludf.DUMMYFUNCTION("""COMPUTED_VALUE"""),911)</f>
        <v>911</v>
      </c>
      <c r="P390" s="3">
        <f ca="1">IFERROR(__xludf.DUMMYFUNCTION("""COMPUTED_VALUE"""),-44276)</f>
        <v>-44276</v>
      </c>
      <c r="Q390" s="5">
        <f ca="1">IFERROR(__xludf.DUMMYFUNCTION("""COMPUTED_VALUE"""),2007)</f>
        <v>2007</v>
      </c>
      <c r="R390" s="3"/>
      <c r="S390" s="3"/>
      <c r="T390" s="3"/>
      <c r="U390" s="3"/>
      <c r="V390" s="3"/>
      <c r="W390" s="3"/>
      <c r="X390" s="3"/>
    </row>
    <row r="391" spans="1:24" x14ac:dyDescent="0.2">
      <c r="A391" s="3"/>
      <c r="B391" s="3"/>
      <c r="C391" s="3"/>
      <c r="D391" s="3"/>
      <c r="E391" s="3"/>
      <c r="F391" s="3"/>
      <c r="G391" s="3"/>
      <c r="H391" s="3"/>
      <c r="I391" s="3"/>
      <c r="J391" s="3"/>
      <c r="K391" s="3"/>
      <c r="L391" s="5">
        <f ca="1">IFERROR(__xludf.DUMMYFUNCTION("""COMPUTED_VALUE"""),180)</f>
        <v>180</v>
      </c>
      <c r="M391" s="5">
        <f ca="1">IFERROR(__xludf.DUMMYFUNCTION("""COMPUTED_VALUE"""),181)</f>
        <v>181</v>
      </c>
      <c r="N391" s="3" t="str">
        <f ca="1">IFERROR(__xludf.DUMMYFUNCTION("""COMPUTED_VALUE""")," ")</f>
        <v xml:space="preserve"> </v>
      </c>
      <c r="O391" s="5">
        <f ca="1">IFERROR(__xludf.DUMMYFUNCTION("""COMPUTED_VALUE"""),911)</f>
        <v>911</v>
      </c>
      <c r="P391" s="3">
        <f ca="1">IFERROR(__xludf.DUMMYFUNCTION("""COMPUTED_VALUE"""),-44276)</f>
        <v>-44276</v>
      </c>
      <c r="Q391" s="5">
        <f ca="1">IFERROR(__xludf.DUMMYFUNCTION("""COMPUTED_VALUE"""),2007)</f>
        <v>2007</v>
      </c>
      <c r="R391" s="3"/>
      <c r="S391" s="3"/>
      <c r="T391" s="3"/>
      <c r="U391" s="3"/>
      <c r="V391" s="3"/>
      <c r="W391" s="3"/>
      <c r="X391" s="3"/>
    </row>
    <row r="392" spans="1:24" x14ac:dyDescent="0.2">
      <c r="A392" s="3"/>
      <c r="B392" s="3"/>
      <c r="C392" s="3"/>
      <c r="D392" s="3"/>
      <c r="E392" s="3"/>
      <c r="F392" s="3"/>
      <c r="G392" s="3"/>
      <c r="H392" s="3"/>
      <c r="I392" s="3"/>
      <c r="J392" s="3"/>
      <c r="K392" s="3"/>
      <c r="L392" s="5">
        <f ca="1">IFERROR(__xludf.DUMMYFUNCTION("""COMPUTED_VALUE"""),180)</f>
        <v>180</v>
      </c>
      <c r="M392" s="5">
        <f ca="1">IFERROR(__xludf.DUMMYFUNCTION("""COMPUTED_VALUE"""),181)</f>
        <v>181</v>
      </c>
      <c r="N392" s="3" t="str">
        <f ca="1">IFERROR(__xludf.DUMMYFUNCTION("""COMPUTED_VALUE""")," ")</f>
        <v xml:space="preserve"> </v>
      </c>
      <c r="O392" s="5">
        <f ca="1">IFERROR(__xludf.DUMMYFUNCTION("""COMPUTED_VALUE"""),911)</f>
        <v>911</v>
      </c>
      <c r="P392" s="3">
        <f ca="1">IFERROR(__xludf.DUMMYFUNCTION("""COMPUTED_VALUE"""),-44276)</f>
        <v>-44276</v>
      </c>
      <c r="Q392" s="5">
        <f ca="1">IFERROR(__xludf.DUMMYFUNCTION("""COMPUTED_VALUE"""),2007)</f>
        <v>2007</v>
      </c>
      <c r="R392" s="3"/>
      <c r="S392" s="3"/>
      <c r="T392" s="3"/>
      <c r="U392" s="3"/>
      <c r="V392" s="3"/>
      <c r="W392" s="3"/>
      <c r="X392" s="3"/>
    </row>
    <row r="393" spans="1:24" x14ac:dyDescent="0.2">
      <c r="A393" s="3"/>
      <c r="B393" s="3"/>
      <c r="C393" s="3"/>
      <c r="D393" s="3"/>
      <c r="E393" s="3"/>
      <c r="F393" s="3"/>
      <c r="G393" s="3"/>
      <c r="H393" s="3"/>
      <c r="I393" s="3"/>
      <c r="J393" s="3"/>
      <c r="K393" s="3"/>
      <c r="L393" s="5">
        <f ca="1">IFERROR(__xludf.DUMMYFUNCTION("""COMPUTED_VALUE"""),180)</f>
        <v>180</v>
      </c>
      <c r="M393" s="5">
        <f ca="1">IFERROR(__xludf.DUMMYFUNCTION("""COMPUTED_VALUE"""),181)</f>
        <v>181</v>
      </c>
      <c r="N393" s="3" t="str">
        <f ca="1">IFERROR(__xludf.DUMMYFUNCTION("""COMPUTED_VALUE""")," ")</f>
        <v xml:space="preserve"> </v>
      </c>
      <c r="O393" s="5">
        <f ca="1">IFERROR(__xludf.DUMMYFUNCTION("""COMPUTED_VALUE"""),911)</f>
        <v>911</v>
      </c>
      <c r="P393" s="3">
        <f ca="1">IFERROR(__xludf.DUMMYFUNCTION("""COMPUTED_VALUE"""),-44276)</f>
        <v>-44276</v>
      </c>
      <c r="Q393" s="5">
        <f ca="1">IFERROR(__xludf.DUMMYFUNCTION("""COMPUTED_VALUE"""),2007)</f>
        <v>2007</v>
      </c>
      <c r="R393" s="3"/>
      <c r="S393" s="3"/>
      <c r="T393" s="3"/>
      <c r="U393" s="3"/>
      <c r="V393" s="3"/>
      <c r="W393" s="3"/>
      <c r="X393" s="3"/>
    </row>
    <row r="394" spans="1:24" x14ac:dyDescent="0.2">
      <c r="A394" s="3"/>
      <c r="B394" s="3"/>
      <c r="C394" s="3"/>
      <c r="D394" s="3"/>
      <c r="E394" s="3"/>
      <c r="F394" s="3"/>
      <c r="G394" s="3"/>
      <c r="H394" s="3"/>
      <c r="I394" s="3"/>
      <c r="J394" s="3"/>
      <c r="K394" s="3"/>
      <c r="L394" s="5">
        <f ca="1">IFERROR(__xludf.DUMMYFUNCTION("""COMPUTED_VALUE"""),180)</f>
        <v>180</v>
      </c>
      <c r="M394" s="5">
        <f ca="1">IFERROR(__xludf.DUMMYFUNCTION("""COMPUTED_VALUE"""),181)</f>
        <v>181</v>
      </c>
      <c r="N394" s="3" t="str">
        <f ca="1">IFERROR(__xludf.DUMMYFUNCTION("""COMPUTED_VALUE""")," ")</f>
        <v xml:space="preserve"> </v>
      </c>
      <c r="O394" s="5">
        <f ca="1">IFERROR(__xludf.DUMMYFUNCTION("""COMPUTED_VALUE"""),911)</f>
        <v>911</v>
      </c>
      <c r="P394" s="3">
        <f ca="1">IFERROR(__xludf.DUMMYFUNCTION("""COMPUTED_VALUE"""),-44276)</f>
        <v>-44276</v>
      </c>
      <c r="Q394" s="5">
        <f ca="1">IFERROR(__xludf.DUMMYFUNCTION("""COMPUTED_VALUE"""),2007)</f>
        <v>2007</v>
      </c>
      <c r="R394" s="3"/>
      <c r="S394" s="3"/>
      <c r="T394" s="3"/>
      <c r="U394" s="3"/>
      <c r="V394" s="3"/>
      <c r="W394" s="3"/>
      <c r="X394" s="3"/>
    </row>
    <row r="395" spans="1:24" x14ac:dyDescent="0.2">
      <c r="A395" s="3"/>
      <c r="B395" s="3"/>
      <c r="C395" s="3"/>
      <c r="D395" s="3"/>
      <c r="E395" s="3"/>
      <c r="F395" s="3"/>
      <c r="G395" s="3"/>
      <c r="H395" s="3"/>
      <c r="I395" s="3"/>
      <c r="J395" s="3"/>
      <c r="K395" s="3"/>
      <c r="L395" s="5">
        <f ca="1">IFERROR(__xludf.DUMMYFUNCTION("""COMPUTED_VALUE"""),180)</f>
        <v>180</v>
      </c>
      <c r="M395" s="5">
        <f ca="1">IFERROR(__xludf.DUMMYFUNCTION("""COMPUTED_VALUE"""),181)</f>
        <v>181</v>
      </c>
      <c r="N395" s="3" t="str">
        <f ca="1">IFERROR(__xludf.DUMMYFUNCTION("""COMPUTED_VALUE""")," ")</f>
        <v xml:space="preserve"> </v>
      </c>
      <c r="O395" s="5">
        <f ca="1">IFERROR(__xludf.DUMMYFUNCTION("""COMPUTED_VALUE"""),911)</f>
        <v>911</v>
      </c>
      <c r="P395" s="3">
        <f ca="1">IFERROR(__xludf.DUMMYFUNCTION("""COMPUTED_VALUE"""),-44276)</f>
        <v>-44276</v>
      </c>
      <c r="Q395" s="5">
        <f ca="1">IFERROR(__xludf.DUMMYFUNCTION("""COMPUTED_VALUE"""),2007)</f>
        <v>2007</v>
      </c>
      <c r="R395" s="3"/>
      <c r="S395" s="3"/>
      <c r="T395" s="3"/>
      <c r="U395" s="3"/>
      <c r="V395" s="3"/>
      <c r="W395" s="3"/>
      <c r="X395" s="3"/>
    </row>
    <row r="396" spans="1:24" x14ac:dyDescent="0.2">
      <c r="A396" s="3"/>
      <c r="B396" s="3"/>
      <c r="C396" s="3"/>
      <c r="D396" s="3"/>
      <c r="E396" s="3"/>
      <c r="F396" s="3"/>
      <c r="G396" s="3"/>
      <c r="H396" s="3"/>
      <c r="I396" s="3"/>
      <c r="J396" s="3"/>
      <c r="K396" s="3"/>
      <c r="L396" s="5">
        <f ca="1">IFERROR(__xludf.DUMMYFUNCTION("""COMPUTED_VALUE"""),180)</f>
        <v>180</v>
      </c>
      <c r="M396" s="5">
        <f ca="1">IFERROR(__xludf.DUMMYFUNCTION("""COMPUTED_VALUE"""),181)</f>
        <v>181</v>
      </c>
      <c r="N396" s="3" t="str">
        <f ca="1">IFERROR(__xludf.DUMMYFUNCTION("""COMPUTED_VALUE""")," ")</f>
        <v xml:space="preserve"> </v>
      </c>
      <c r="O396" s="5">
        <f ca="1">IFERROR(__xludf.DUMMYFUNCTION("""COMPUTED_VALUE"""),911)</f>
        <v>911</v>
      </c>
      <c r="P396" s="3">
        <f ca="1">IFERROR(__xludf.DUMMYFUNCTION("""COMPUTED_VALUE"""),-44276)</f>
        <v>-44276</v>
      </c>
      <c r="Q396" s="5">
        <f ca="1">IFERROR(__xludf.DUMMYFUNCTION("""COMPUTED_VALUE"""),2007)</f>
        <v>2007</v>
      </c>
      <c r="R396" s="3"/>
      <c r="S396" s="3"/>
      <c r="T396" s="3"/>
      <c r="U396" s="3"/>
      <c r="V396" s="3"/>
      <c r="W396" s="3"/>
      <c r="X396" s="3"/>
    </row>
    <row r="397" spans="1:24" x14ac:dyDescent="0.2">
      <c r="A397" s="3"/>
      <c r="B397" s="3"/>
      <c r="C397" s="3"/>
      <c r="D397" s="3"/>
      <c r="E397" s="3"/>
      <c r="F397" s="3"/>
      <c r="G397" s="3"/>
      <c r="H397" s="3"/>
      <c r="I397" s="3"/>
      <c r="J397" s="3"/>
      <c r="K397" s="3"/>
      <c r="L397" s="5">
        <f ca="1">IFERROR(__xludf.DUMMYFUNCTION("""COMPUTED_VALUE"""),180)</f>
        <v>180</v>
      </c>
      <c r="M397" s="5">
        <f ca="1">IFERROR(__xludf.DUMMYFUNCTION("""COMPUTED_VALUE"""),181)</f>
        <v>181</v>
      </c>
      <c r="N397" s="3" t="str">
        <f ca="1">IFERROR(__xludf.DUMMYFUNCTION("""COMPUTED_VALUE""")," ")</f>
        <v xml:space="preserve"> </v>
      </c>
      <c r="O397" s="5">
        <f ca="1">IFERROR(__xludf.DUMMYFUNCTION("""COMPUTED_VALUE"""),911)</f>
        <v>911</v>
      </c>
      <c r="P397" s="3">
        <f ca="1">IFERROR(__xludf.DUMMYFUNCTION("""COMPUTED_VALUE"""),-44276)</f>
        <v>-44276</v>
      </c>
      <c r="Q397" s="5">
        <f ca="1">IFERROR(__xludf.DUMMYFUNCTION("""COMPUTED_VALUE"""),2007)</f>
        <v>2007</v>
      </c>
      <c r="R397" s="3"/>
      <c r="S397" s="3"/>
      <c r="T397" s="3"/>
      <c r="U397" s="3"/>
      <c r="V397" s="3"/>
      <c r="W397" s="3"/>
      <c r="X397" s="3"/>
    </row>
    <row r="398" spans="1:24" x14ac:dyDescent="0.2">
      <c r="A398" s="3"/>
      <c r="B398" s="3"/>
      <c r="C398" s="3"/>
      <c r="D398" s="3"/>
      <c r="E398" s="3"/>
      <c r="F398" s="3"/>
      <c r="G398" s="3"/>
      <c r="H398" s="3"/>
      <c r="I398" s="3"/>
      <c r="J398" s="3"/>
      <c r="K398" s="3"/>
      <c r="L398" s="5">
        <f ca="1">IFERROR(__xludf.DUMMYFUNCTION("""COMPUTED_VALUE"""),180)</f>
        <v>180</v>
      </c>
      <c r="M398" s="5">
        <f ca="1">IFERROR(__xludf.DUMMYFUNCTION("""COMPUTED_VALUE"""),181)</f>
        <v>181</v>
      </c>
      <c r="N398" s="3" t="str">
        <f ca="1">IFERROR(__xludf.DUMMYFUNCTION("""COMPUTED_VALUE""")," ")</f>
        <v xml:space="preserve"> </v>
      </c>
      <c r="O398" s="5">
        <f ca="1">IFERROR(__xludf.DUMMYFUNCTION("""COMPUTED_VALUE"""),911)</f>
        <v>911</v>
      </c>
      <c r="P398" s="3">
        <f ca="1">IFERROR(__xludf.DUMMYFUNCTION("""COMPUTED_VALUE"""),-44276)</f>
        <v>-44276</v>
      </c>
      <c r="Q398" s="5">
        <f ca="1">IFERROR(__xludf.DUMMYFUNCTION("""COMPUTED_VALUE"""),2007)</f>
        <v>2007</v>
      </c>
      <c r="R398" s="3"/>
      <c r="S398" s="3"/>
      <c r="T398" s="3"/>
      <c r="U398" s="3"/>
      <c r="V398" s="3"/>
      <c r="W398" s="3"/>
      <c r="X398" s="3"/>
    </row>
    <row r="399" spans="1:24" x14ac:dyDescent="0.2">
      <c r="A399" s="3"/>
      <c r="B399" s="3"/>
      <c r="C399" s="3"/>
      <c r="D399" s="3"/>
      <c r="E399" s="3"/>
      <c r="F399" s="3"/>
      <c r="G399" s="3"/>
      <c r="H399" s="3"/>
      <c r="I399" s="3"/>
      <c r="J399" s="3"/>
      <c r="K399" s="3"/>
      <c r="L399" s="5">
        <f ca="1">IFERROR(__xludf.DUMMYFUNCTION("""COMPUTED_VALUE"""),180)</f>
        <v>180</v>
      </c>
      <c r="M399" s="5">
        <f ca="1">IFERROR(__xludf.DUMMYFUNCTION("""COMPUTED_VALUE"""),181)</f>
        <v>181</v>
      </c>
      <c r="N399" s="3" t="str">
        <f ca="1">IFERROR(__xludf.DUMMYFUNCTION("""COMPUTED_VALUE""")," ")</f>
        <v xml:space="preserve"> </v>
      </c>
      <c r="O399" s="5">
        <f ca="1">IFERROR(__xludf.DUMMYFUNCTION("""COMPUTED_VALUE"""),911)</f>
        <v>911</v>
      </c>
      <c r="P399" s="3">
        <f ca="1">IFERROR(__xludf.DUMMYFUNCTION("""COMPUTED_VALUE"""),-44276)</f>
        <v>-44276</v>
      </c>
      <c r="Q399" s="5">
        <f ca="1">IFERROR(__xludf.DUMMYFUNCTION("""COMPUTED_VALUE"""),2007)</f>
        <v>2007</v>
      </c>
      <c r="R399" s="3"/>
      <c r="S399" s="3"/>
      <c r="T399" s="3"/>
      <c r="U399" s="3"/>
      <c r="V399" s="3"/>
      <c r="W399" s="3"/>
      <c r="X399" s="3"/>
    </row>
    <row r="400" spans="1:24" x14ac:dyDescent="0.2">
      <c r="A400" s="3"/>
      <c r="B400" s="3"/>
      <c r="C400" s="3"/>
      <c r="D400" s="3"/>
      <c r="E400" s="3"/>
      <c r="F400" s="3"/>
      <c r="G400" s="3"/>
      <c r="H400" s="3"/>
      <c r="I400" s="3"/>
      <c r="J400" s="3"/>
      <c r="K400" s="3"/>
      <c r="L400" s="5">
        <f ca="1">IFERROR(__xludf.DUMMYFUNCTION("""COMPUTED_VALUE"""),180)</f>
        <v>180</v>
      </c>
      <c r="M400" s="5">
        <f ca="1">IFERROR(__xludf.DUMMYFUNCTION("""COMPUTED_VALUE"""),181)</f>
        <v>181</v>
      </c>
      <c r="N400" s="3" t="str">
        <f ca="1">IFERROR(__xludf.DUMMYFUNCTION("""COMPUTED_VALUE""")," ")</f>
        <v xml:space="preserve"> </v>
      </c>
      <c r="O400" s="5">
        <f ca="1">IFERROR(__xludf.DUMMYFUNCTION("""COMPUTED_VALUE"""),911)</f>
        <v>911</v>
      </c>
      <c r="P400" s="3">
        <f ca="1">IFERROR(__xludf.DUMMYFUNCTION("""COMPUTED_VALUE"""),-44276)</f>
        <v>-44276</v>
      </c>
      <c r="Q400" s="5">
        <f ca="1">IFERROR(__xludf.DUMMYFUNCTION("""COMPUTED_VALUE"""),2007)</f>
        <v>2007</v>
      </c>
      <c r="R400" s="3"/>
      <c r="S400" s="3"/>
      <c r="T400" s="3"/>
      <c r="U400" s="3"/>
      <c r="V400" s="3"/>
      <c r="W400" s="3"/>
      <c r="X400" s="3"/>
    </row>
    <row r="401" spans="1:24" x14ac:dyDescent="0.2">
      <c r="A401" s="3"/>
      <c r="B401" s="3"/>
      <c r="C401" s="3"/>
      <c r="D401" s="3"/>
      <c r="E401" s="3"/>
      <c r="F401" s="3"/>
      <c r="G401" s="3"/>
      <c r="H401" s="3"/>
      <c r="I401" s="3"/>
      <c r="J401" s="3"/>
      <c r="K401" s="3"/>
      <c r="L401" s="5">
        <f ca="1">IFERROR(__xludf.DUMMYFUNCTION("""COMPUTED_VALUE"""),180)</f>
        <v>180</v>
      </c>
      <c r="M401" s="5">
        <f ca="1">IFERROR(__xludf.DUMMYFUNCTION("""COMPUTED_VALUE"""),181)</f>
        <v>181</v>
      </c>
      <c r="N401" s="3" t="str">
        <f ca="1">IFERROR(__xludf.DUMMYFUNCTION("""COMPUTED_VALUE""")," ")</f>
        <v xml:space="preserve"> </v>
      </c>
      <c r="O401" s="5">
        <f ca="1">IFERROR(__xludf.DUMMYFUNCTION("""COMPUTED_VALUE"""),911)</f>
        <v>911</v>
      </c>
      <c r="P401" s="3">
        <f ca="1">IFERROR(__xludf.DUMMYFUNCTION("""COMPUTED_VALUE"""),-44276)</f>
        <v>-44276</v>
      </c>
      <c r="Q401" s="5">
        <f ca="1">IFERROR(__xludf.DUMMYFUNCTION("""COMPUTED_VALUE"""),2007)</f>
        <v>2007</v>
      </c>
      <c r="R401" s="3"/>
      <c r="S401" s="3"/>
      <c r="T401" s="3"/>
      <c r="U401" s="3"/>
      <c r="V401" s="3"/>
      <c r="W401" s="3"/>
      <c r="X401" s="3"/>
    </row>
    <row r="402" spans="1:24" x14ac:dyDescent="0.2">
      <c r="A402" s="3"/>
      <c r="B402" s="3"/>
      <c r="C402" s="3"/>
      <c r="D402" s="3"/>
      <c r="E402" s="3"/>
      <c r="F402" s="3"/>
      <c r="G402" s="3"/>
      <c r="H402" s="3"/>
      <c r="I402" s="3"/>
      <c r="J402" s="3"/>
      <c r="K402" s="3"/>
      <c r="L402" s="5">
        <f ca="1">IFERROR(__xludf.DUMMYFUNCTION("""COMPUTED_VALUE"""),180)</f>
        <v>180</v>
      </c>
      <c r="M402" s="5">
        <f ca="1">IFERROR(__xludf.DUMMYFUNCTION("""COMPUTED_VALUE"""),181)</f>
        <v>181</v>
      </c>
      <c r="N402" s="3" t="str">
        <f ca="1">IFERROR(__xludf.DUMMYFUNCTION("""COMPUTED_VALUE""")," ")</f>
        <v xml:space="preserve"> </v>
      </c>
      <c r="O402" s="5">
        <f ca="1">IFERROR(__xludf.DUMMYFUNCTION("""COMPUTED_VALUE"""),911)</f>
        <v>911</v>
      </c>
      <c r="P402" s="3">
        <f ca="1">IFERROR(__xludf.DUMMYFUNCTION("""COMPUTED_VALUE"""),-44276)</f>
        <v>-44276</v>
      </c>
      <c r="Q402" s="5">
        <f ca="1">IFERROR(__xludf.DUMMYFUNCTION("""COMPUTED_VALUE"""),2007)</f>
        <v>2007</v>
      </c>
      <c r="R402" s="3"/>
      <c r="S402" s="3"/>
      <c r="T402" s="3"/>
      <c r="U402" s="3"/>
      <c r="V402" s="3"/>
      <c r="W402" s="3"/>
      <c r="X402" s="3"/>
    </row>
    <row r="403" spans="1:24" x14ac:dyDescent="0.2">
      <c r="A403" s="3"/>
      <c r="B403" s="3"/>
      <c r="C403" s="3"/>
      <c r="D403" s="3"/>
      <c r="E403" s="3"/>
      <c r="F403" s="3"/>
      <c r="G403" s="3"/>
      <c r="H403" s="3"/>
      <c r="I403" s="3"/>
      <c r="J403" s="3"/>
      <c r="K403" s="3"/>
      <c r="L403" s="5">
        <f ca="1">IFERROR(__xludf.DUMMYFUNCTION("""COMPUTED_VALUE"""),180)</f>
        <v>180</v>
      </c>
      <c r="M403" s="5">
        <f ca="1">IFERROR(__xludf.DUMMYFUNCTION("""COMPUTED_VALUE"""),181)</f>
        <v>181</v>
      </c>
      <c r="N403" s="3" t="str">
        <f ca="1">IFERROR(__xludf.DUMMYFUNCTION("""COMPUTED_VALUE""")," ")</f>
        <v xml:space="preserve"> </v>
      </c>
      <c r="O403" s="5">
        <f ca="1">IFERROR(__xludf.DUMMYFUNCTION("""COMPUTED_VALUE"""),911)</f>
        <v>911</v>
      </c>
      <c r="P403" s="3">
        <f ca="1">IFERROR(__xludf.DUMMYFUNCTION("""COMPUTED_VALUE"""),-44276)</f>
        <v>-44276</v>
      </c>
      <c r="Q403" s="5">
        <f ca="1">IFERROR(__xludf.DUMMYFUNCTION("""COMPUTED_VALUE"""),2007)</f>
        <v>2007</v>
      </c>
      <c r="R403" s="3"/>
      <c r="S403" s="3"/>
      <c r="T403" s="3"/>
      <c r="U403" s="3"/>
      <c r="V403" s="3"/>
      <c r="W403" s="3"/>
      <c r="X403" s="3"/>
    </row>
    <row r="404" spans="1:24" x14ac:dyDescent="0.2">
      <c r="A404" s="3"/>
      <c r="B404" s="3"/>
      <c r="C404" s="3"/>
      <c r="D404" s="3"/>
      <c r="E404" s="3"/>
      <c r="F404" s="3"/>
      <c r="G404" s="3"/>
      <c r="H404" s="3"/>
      <c r="I404" s="3"/>
      <c r="J404" s="3"/>
      <c r="K404" s="3"/>
      <c r="L404" s="5">
        <f ca="1">IFERROR(__xludf.DUMMYFUNCTION("""COMPUTED_VALUE"""),180)</f>
        <v>180</v>
      </c>
      <c r="M404" s="5">
        <f ca="1">IFERROR(__xludf.DUMMYFUNCTION("""COMPUTED_VALUE"""),181)</f>
        <v>181</v>
      </c>
      <c r="N404" s="3" t="str">
        <f ca="1">IFERROR(__xludf.DUMMYFUNCTION("""COMPUTED_VALUE""")," ")</f>
        <v xml:space="preserve"> </v>
      </c>
      <c r="O404" s="5">
        <f ca="1">IFERROR(__xludf.DUMMYFUNCTION("""COMPUTED_VALUE"""),911)</f>
        <v>911</v>
      </c>
      <c r="P404" s="3">
        <f ca="1">IFERROR(__xludf.DUMMYFUNCTION("""COMPUTED_VALUE"""),-44276)</f>
        <v>-44276</v>
      </c>
      <c r="Q404" s="5">
        <f ca="1">IFERROR(__xludf.DUMMYFUNCTION("""COMPUTED_VALUE"""),2007)</f>
        <v>2007</v>
      </c>
      <c r="R404" s="3"/>
      <c r="S404" s="3"/>
      <c r="T404" s="3"/>
      <c r="U404" s="3"/>
      <c r="V404" s="3"/>
      <c r="W404" s="3"/>
      <c r="X404" s="3"/>
    </row>
    <row r="405" spans="1:24" x14ac:dyDescent="0.2">
      <c r="A405" s="3"/>
      <c r="B405" s="3"/>
      <c r="C405" s="3"/>
      <c r="D405" s="3"/>
      <c r="E405" s="3"/>
      <c r="F405" s="3"/>
      <c r="G405" s="3"/>
      <c r="H405" s="3"/>
      <c r="I405" s="3"/>
      <c r="J405" s="3"/>
      <c r="K405" s="3"/>
      <c r="L405" s="5">
        <f ca="1">IFERROR(__xludf.DUMMYFUNCTION("""COMPUTED_VALUE"""),180)</f>
        <v>180</v>
      </c>
      <c r="M405" s="5">
        <f ca="1">IFERROR(__xludf.DUMMYFUNCTION("""COMPUTED_VALUE"""),181)</f>
        <v>181</v>
      </c>
      <c r="N405" s="3" t="str">
        <f ca="1">IFERROR(__xludf.DUMMYFUNCTION("""COMPUTED_VALUE""")," ")</f>
        <v xml:space="preserve"> </v>
      </c>
      <c r="O405" s="5">
        <f ca="1">IFERROR(__xludf.DUMMYFUNCTION("""COMPUTED_VALUE"""),911)</f>
        <v>911</v>
      </c>
      <c r="P405" s="3">
        <f ca="1">IFERROR(__xludf.DUMMYFUNCTION("""COMPUTED_VALUE"""),-44276)</f>
        <v>-44276</v>
      </c>
      <c r="Q405" s="5">
        <f ca="1">IFERROR(__xludf.DUMMYFUNCTION("""COMPUTED_VALUE"""),2007)</f>
        <v>2007</v>
      </c>
      <c r="R405" s="3"/>
      <c r="S405" s="3"/>
      <c r="T405" s="3"/>
      <c r="U405" s="3"/>
      <c r="V405" s="3"/>
      <c r="W405" s="3"/>
      <c r="X405" s="3"/>
    </row>
    <row r="406" spans="1:24" x14ac:dyDescent="0.2">
      <c r="A406" s="3"/>
      <c r="B406" s="3"/>
      <c r="C406" s="3"/>
      <c r="D406" s="3"/>
      <c r="E406" s="3"/>
      <c r="F406" s="3"/>
      <c r="G406" s="3"/>
      <c r="H406" s="3"/>
      <c r="I406" s="3"/>
      <c r="J406" s="3"/>
      <c r="K406" s="3"/>
      <c r="L406" s="5">
        <f ca="1">IFERROR(__xludf.DUMMYFUNCTION("""COMPUTED_VALUE"""),180)</f>
        <v>180</v>
      </c>
      <c r="M406" s="5">
        <f ca="1">IFERROR(__xludf.DUMMYFUNCTION("""COMPUTED_VALUE"""),181)</f>
        <v>181</v>
      </c>
      <c r="N406" s="3" t="str">
        <f ca="1">IFERROR(__xludf.DUMMYFUNCTION("""COMPUTED_VALUE""")," ")</f>
        <v xml:space="preserve"> </v>
      </c>
      <c r="O406" s="5">
        <f ca="1">IFERROR(__xludf.DUMMYFUNCTION("""COMPUTED_VALUE"""),911)</f>
        <v>911</v>
      </c>
      <c r="P406" s="3">
        <f ca="1">IFERROR(__xludf.DUMMYFUNCTION("""COMPUTED_VALUE"""),-44276)</f>
        <v>-44276</v>
      </c>
      <c r="Q406" s="5">
        <f ca="1">IFERROR(__xludf.DUMMYFUNCTION("""COMPUTED_VALUE"""),2007)</f>
        <v>2007</v>
      </c>
      <c r="R406" s="3"/>
      <c r="S406" s="3"/>
      <c r="T406" s="3"/>
      <c r="U406" s="3"/>
      <c r="V406" s="3"/>
      <c r="W406" s="3"/>
      <c r="X406" s="3"/>
    </row>
    <row r="407" spans="1:24" x14ac:dyDescent="0.2">
      <c r="A407" s="3"/>
      <c r="B407" s="3"/>
      <c r="C407" s="3"/>
      <c r="D407" s="3"/>
      <c r="E407" s="3"/>
      <c r="F407" s="3"/>
      <c r="G407" s="3"/>
      <c r="H407" s="3"/>
      <c r="I407" s="3"/>
      <c r="J407" s="3"/>
      <c r="K407" s="3"/>
      <c r="L407" s="5">
        <f ca="1">IFERROR(__xludf.DUMMYFUNCTION("""COMPUTED_VALUE"""),180)</f>
        <v>180</v>
      </c>
      <c r="M407" s="5">
        <f ca="1">IFERROR(__xludf.DUMMYFUNCTION("""COMPUTED_VALUE"""),181)</f>
        <v>181</v>
      </c>
      <c r="N407" s="3" t="str">
        <f ca="1">IFERROR(__xludf.DUMMYFUNCTION("""COMPUTED_VALUE""")," ")</f>
        <v xml:space="preserve"> </v>
      </c>
      <c r="O407" s="5">
        <f ca="1">IFERROR(__xludf.DUMMYFUNCTION("""COMPUTED_VALUE"""),911)</f>
        <v>911</v>
      </c>
      <c r="P407" s="3">
        <f ca="1">IFERROR(__xludf.DUMMYFUNCTION("""COMPUTED_VALUE"""),-44276)</f>
        <v>-44276</v>
      </c>
      <c r="Q407" s="5">
        <f ca="1">IFERROR(__xludf.DUMMYFUNCTION("""COMPUTED_VALUE"""),2007)</f>
        <v>2007</v>
      </c>
      <c r="R407" s="3"/>
      <c r="S407" s="3"/>
      <c r="T407" s="3"/>
      <c r="U407" s="3"/>
      <c r="V407" s="3"/>
      <c r="W407" s="3"/>
      <c r="X407" s="3"/>
    </row>
    <row r="408" spans="1:24" x14ac:dyDescent="0.2">
      <c r="A408" s="3"/>
      <c r="B408" s="3"/>
      <c r="C408" s="3"/>
      <c r="D408" s="3"/>
      <c r="E408" s="3"/>
      <c r="F408" s="3"/>
      <c r="G408" s="3"/>
      <c r="H408" s="3"/>
      <c r="I408" s="3"/>
      <c r="J408" s="3"/>
      <c r="K408" s="3"/>
      <c r="L408" s="5">
        <f ca="1">IFERROR(__xludf.DUMMYFUNCTION("""COMPUTED_VALUE"""),180)</f>
        <v>180</v>
      </c>
      <c r="M408" s="5">
        <f ca="1">IFERROR(__xludf.DUMMYFUNCTION("""COMPUTED_VALUE"""),181)</f>
        <v>181</v>
      </c>
      <c r="N408" s="3" t="str">
        <f ca="1">IFERROR(__xludf.DUMMYFUNCTION("""COMPUTED_VALUE""")," ")</f>
        <v xml:space="preserve"> </v>
      </c>
      <c r="O408" s="5">
        <f ca="1">IFERROR(__xludf.DUMMYFUNCTION("""COMPUTED_VALUE"""),911)</f>
        <v>911</v>
      </c>
      <c r="P408" s="3">
        <f ca="1">IFERROR(__xludf.DUMMYFUNCTION("""COMPUTED_VALUE"""),-44276)</f>
        <v>-44276</v>
      </c>
      <c r="Q408" s="5">
        <f ca="1">IFERROR(__xludf.DUMMYFUNCTION("""COMPUTED_VALUE"""),2007)</f>
        <v>2007</v>
      </c>
      <c r="R408" s="3"/>
      <c r="S408" s="3"/>
      <c r="T408" s="3"/>
      <c r="U408" s="3"/>
      <c r="V408" s="3"/>
      <c r="W408" s="3"/>
      <c r="X408" s="3"/>
    </row>
    <row r="409" spans="1:24" x14ac:dyDescent="0.2">
      <c r="A409" s="3"/>
      <c r="B409" s="3"/>
      <c r="C409" s="3"/>
      <c r="D409" s="3"/>
      <c r="E409" s="3"/>
      <c r="F409" s="3"/>
      <c r="G409" s="3"/>
      <c r="H409" s="3"/>
      <c r="I409" s="3"/>
      <c r="J409" s="3"/>
      <c r="K409" s="3"/>
      <c r="L409" s="5">
        <f ca="1">IFERROR(__xludf.DUMMYFUNCTION("""COMPUTED_VALUE"""),180)</f>
        <v>180</v>
      </c>
      <c r="M409" s="5">
        <f ca="1">IFERROR(__xludf.DUMMYFUNCTION("""COMPUTED_VALUE"""),181)</f>
        <v>181</v>
      </c>
      <c r="N409" s="3" t="str">
        <f ca="1">IFERROR(__xludf.DUMMYFUNCTION("""COMPUTED_VALUE""")," ")</f>
        <v xml:space="preserve"> </v>
      </c>
      <c r="O409" s="5">
        <f ca="1">IFERROR(__xludf.DUMMYFUNCTION("""COMPUTED_VALUE"""),911)</f>
        <v>911</v>
      </c>
      <c r="P409" s="3">
        <f ca="1">IFERROR(__xludf.DUMMYFUNCTION("""COMPUTED_VALUE"""),-44276)</f>
        <v>-44276</v>
      </c>
      <c r="Q409" s="5">
        <f ca="1">IFERROR(__xludf.DUMMYFUNCTION("""COMPUTED_VALUE"""),2007)</f>
        <v>2007</v>
      </c>
      <c r="R409" s="3"/>
      <c r="S409" s="3"/>
      <c r="T409" s="3"/>
      <c r="U409" s="3"/>
      <c r="V409" s="3"/>
      <c r="W409" s="3"/>
      <c r="X409" s="3"/>
    </row>
    <row r="410" spans="1:24" x14ac:dyDescent="0.2">
      <c r="A410" s="3"/>
      <c r="B410" s="3"/>
      <c r="C410" s="3"/>
      <c r="D410" s="3"/>
      <c r="E410" s="3"/>
      <c r="F410" s="3"/>
      <c r="G410" s="3"/>
      <c r="H410" s="3"/>
      <c r="I410" s="3"/>
      <c r="J410" s="3"/>
      <c r="K410" s="3"/>
      <c r="L410" s="5">
        <f ca="1">IFERROR(__xludf.DUMMYFUNCTION("""COMPUTED_VALUE"""),180)</f>
        <v>180</v>
      </c>
      <c r="M410" s="5">
        <f ca="1">IFERROR(__xludf.DUMMYFUNCTION("""COMPUTED_VALUE"""),181)</f>
        <v>181</v>
      </c>
      <c r="N410" s="3" t="str">
        <f ca="1">IFERROR(__xludf.DUMMYFUNCTION("""COMPUTED_VALUE""")," ")</f>
        <v xml:space="preserve"> </v>
      </c>
      <c r="O410" s="5">
        <f ca="1">IFERROR(__xludf.DUMMYFUNCTION("""COMPUTED_VALUE"""),911)</f>
        <v>911</v>
      </c>
      <c r="P410" s="3">
        <f ca="1">IFERROR(__xludf.DUMMYFUNCTION("""COMPUTED_VALUE"""),-44276)</f>
        <v>-44276</v>
      </c>
      <c r="Q410" s="5">
        <f ca="1">IFERROR(__xludf.DUMMYFUNCTION("""COMPUTED_VALUE"""),2007)</f>
        <v>2007</v>
      </c>
      <c r="R410" s="3"/>
      <c r="S410" s="3"/>
      <c r="T410" s="3"/>
      <c r="U410" s="3"/>
      <c r="V410" s="3"/>
      <c r="W410" s="3"/>
      <c r="X410" s="3"/>
    </row>
    <row r="411" spans="1:24" x14ac:dyDescent="0.2">
      <c r="A411" s="3"/>
      <c r="B411" s="3"/>
      <c r="C411" s="3"/>
      <c r="D411" s="3"/>
      <c r="E411" s="3"/>
      <c r="F411" s="3"/>
      <c r="G411" s="3"/>
      <c r="H411" s="3"/>
      <c r="I411" s="3"/>
      <c r="J411" s="3"/>
      <c r="K411" s="3"/>
      <c r="L411" s="5">
        <f ca="1">IFERROR(__xludf.DUMMYFUNCTION("""COMPUTED_VALUE"""),180)</f>
        <v>180</v>
      </c>
      <c r="M411" s="5">
        <f ca="1">IFERROR(__xludf.DUMMYFUNCTION("""COMPUTED_VALUE"""),181)</f>
        <v>181</v>
      </c>
      <c r="N411" s="3" t="str">
        <f ca="1">IFERROR(__xludf.DUMMYFUNCTION("""COMPUTED_VALUE""")," ")</f>
        <v xml:space="preserve"> </v>
      </c>
      <c r="O411" s="5">
        <f ca="1">IFERROR(__xludf.DUMMYFUNCTION("""COMPUTED_VALUE"""),911)</f>
        <v>911</v>
      </c>
      <c r="P411" s="3">
        <f ca="1">IFERROR(__xludf.DUMMYFUNCTION("""COMPUTED_VALUE"""),-44276)</f>
        <v>-44276</v>
      </c>
      <c r="Q411" s="5">
        <f ca="1">IFERROR(__xludf.DUMMYFUNCTION("""COMPUTED_VALUE"""),2007)</f>
        <v>2007</v>
      </c>
      <c r="R411" s="3"/>
      <c r="S411" s="3"/>
      <c r="T411" s="3"/>
      <c r="U411" s="3"/>
      <c r="V411" s="3"/>
      <c r="W411" s="3"/>
      <c r="X411" s="3"/>
    </row>
    <row r="412" spans="1:24" x14ac:dyDescent="0.2">
      <c r="A412" s="3"/>
      <c r="B412" s="3"/>
      <c r="C412" s="3"/>
      <c r="D412" s="3"/>
      <c r="E412" s="3"/>
      <c r="F412" s="3"/>
      <c r="G412" s="3"/>
      <c r="H412" s="3"/>
      <c r="I412" s="3"/>
      <c r="J412" s="3"/>
      <c r="K412" s="3"/>
      <c r="L412" s="5">
        <f ca="1">IFERROR(__xludf.DUMMYFUNCTION("""COMPUTED_VALUE"""),180)</f>
        <v>180</v>
      </c>
      <c r="M412" s="5">
        <f ca="1">IFERROR(__xludf.DUMMYFUNCTION("""COMPUTED_VALUE"""),181)</f>
        <v>181</v>
      </c>
      <c r="N412" s="3" t="str">
        <f ca="1">IFERROR(__xludf.DUMMYFUNCTION("""COMPUTED_VALUE""")," ")</f>
        <v xml:space="preserve"> </v>
      </c>
      <c r="O412" s="5">
        <f ca="1">IFERROR(__xludf.DUMMYFUNCTION("""COMPUTED_VALUE"""),911)</f>
        <v>911</v>
      </c>
      <c r="P412" s="3">
        <f ca="1">IFERROR(__xludf.DUMMYFUNCTION("""COMPUTED_VALUE"""),-44276)</f>
        <v>-44276</v>
      </c>
      <c r="Q412" s="5">
        <f ca="1">IFERROR(__xludf.DUMMYFUNCTION("""COMPUTED_VALUE"""),2007)</f>
        <v>2007</v>
      </c>
      <c r="R412" s="3"/>
      <c r="S412" s="3"/>
      <c r="T412" s="3"/>
      <c r="U412" s="3"/>
      <c r="V412" s="3"/>
      <c r="W412" s="3"/>
      <c r="X412" s="3"/>
    </row>
    <row r="413" spans="1:24" x14ac:dyDescent="0.2">
      <c r="A413" s="3"/>
      <c r="B413" s="3"/>
      <c r="C413" s="3"/>
      <c r="D413" s="3"/>
      <c r="E413" s="3"/>
      <c r="F413" s="3"/>
      <c r="G413" s="3"/>
      <c r="H413" s="3"/>
      <c r="I413" s="3"/>
      <c r="J413" s="3"/>
      <c r="K413" s="3"/>
      <c r="L413" s="5">
        <f ca="1">IFERROR(__xludf.DUMMYFUNCTION("""COMPUTED_VALUE"""),180)</f>
        <v>180</v>
      </c>
      <c r="M413" s="5">
        <f ca="1">IFERROR(__xludf.DUMMYFUNCTION("""COMPUTED_VALUE"""),181)</f>
        <v>181</v>
      </c>
      <c r="N413" s="3" t="str">
        <f ca="1">IFERROR(__xludf.DUMMYFUNCTION("""COMPUTED_VALUE""")," ")</f>
        <v xml:space="preserve"> </v>
      </c>
      <c r="O413" s="5">
        <f ca="1">IFERROR(__xludf.DUMMYFUNCTION("""COMPUTED_VALUE"""),911)</f>
        <v>911</v>
      </c>
      <c r="P413" s="3">
        <f ca="1">IFERROR(__xludf.DUMMYFUNCTION("""COMPUTED_VALUE"""),-44276)</f>
        <v>-44276</v>
      </c>
      <c r="Q413" s="5">
        <f ca="1">IFERROR(__xludf.DUMMYFUNCTION("""COMPUTED_VALUE"""),2007)</f>
        <v>2007</v>
      </c>
      <c r="R413" s="3"/>
      <c r="S413" s="3"/>
      <c r="T413" s="3"/>
      <c r="U413" s="3"/>
      <c r="V413" s="3"/>
      <c r="W413" s="3"/>
      <c r="X413" s="3"/>
    </row>
    <row r="414" spans="1:24" x14ac:dyDescent="0.2">
      <c r="A414" s="3"/>
      <c r="B414" s="3"/>
      <c r="C414" s="3"/>
      <c r="D414" s="3"/>
      <c r="E414" s="3"/>
      <c r="F414" s="3"/>
      <c r="G414" s="3"/>
      <c r="H414" s="3"/>
      <c r="I414" s="3"/>
      <c r="J414" s="3"/>
      <c r="K414" s="3"/>
      <c r="L414" s="5">
        <f ca="1">IFERROR(__xludf.DUMMYFUNCTION("""COMPUTED_VALUE"""),180)</f>
        <v>180</v>
      </c>
      <c r="M414" s="5">
        <f ca="1">IFERROR(__xludf.DUMMYFUNCTION("""COMPUTED_VALUE"""),181)</f>
        <v>181</v>
      </c>
      <c r="N414" s="3" t="str">
        <f ca="1">IFERROR(__xludf.DUMMYFUNCTION("""COMPUTED_VALUE""")," ")</f>
        <v xml:space="preserve"> </v>
      </c>
      <c r="O414" s="5">
        <f ca="1">IFERROR(__xludf.DUMMYFUNCTION("""COMPUTED_VALUE"""),911)</f>
        <v>911</v>
      </c>
      <c r="P414" s="3">
        <f ca="1">IFERROR(__xludf.DUMMYFUNCTION("""COMPUTED_VALUE"""),-44276)</f>
        <v>-44276</v>
      </c>
      <c r="Q414" s="5">
        <f ca="1">IFERROR(__xludf.DUMMYFUNCTION("""COMPUTED_VALUE"""),2007)</f>
        <v>2007</v>
      </c>
      <c r="R414" s="3"/>
      <c r="S414" s="3"/>
      <c r="T414" s="3"/>
      <c r="U414" s="3"/>
      <c r="V414" s="3"/>
      <c r="W414" s="3"/>
      <c r="X414" s="3"/>
    </row>
    <row r="415" spans="1:24" x14ac:dyDescent="0.2">
      <c r="A415" s="3"/>
      <c r="B415" s="3"/>
      <c r="C415" s="3"/>
      <c r="D415" s="3"/>
      <c r="E415" s="3"/>
      <c r="F415" s="3"/>
      <c r="G415" s="3"/>
      <c r="H415" s="3"/>
      <c r="I415" s="3"/>
      <c r="J415" s="3"/>
      <c r="K415" s="3"/>
      <c r="L415" s="5">
        <f ca="1">IFERROR(__xludf.DUMMYFUNCTION("""COMPUTED_VALUE"""),180)</f>
        <v>180</v>
      </c>
      <c r="M415" s="5">
        <f ca="1">IFERROR(__xludf.DUMMYFUNCTION("""COMPUTED_VALUE"""),181)</f>
        <v>181</v>
      </c>
      <c r="N415" s="3" t="str">
        <f ca="1">IFERROR(__xludf.DUMMYFUNCTION("""COMPUTED_VALUE""")," ")</f>
        <v xml:space="preserve"> </v>
      </c>
      <c r="O415" s="5">
        <f ca="1">IFERROR(__xludf.DUMMYFUNCTION("""COMPUTED_VALUE"""),911)</f>
        <v>911</v>
      </c>
      <c r="P415" s="3">
        <f ca="1">IFERROR(__xludf.DUMMYFUNCTION("""COMPUTED_VALUE"""),-44276)</f>
        <v>-44276</v>
      </c>
      <c r="Q415" s="5">
        <f ca="1">IFERROR(__xludf.DUMMYFUNCTION("""COMPUTED_VALUE"""),2007)</f>
        <v>2007</v>
      </c>
      <c r="R415" s="3"/>
      <c r="S415" s="3"/>
      <c r="T415" s="3"/>
      <c r="U415" s="3"/>
      <c r="V415" s="3"/>
      <c r="W415" s="3"/>
      <c r="X415" s="3"/>
    </row>
    <row r="416" spans="1:24" x14ac:dyDescent="0.2">
      <c r="A416" s="3"/>
      <c r="B416" s="3"/>
      <c r="C416" s="3"/>
      <c r="D416" s="3"/>
      <c r="E416" s="3"/>
      <c r="F416" s="3"/>
      <c r="G416" s="3"/>
      <c r="H416" s="3"/>
      <c r="I416" s="3"/>
      <c r="J416" s="3"/>
      <c r="K416" s="3"/>
      <c r="L416" s="5">
        <f ca="1">IFERROR(__xludf.DUMMYFUNCTION("""COMPUTED_VALUE"""),180)</f>
        <v>180</v>
      </c>
      <c r="M416" s="5">
        <f ca="1">IFERROR(__xludf.DUMMYFUNCTION("""COMPUTED_VALUE"""),181)</f>
        <v>181</v>
      </c>
      <c r="N416" s="3" t="str">
        <f ca="1">IFERROR(__xludf.DUMMYFUNCTION("""COMPUTED_VALUE""")," ")</f>
        <v xml:space="preserve"> </v>
      </c>
      <c r="O416" s="5">
        <f ca="1">IFERROR(__xludf.DUMMYFUNCTION("""COMPUTED_VALUE"""),911)</f>
        <v>911</v>
      </c>
      <c r="P416" s="3">
        <f ca="1">IFERROR(__xludf.DUMMYFUNCTION("""COMPUTED_VALUE"""),-44276)</f>
        <v>-44276</v>
      </c>
      <c r="Q416" s="5">
        <f ca="1">IFERROR(__xludf.DUMMYFUNCTION("""COMPUTED_VALUE"""),2007)</f>
        <v>2007</v>
      </c>
      <c r="R416" s="3"/>
      <c r="S416" s="3"/>
      <c r="T416" s="3"/>
      <c r="U416" s="3"/>
      <c r="V416" s="3"/>
      <c r="W416" s="3"/>
      <c r="X416" s="3"/>
    </row>
    <row r="417" spans="1:24" x14ac:dyDescent="0.2">
      <c r="A417" s="3"/>
      <c r="B417" s="3"/>
      <c r="C417" s="3"/>
      <c r="D417" s="3"/>
      <c r="E417" s="3"/>
      <c r="F417" s="3"/>
      <c r="G417" s="3"/>
      <c r="H417" s="3"/>
      <c r="I417" s="3"/>
      <c r="J417" s="3"/>
      <c r="K417" s="3"/>
      <c r="L417" s="5">
        <f ca="1">IFERROR(__xludf.DUMMYFUNCTION("""COMPUTED_VALUE"""),180)</f>
        <v>180</v>
      </c>
      <c r="M417" s="5">
        <f ca="1">IFERROR(__xludf.DUMMYFUNCTION("""COMPUTED_VALUE"""),181)</f>
        <v>181</v>
      </c>
      <c r="N417" s="3" t="str">
        <f ca="1">IFERROR(__xludf.DUMMYFUNCTION("""COMPUTED_VALUE""")," ")</f>
        <v xml:space="preserve"> </v>
      </c>
      <c r="O417" s="5">
        <f ca="1">IFERROR(__xludf.DUMMYFUNCTION("""COMPUTED_VALUE"""),911)</f>
        <v>911</v>
      </c>
      <c r="P417" s="3">
        <f ca="1">IFERROR(__xludf.DUMMYFUNCTION("""COMPUTED_VALUE"""),-44276)</f>
        <v>-44276</v>
      </c>
      <c r="Q417" s="5">
        <f ca="1">IFERROR(__xludf.DUMMYFUNCTION("""COMPUTED_VALUE"""),2007)</f>
        <v>2007</v>
      </c>
      <c r="R417" s="3"/>
      <c r="S417" s="3"/>
      <c r="T417" s="3"/>
      <c r="U417" s="3"/>
      <c r="V417" s="3"/>
      <c r="W417" s="3"/>
      <c r="X417" s="3"/>
    </row>
    <row r="418" spans="1:24" x14ac:dyDescent="0.2">
      <c r="A418" s="3"/>
      <c r="B418" s="3"/>
      <c r="C418" s="3"/>
      <c r="D418" s="3"/>
      <c r="E418" s="3"/>
      <c r="F418" s="3"/>
      <c r="G418" s="3"/>
      <c r="H418" s="3"/>
      <c r="I418" s="3"/>
      <c r="J418" s="3"/>
      <c r="K418" s="3"/>
      <c r="L418" s="5">
        <f ca="1">IFERROR(__xludf.DUMMYFUNCTION("""COMPUTED_VALUE"""),180)</f>
        <v>180</v>
      </c>
      <c r="M418" s="5">
        <f ca="1">IFERROR(__xludf.DUMMYFUNCTION("""COMPUTED_VALUE"""),181)</f>
        <v>181</v>
      </c>
      <c r="N418" s="3" t="str">
        <f ca="1">IFERROR(__xludf.DUMMYFUNCTION("""COMPUTED_VALUE""")," ")</f>
        <v xml:space="preserve"> </v>
      </c>
      <c r="O418" s="5">
        <f ca="1">IFERROR(__xludf.DUMMYFUNCTION("""COMPUTED_VALUE"""),911)</f>
        <v>911</v>
      </c>
      <c r="P418" s="3">
        <f ca="1">IFERROR(__xludf.DUMMYFUNCTION("""COMPUTED_VALUE"""),-44276)</f>
        <v>-44276</v>
      </c>
      <c r="Q418" s="5">
        <f ca="1">IFERROR(__xludf.DUMMYFUNCTION("""COMPUTED_VALUE"""),2007)</f>
        <v>2007</v>
      </c>
      <c r="R418" s="3"/>
      <c r="S418" s="3"/>
      <c r="T418" s="3"/>
      <c r="U418" s="3"/>
      <c r="V418" s="3"/>
      <c r="W418" s="3"/>
      <c r="X418" s="3"/>
    </row>
    <row r="419" spans="1:24" x14ac:dyDescent="0.2">
      <c r="A419" s="3"/>
      <c r="B419" s="3"/>
      <c r="C419" s="3"/>
      <c r="D419" s="3"/>
      <c r="E419" s="3"/>
      <c r="F419" s="3"/>
      <c r="G419" s="3"/>
      <c r="H419" s="3"/>
      <c r="I419" s="3"/>
      <c r="J419" s="3"/>
      <c r="K419" s="3"/>
      <c r="L419" s="5">
        <f ca="1">IFERROR(__xludf.DUMMYFUNCTION("""COMPUTED_VALUE"""),180)</f>
        <v>180</v>
      </c>
      <c r="M419" s="5">
        <f ca="1">IFERROR(__xludf.DUMMYFUNCTION("""COMPUTED_VALUE"""),181)</f>
        <v>181</v>
      </c>
      <c r="N419" s="3" t="str">
        <f ca="1">IFERROR(__xludf.DUMMYFUNCTION("""COMPUTED_VALUE""")," ")</f>
        <v xml:space="preserve"> </v>
      </c>
      <c r="O419" s="5">
        <f ca="1">IFERROR(__xludf.DUMMYFUNCTION("""COMPUTED_VALUE"""),911)</f>
        <v>911</v>
      </c>
      <c r="P419" s="3">
        <f ca="1">IFERROR(__xludf.DUMMYFUNCTION("""COMPUTED_VALUE"""),-44276)</f>
        <v>-44276</v>
      </c>
      <c r="Q419" s="5">
        <f ca="1">IFERROR(__xludf.DUMMYFUNCTION("""COMPUTED_VALUE"""),2007)</f>
        <v>2007</v>
      </c>
      <c r="R419" s="3"/>
      <c r="S419" s="3"/>
      <c r="T419" s="3"/>
      <c r="U419" s="3"/>
      <c r="V419" s="3"/>
      <c r="W419" s="3"/>
      <c r="X419" s="3"/>
    </row>
    <row r="420" spans="1:24" x14ac:dyDescent="0.2">
      <c r="A420" s="3"/>
      <c r="B420" s="3"/>
      <c r="C420" s="3"/>
      <c r="D420" s="3"/>
      <c r="E420" s="3"/>
      <c r="F420" s="3"/>
      <c r="G420" s="3"/>
      <c r="H420" s="3"/>
      <c r="I420" s="3"/>
      <c r="J420" s="3"/>
      <c r="K420" s="3"/>
      <c r="L420" s="5">
        <f ca="1">IFERROR(__xludf.DUMMYFUNCTION("""COMPUTED_VALUE"""),180)</f>
        <v>180</v>
      </c>
      <c r="M420" s="5">
        <f ca="1">IFERROR(__xludf.DUMMYFUNCTION("""COMPUTED_VALUE"""),181)</f>
        <v>181</v>
      </c>
      <c r="N420" s="3" t="str">
        <f ca="1">IFERROR(__xludf.DUMMYFUNCTION("""COMPUTED_VALUE""")," ")</f>
        <v xml:space="preserve"> </v>
      </c>
      <c r="O420" s="5">
        <f ca="1">IFERROR(__xludf.DUMMYFUNCTION("""COMPUTED_VALUE"""),911)</f>
        <v>911</v>
      </c>
      <c r="P420" s="3">
        <f ca="1">IFERROR(__xludf.DUMMYFUNCTION("""COMPUTED_VALUE"""),-44276)</f>
        <v>-44276</v>
      </c>
      <c r="Q420" s="5">
        <f ca="1">IFERROR(__xludf.DUMMYFUNCTION("""COMPUTED_VALUE"""),2007)</f>
        <v>2007</v>
      </c>
      <c r="R420" s="3"/>
      <c r="S420" s="3"/>
      <c r="T420" s="3"/>
      <c r="U420" s="3"/>
      <c r="V420" s="3"/>
      <c r="W420" s="3"/>
      <c r="X420" s="3"/>
    </row>
    <row r="421" spans="1:24" x14ac:dyDescent="0.2">
      <c r="A421" s="3"/>
      <c r="B421" s="3"/>
      <c r="C421" s="3"/>
      <c r="D421" s="3"/>
      <c r="E421" s="3"/>
      <c r="F421" s="3"/>
      <c r="G421" s="3"/>
      <c r="H421" s="3"/>
      <c r="I421" s="3"/>
      <c r="J421" s="3"/>
      <c r="K421" s="3"/>
      <c r="L421" s="5">
        <f ca="1">IFERROR(__xludf.DUMMYFUNCTION("""COMPUTED_VALUE"""),180)</f>
        <v>180</v>
      </c>
      <c r="M421" s="5">
        <f ca="1">IFERROR(__xludf.DUMMYFUNCTION("""COMPUTED_VALUE"""),181)</f>
        <v>181</v>
      </c>
      <c r="N421" s="3" t="str">
        <f ca="1">IFERROR(__xludf.DUMMYFUNCTION("""COMPUTED_VALUE""")," ")</f>
        <v xml:space="preserve"> </v>
      </c>
      <c r="O421" s="5">
        <f ca="1">IFERROR(__xludf.DUMMYFUNCTION("""COMPUTED_VALUE"""),911)</f>
        <v>911</v>
      </c>
      <c r="P421" s="3">
        <f ca="1">IFERROR(__xludf.DUMMYFUNCTION("""COMPUTED_VALUE"""),-44276)</f>
        <v>-44276</v>
      </c>
      <c r="Q421" s="5">
        <f ca="1">IFERROR(__xludf.DUMMYFUNCTION("""COMPUTED_VALUE"""),2007)</f>
        <v>2007</v>
      </c>
      <c r="R421" s="3"/>
      <c r="S421" s="3"/>
      <c r="T421" s="3"/>
      <c r="U421" s="3"/>
      <c r="V421" s="3"/>
      <c r="W421" s="3"/>
      <c r="X421" s="3"/>
    </row>
    <row r="422" spans="1:24" x14ac:dyDescent="0.2">
      <c r="A422" s="3"/>
      <c r="B422" s="3"/>
      <c r="C422" s="3"/>
      <c r="D422" s="3"/>
      <c r="E422" s="3"/>
      <c r="F422" s="3"/>
      <c r="G422" s="3"/>
      <c r="H422" s="3"/>
      <c r="I422" s="3"/>
      <c r="J422" s="3"/>
      <c r="K422" s="3"/>
      <c r="L422" s="5">
        <f ca="1">IFERROR(__xludf.DUMMYFUNCTION("""COMPUTED_VALUE"""),180)</f>
        <v>180</v>
      </c>
      <c r="M422" s="5">
        <f ca="1">IFERROR(__xludf.DUMMYFUNCTION("""COMPUTED_VALUE"""),181)</f>
        <v>181</v>
      </c>
      <c r="N422" s="3" t="str">
        <f ca="1">IFERROR(__xludf.DUMMYFUNCTION("""COMPUTED_VALUE""")," ")</f>
        <v xml:space="preserve"> </v>
      </c>
      <c r="O422" s="5">
        <f ca="1">IFERROR(__xludf.DUMMYFUNCTION("""COMPUTED_VALUE"""),911)</f>
        <v>911</v>
      </c>
      <c r="P422" s="3">
        <f ca="1">IFERROR(__xludf.DUMMYFUNCTION("""COMPUTED_VALUE"""),-44276)</f>
        <v>-44276</v>
      </c>
      <c r="Q422" s="5">
        <f ca="1">IFERROR(__xludf.DUMMYFUNCTION("""COMPUTED_VALUE"""),2007)</f>
        <v>2007</v>
      </c>
      <c r="R422" s="3"/>
      <c r="S422" s="3"/>
      <c r="T422" s="3"/>
      <c r="U422" s="3"/>
      <c r="V422" s="3"/>
      <c r="W422" s="3"/>
      <c r="X422" s="3"/>
    </row>
    <row r="423" spans="1:24" x14ac:dyDescent="0.2">
      <c r="A423" s="3"/>
      <c r="B423" s="3"/>
      <c r="C423" s="3"/>
      <c r="D423" s="3"/>
      <c r="E423" s="3"/>
      <c r="F423" s="3"/>
      <c r="G423" s="3"/>
      <c r="H423" s="3"/>
      <c r="I423" s="3"/>
      <c r="J423" s="3"/>
      <c r="K423" s="3"/>
      <c r="L423" s="5">
        <f ca="1">IFERROR(__xludf.DUMMYFUNCTION("""COMPUTED_VALUE"""),180)</f>
        <v>180</v>
      </c>
      <c r="M423" s="5">
        <f ca="1">IFERROR(__xludf.DUMMYFUNCTION("""COMPUTED_VALUE"""),181)</f>
        <v>181</v>
      </c>
      <c r="N423" s="3" t="str">
        <f ca="1">IFERROR(__xludf.DUMMYFUNCTION("""COMPUTED_VALUE""")," ")</f>
        <v xml:space="preserve"> </v>
      </c>
      <c r="O423" s="5">
        <f ca="1">IFERROR(__xludf.DUMMYFUNCTION("""COMPUTED_VALUE"""),911)</f>
        <v>911</v>
      </c>
      <c r="P423" s="3">
        <f ca="1">IFERROR(__xludf.DUMMYFUNCTION("""COMPUTED_VALUE"""),-44276)</f>
        <v>-44276</v>
      </c>
      <c r="Q423" s="5">
        <f ca="1">IFERROR(__xludf.DUMMYFUNCTION("""COMPUTED_VALUE"""),2007)</f>
        <v>2007</v>
      </c>
      <c r="R423" s="3"/>
      <c r="S423" s="3"/>
      <c r="T423" s="3"/>
      <c r="U423" s="3"/>
      <c r="V423" s="3"/>
      <c r="W423" s="3"/>
      <c r="X423" s="3"/>
    </row>
    <row r="424" spans="1:24" x14ac:dyDescent="0.2">
      <c r="A424" s="3"/>
      <c r="B424" s="3"/>
      <c r="C424" s="3"/>
      <c r="D424" s="3"/>
      <c r="E424" s="3"/>
      <c r="F424" s="3"/>
      <c r="G424" s="3"/>
      <c r="H424" s="3"/>
      <c r="I424" s="3"/>
      <c r="J424" s="3"/>
      <c r="K424" s="3"/>
      <c r="L424" s="5">
        <f ca="1">IFERROR(__xludf.DUMMYFUNCTION("""COMPUTED_VALUE"""),180)</f>
        <v>180</v>
      </c>
      <c r="M424" s="5">
        <f ca="1">IFERROR(__xludf.DUMMYFUNCTION("""COMPUTED_VALUE"""),181)</f>
        <v>181</v>
      </c>
      <c r="N424" s="3" t="str">
        <f ca="1">IFERROR(__xludf.DUMMYFUNCTION("""COMPUTED_VALUE""")," ")</f>
        <v xml:space="preserve"> </v>
      </c>
      <c r="O424" s="5">
        <f ca="1">IFERROR(__xludf.DUMMYFUNCTION("""COMPUTED_VALUE"""),911)</f>
        <v>911</v>
      </c>
      <c r="P424" s="3">
        <f ca="1">IFERROR(__xludf.DUMMYFUNCTION("""COMPUTED_VALUE"""),-44276)</f>
        <v>-44276</v>
      </c>
      <c r="Q424" s="5">
        <f ca="1">IFERROR(__xludf.DUMMYFUNCTION("""COMPUTED_VALUE"""),2007)</f>
        <v>2007</v>
      </c>
      <c r="R424" s="3"/>
      <c r="S424" s="3"/>
      <c r="T424" s="3"/>
      <c r="U424" s="3"/>
      <c r="V424" s="3"/>
      <c r="W424" s="3"/>
      <c r="X424" s="3"/>
    </row>
    <row r="425" spans="1:24" x14ac:dyDescent="0.2">
      <c r="A425" s="3"/>
      <c r="B425" s="3"/>
      <c r="C425" s="3"/>
      <c r="D425" s="3"/>
      <c r="E425" s="3"/>
      <c r="F425" s="3"/>
      <c r="G425" s="3"/>
      <c r="H425" s="3"/>
      <c r="I425" s="3"/>
      <c r="J425" s="3"/>
      <c r="K425" s="3"/>
      <c r="L425" s="5">
        <f ca="1">IFERROR(__xludf.DUMMYFUNCTION("""COMPUTED_VALUE"""),180)</f>
        <v>180</v>
      </c>
      <c r="M425" s="5">
        <f ca="1">IFERROR(__xludf.DUMMYFUNCTION("""COMPUTED_VALUE"""),181)</f>
        <v>181</v>
      </c>
      <c r="N425" s="3" t="str">
        <f ca="1">IFERROR(__xludf.DUMMYFUNCTION("""COMPUTED_VALUE""")," ")</f>
        <v xml:space="preserve"> </v>
      </c>
      <c r="O425" s="5">
        <f ca="1">IFERROR(__xludf.DUMMYFUNCTION("""COMPUTED_VALUE"""),911)</f>
        <v>911</v>
      </c>
      <c r="P425" s="3">
        <f ca="1">IFERROR(__xludf.DUMMYFUNCTION("""COMPUTED_VALUE"""),-44276)</f>
        <v>-44276</v>
      </c>
      <c r="Q425" s="5">
        <f ca="1">IFERROR(__xludf.DUMMYFUNCTION("""COMPUTED_VALUE"""),2007)</f>
        <v>2007</v>
      </c>
      <c r="R425" s="3"/>
      <c r="S425" s="3"/>
      <c r="T425" s="3"/>
      <c r="U425" s="3"/>
      <c r="V425" s="3"/>
      <c r="W425" s="3"/>
      <c r="X425" s="3"/>
    </row>
    <row r="426" spans="1:24" x14ac:dyDescent="0.2">
      <c r="A426" s="3"/>
      <c r="B426" s="3"/>
      <c r="C426" s="3"/>
      <c r="D426" s="3"/>
      <c r="E426" s="3"/>
      <c r="F426" s="3"/>
      <c r="G426" s="3"/>
      <c r="H426" s="3"/>
      <c r="I426" s="3"/>
      <c r="J426" s="3"/>
      <c r="K426" s="3"/>
      <c r="L426" s="5">
        <f ca="1">IFERROR(__xludf.DUMMYFUNCTION("""COMPUTED_VALUE"""),180)</f>
        <v>180</v>
      </c>
      <c r="M426" s="5">
        <f ca="1">IFERROR(__xludf.DUMMYFUNCTION("""COMPUTED_VALUE"""),181)</f>
        <v>181</v>
      </c>
      <c r="N426" s="3" t="str">
        <f ca="1">IFERROR(__xludf.DUMMYFUNCTION("""COMPUTED_VALUE""")," ")</f>
        <v xml:space="preserve"> </v>
      </c>
      <c r="O426" s="5">
        <f ca="1">IFERROR(__xludf.DUMMYFUNCTION("""COMPUTED_VALUE"""),911)</f>
        <v>911</v>
      </c>
      <c r="P426" s="3">
        <f ca="1">IFERROR(__xludf.DUMMYFUNCTION("""COMPUTED_VALUE"""),-44276)</f>
        <v>-44276</v>
      </c>
      <c r="Q426" s="5">
        <f ca="1">IFERROR(__xludf.DUMMYFUNCTION("""COMPUTED_VALUE"""),2007)</f>
        <v>2007</v>
      </c>
      <c r="R426" s="3"/>
      <c r="S426" s="3"/>
      <c r="T426" s="3"/>
      <c r="U426" s="3"/>
      <c r="V426" s="3"/>
      <c r="W426" s="3"/>
      <c r="X426" s="3"/>
    </row>
    <row r="427" spans="1:24" x14ac:dyDescent="0.2">
      <c r="A427" s="3"/>
      <c r="B427" s="3"/>
      <c r="C427" s="3"/>
      <c r="D427" s="3"/>
      <c r="E427" s="3"/>
      <c r="F427" s="3"/>
      <c r="G427" s="3"/>
      <c r="H427" s="3"/>
      <c r="I427" s="3"/>
      <c r="J427" s="3"/>
      <c r="K427" s="3"/>
      <c r="L427" s="5">
        <f ca="1">IFERROR(__xludf.DUMMYFUNCTION("""COMPUTED_VALUE"""),180)</f>
        <v>180</v>
      </c>
      <c r="M427" s="5">
        <f ca="1">IFERROR(__xludf.DUMMYFUNCTION("""COMPUTED_VALUE"""),181)</f>
        <v>181</v>
      </c>
      <c r="N427" s="3" t="str">
        <f ca="1">IFERROR(__xludf.DUMMYFUNCTION("""COMPUTED_VALUE""")," ")</f>
        <v xml:space="preserve"> </v>
      </c>
      <c r="O427" s="5">
        <f ca="1">IFERROR(__xludf.DUMMYFUNCTION("""COMPUTED_VALUE"""),911)</f>
        <v>911</v>
      </c>
      <c r="P427" s="3">
        <f ca="1">IFERROR(__xludf.DUMMYFUNCTION("""COMPUTED_VALUE"""),-44276)</f>
        <v>-44276</v>
      </c>
      <c r="Q427" s="5">
        <f ca="1">IFERROR(__xludf.DUMMYFUNCTION("""COMPUTED_VALUE"""),2007)</f>
        <v>2007</v>
      </c>
      <c r="R427" s="3"/>
      <c r="S427" s="3"/>
      <c r="T427" s="3"/>
      <c r="U427" s="3"/>
      <c r="V427" s="3"/>
      <c r="W427" s="3"/>
      <c r="X427" s="3"/>
    </row>
    <row r="428" spans="1:24" x14ac:dyDescent="0.2">
      <c r="A428" s="3"/>
      <c r="B428" s="3"/>
      <c r="C428" s="3"/>
      <c r="D428" s="3"/>
      <c r="E428" s="3"/>
      <c r="F428" s="3"/>
      <c r="G428" s="3"/>
      <c r="H428" s="3"/>
      <c r="I428" s="3"/>
      <c r="J428" s="3"/>
      <c r="K428" s="3"/>
      <c r="L428" s="5">
        <f ca="1">IFERROR(__xludf.DUMMYFUNCTION("""COMPUTED_VALUE"""),180)</f>
        <v>180</v>
      </c>
      <c r="M428" s="5">
        <f ca="1">IFERROR(__xludf.DUMMYFUNCTION("""COMPUTED_VALUE"""),181)</f>
        <v>181</v>
      </c>
      <c r="N428" s="3" t="str">
        <f ca="1">IFERROR(__xludf.DUMMYFUNCTION("""COMPUTED_VALUE""")," ")</f>
        <v xml:space="preserve"> </v>
      </c>
      <c r="O428" s="5">
        <f ca="1">IFERROR(__xludf.DUMMYFUNCTION("""COMPUTED_VALUE"""),911)</f>
        <v>911</v>
      </c>
      <c r="P428" s="3">
        <f ca="1">IFERROR(__xludf.DUMMYFUNCTION("""COMPUTED_VALUE"""),-44276)</f>
        <v>-44276</v>
      </c>
      <c r="Q428" s="5">
        <f ca="1">IFERROR(__xludf.DUMMYFUNCTION("""COMPUTED_VALUE"""),2007)</f>
        <v>2007</v>
      </c>
      <c r="R428" s="3"/>
      <c r="S428" s="3"/>
      <c r="T428" s="3"/>
      <c r="U428" s="3"/>
      <c r="V428" s="3"/>
      <c r="W428" s="3"/>
      <c r="X428" s="3"/>
    </row>
    <row r="429" spans="1:24" x14ac:dyDescent="0.2">
      <c r="A429" s="3"/>
      <c r="B429" s="3"/>
      <c r="C429" s="3"/>
      <c r="D429" s="3"/>
      <c r="E429" s="3"/>
      <c r="F429" s="3"/>
      <c r="G429" s="3"/>
      <c r="H429" s="3"/>
      <c r="I429" s="3"/>
      <c r="J429" s="3"/>
      <c r="K429" s="3"/>
      <c r="L429" s="5">
        <f ca="1">IFERROR(__xludf.DUMMYFUNCTION("""COMPUTED_VALUE"""),180)</f>
        <v>180</v>
      </c>
      <c r="M429" s="5">
        <f ca="1">IFERROR(__xludf.DUMMYFUNCTION("""COMPUTED_VALUE"""),181)</f>
        <v>181</v>
      </c>
      <c r="N429" s="3" t="str">
        <f ca="1">IFERROR(__xludf.DUMMYFUNCTION("""COMPUTED_VALUE""")," ")</f>
        <v xml:space="preserve"> </v>
      </c>
      <c r="O429" s="5">
        <f ca="1">IFERROR(__xludf.DUMMYFUNCTION("""COMPUTED_VALUE"""),911)</f>
        <v>911</v>
      </c>
      <c r="P429" s="3">
        <f ca="1">IFERROR(__xludf.DUMMYFUNCTION("""COMPUTED_VALUE"""),-44276)</f>
        <v>-44276</v>
      </c>
      <c r="Q429" s="5">
        <f ca="1">IFERROR(__xludf.DUMMYFUNCTION("""COMPUTED_VALUE"""),2007)</f>
        <v>2007</v>
      </c>
      <c r="R429" s="3"/>
      <c r="S429" s="3"/>
      <c r="T429" s="3"/>
      <c r="U429" s="3"/>
      <c r="V429" s="3"/>
      <c r="W429" s="3"/>
      <c r="X429" s="3"/>
    </row>
    <row r="430" spans="1:24" x14ac:dyDescent="0.2">
      <c r="A430" s="3"/>
      <c r="B430" s="3"/>
      <c r="C430" s="3"/>
      <c r="D430" s="3"/>
      <c r="E430" s="3"/>
      <c r="F430" s="3"/>
      <c r="G430" s="3"/>
      <c r="H430" s="3"/>
      <c r="I430" s="3"/>
      <c r="J430" s="3"/>
      <c r="K430" s="3"/>
      <c r="L430" s="5">
        <f ca="1">IFERROR(__xludf.DUMMYFUNCTION("""COMPUTED_VALUE"""),180)</f>
        <v>180</v>
      </c>
      <c r="M430" s="5">
        <f ca="1">IFERROR(__xludf.DUMMYFUNCTION("""COMPUTED_VALUE"""),181)</f>
        <v>181</v>
      </c>
      <c r="N430" s="3" t="str">
        <f ca="1">IFERROR(__xludf.DUMMYFUNCTION("""COMPUTED_VALUE""")," ")</f>
        <v xml:space="preserve"> </v>
      </c>
      <c r="O430" s="5">
        <f ca="1">IFERROR(__xludf.DUMMYFUNCTION("""COMPUTED_VALUE"""),911)</f>
        <v>911</v>
      </c>
      <c r="P430" s="3">
        <f ca="1">IFERROR(__xludf.DUMMYFUNCTION("""COMPUTED_VALUE"""),-44276)</f>
        <v>-44276</v>
      </c>
      <c r="Q430" s="5">
        <f ca="1">IFERROR(__xludf.DUMMYFUNCTION("""COMPUTED_VALUE"""),2007)</f>
        <v>2007</v>
      </c>
      <c r="R430" s="3"/>
      <c r="S430" s="3"/>
      <c r="T430" s="3"/>
      <c r="U430" s="3"/>
      <c r="V430" s="3"/>
      <c r="W430" s="3"/>
      <c r="X430" s="3"/>
    </row>
    <row r="431" spans="1:24" x14ac:dyDescent="0.2">
      <c r="A431" s="3"/>
      <c r="B431" s="3"/>
      <c r="C431" s="3"/>
      <c r="D431" s="3"/>
      <c r="E431" s="3"/>
      <c r="F431" s="3"/>
      <c r="G431" s="3"/>
      <c r="H431" s="3"/>
      <c r="I431" s="3"/>
      <c r="J431" s="3"/>
      <c r="K431" s="3"/>
      <c r="L431" s="5">
        <f ca="1">IFERROR(__xludf.DUMMYFUNCTION("""COMPUTED_VALUE"""),180)</f>
        <v>180</v>
      </c>
      <c r="M431" s="5">
        <f ca="1">IFERROR(__xludf.DUMMYFUNCTION("""COMPUTED_VALUE"""),181)</f>
        <v>181</v>
      </c>
      <c r="N431" s="3" t="str">
        <f ca="1">IFERROR(__xludf.DUMMYFUNCTION("""COMPUTED_VALUE""")," ")</f>
        <v xml:space="preserve"> </v>
      </c>
      <c r="O431" s="5">
        <f ca="1">IFERROR(__xludf.DUMMYFUNCTION("""COMPUTED_VALUE"""),911)</f>
        <v>911</v>
      </c>
      <c r="P431" s="3">
        <f ca="1">IFERROR(__xludf.DUMMYFUNCTION("""COMPUTED_VALUE"""),-44276)</f>
        <v>-44276</v>
      </c>
      <c r="Q431" s="5">
        <f ca="1">IFERROR(__xludf.DUMMYFUNCTION("""COMPUTED_VALUE"""),2007)</f>
        <v>2007</v>
      </c>
      <c r="R431" s="3"/>
      <c r="S431" s="3"/>
      <c r="T431" s="3"/>
      <c r="U431" s="3"/>
      <c r="V431" s="3"/>
      <c r="W431" s="3"/>
      <c r="X431" s="3"/>
    </row>
    <row r="432" spans="1:24" x14ac:dyDescent="0.2">
      <c r="A432" s="3"/>
      <c r="B432" s="3"/>
      <c r="C432" s="3"/>
      <c r="D432" s="3"/>
      <c r="E432" s="3"/>
      <c r="F432" s="3"/>
      <c r="G432" s="3"/>
      <c r="H432" s="3"/>
      <c r="I432" s="3"/>
      <c r="J432" s="3"/>
      <c r="K432" s="3"/>
      <c r="L432" s="5">
        <f ca="1">IFERROR(__xludf.DUMMYFUNCTION("""COMPUTED_VALUE"""),180)</f>
        <v>180</v>
      </c>
      <c r="M432" s="5">
        <f ca="1">IFERROR(__xludf.DUMMYFUNCTION("""COMPUTED_VALUE"""),181)</f>
        <v>181</v>
      </c>
      <c r="N432" s="3" t="str">
        <f ca="1">IFERROR(__xludf.DUMMYFUNCTION("""COMPUTED_VALUE""")," ")</f>
        <v xml:space="preserve"> </v>
      </c>
      <c r="O432" s="5">
        <f ca="1">IFERROR(__xludf.DUMMYFUNCTION("""COMPUTED_VALUE"""),911)</f>
        <v>911</v>
      </c>
      <c r="P432" s="3">
        <f ca="1">IFERROR(__xludf.DUMMYFUNCTION("""COMPUTED_VALUE"""),-44276)</f>
        <v>-44276</v>
      </c>
      <c r="Q432" s="5">
        <f ca="1">IFERROR(__xludf.DUMMYFUNCTION("""COMPUTED_VALUE"""),2007)</f>
        <v>2007</v>
      </c>
      <c r="R432" s="3"/>
      <c r="S432" s="3"/>
      <c r="T432" s="3"/>
      <c r="U432" s="3"/>
      <c r="V432" s="3"/>
      <c r="W432" s="3"/>
      <c r="X432" s="3"/>
    </row>
    <row r="433" spans="1:24" x14ac:dyDescent="0.2">
      <c r="A433" s="3"/>
      <c r="B433" s="3"/>
      <c r="C433" s="3"/>
      <c r="D433" s="3"/>
      <c r="E433" s="3"/>
      <c r="F433" s="3"/>
      <c r="G433" s="3"/>
      <c r="H433" s="3"/>
      <c r="I433" s="3"/>
      <c r="J433" s="3"/>
      <c r="K433" s="3"/>
      <c r="L433" s="5">
        <f ca="1">IFERROR(__xludf.DUMMYFUNCTION("""COMPUTED_VALUE"""),180)</f>
        <v>180</v>
      </c>
      <c r="M433" s="5">
        <f ca="1">IFERROR(__xludf.DUMMYFUNCTION("""COMPUTED_VALUE"""),181)</f>
        <v>181</v>
      </c>
      <c r="N433" s="3" t="str">
        <f ca="1">IFERROR(__xludf.DUMMYFUNCTION("""COMPUTED_VALUE""")," ")</f>
        <v xml:space="preserve"> </v>
      </c>
      <c r="O433" s="5">
        <f ca="1">IFERROR(__xludf.DUMMYFUNCTION("""COMPUTED_VALUE"""),911)</f>
        <v>911</v>
      </c>
      <c r="P433" s="3">
        <f ca="1">IFERROR(__xludf.DUMMYFUNCTION("""COMPUTED_VALUE"""),-44276)</f>
        <v>-44276</v>
      </c>
      <c r="Q433" s="5">
        <f ca="1">IFERROR(__xludf.DUMMYFUNCTION("""COMPUTED_VALUE"""),2007)</f>
        <v>2007</v>
      </c>
      <c r="R433" s="3"/>
      <c r="S433" s="3"/>
      <c r="T433" s="3"/>
      <c r="U433" s="3"/>
      <c r="V433" s="3"/>
      <c r="W433" s="3"/>
      <c r="X433" s="3"/>
    </row>
    <row r="434" spans="1:24" x14ac:dyDescent="0.2">
      <c r="A434" s="3"/>
      <c r="B434" s="3"/>
      <c r="C434" s="3"/>
      <c r="D434" s="3"/>
      <c r="E434" s="3"/>
      <c r="F434" s="3"/>
      <c r="G434" s="3"/>
      <c r="H434" s="3"/>
      <c r="I434" s="3"/>
      <c r="J434" s="3"/>
      <c r="K434" s="3"/>
      <c r="L434" s="5">
        <f ca="1">IFERROR(__xludf.DUMMYFUNCTION("""COMPUTED_VALUE"""),180)</f>
        <v>180</v>
      </c>
      <c r="M434" s="5">
        <f ca="1">IFERROR(__xludf.DUMMYFUNCTION("""COMPUTED_VALUE"""),181)</f>
        <v>181</v>
      </c>
      <c r="N434" s="3" t="str">
        <f ca="1">IFERROR(__xludf.DUMMYFUNCTION("""COMPUTED_VALUE""")," ")</f>
        <v xml:space="preserve"> </v>
      </c>
      <c r="O434" s="5">
        <f ca="1">IFERROR(__xludf.DUMMYFUNCTION("""COMPUTED_VALUE"""),911)</f>
        <v>911</v>
      </c>
      <c r="P434" s="3">
        <f ca="1">IFERROR(__xludf.DUMMYFUNCTION("""COMPUTED_VALUE"""),-44276)</f>
        <v>-44276</v>
      </c>
      <c r="Q434" s="5">
        <f ca="1">IFERROR(__xludf.DUMMYFUNCTION("""COMPUTED_VALUE"""),2007)</f>
        <v>2007</v>
      </c>
      <c r="R434" s="3"/>
      <c r="S434" s="3"/>
      <c r="T434" s="3"/>
      <c r="U434" s="3"/>
      <c r="V434" s="3"/>
      <c r="W434" s="3"/>
      <c r="X434" s="3"/>
    </row>
    <row r="435" spans="1:24" x14ac:dyDescent="0.2">
      <c r="A435" s="3"/>
      <c r="B435" s="3"/>
      <c r="C435" s="3"/>
      <c r="D435" s="3"/>
      <c r="E435" s="3"/>
      <c r="F435" s="3"/>
      <c r="G435" s="3"/>
      <c r="H435" s="3"/>
      <c r="I435" s="3"/>
      <c r="J435" s="3"/>
      <c r="K435" s="3"/>
      <c r="L435" s="5">
        <f ca="1">IFERROR(__xludf.DUMMYFUNCTION("""COMPUTED_VALUE"""),180)</f>
        <v>180</v>
      </c>
      <c r="M435" s="5">
        <f ca="1">IFERROR(__xludf.DUMMYFUNCTION("""COMPUTED_VALUE"""),181)</f>
        <v>181</v>
      </c>
      <c r="N435" s="3" t="str">
        <f ca="1">IFERROR(__xludf.DUMMYFUNCTION("""COMPUTED_VALUE""")," ")</f>
        <v xml:space="preserve"> </v>
      </c>
      <c r="O435" s="5">
        <f ca="1">IFERROR(__xludf.DUMMYFUNCTION("""COMPUTED_VALUE"""),911)</f>
        <v>911</v>
      </c>
      <c r="P435" s="3">
        <f ca="1">IFERROR(__xludf.DUMMYFUNCTION("""COMPUTED_VALUE"""),-44276)</f>
        <v>-44276</v>
      </c>
      <c r="Q435" s="5">
        <f ca="1">IFERROR(__xludf.DUMMYFUNCTION("""COMPUTED_VALUE"""),2007)</f>
        <v>2007</v>
      </c>
      <c r="R435" s="3"/>
      <c r="S435" s="3"/>
      <c r="T435" s="3"/>
      <c r="U435" s="3"/>
      <c r="V435" s="3"/>
      <c r="W435" s="3"/>
      <c r="X435" s="3"/>
    </row>
    <row r="436" spans="1:24" x14ac:dyDescent="0.2">
      <c r="A436" s="3"/>
      <c r="B436" s="3"/>
      <c r="C436" s="3"/>
      <c r="D436" s="3"/>
      <c r="E436" s="3"/>
      <c r="F436" s="3"/>
      <c r="G436" s="3"/>
      <c r="H436" s="3"/>
      <c r="I436" s="3"/>
      <c r="J436" s="3"/>
      <c r="K436" s="3"/>
      <c r="L436" s="5">
        <f ca="1">IFERROR(__xludf.DUMMYFUNCTION("""COMPUTED_VALUE"""),180)</f>
        <v>180</v>
      </c>
      <c r="M436" s="5">
        <f ca="1">IFERROR(__xludf.DUMMYFUNCTION("""COMPUTED_VALUE"""),181)</f>
        <v>181</v>
      </c>
      <c r="N436" s="3" t="str">
        <f ca="1">IFERROR(__xludf.DUMMYFUNCTION("""COMPUTED_VALUE""")," ")</f>
        <v xml:space="preserve"> </v>
      </c>
      <c r="O436" s="5">
        <f ca="1">IFERROR(__xludf.DUMMYFUNCTION("""COMPUTED_VALUE"""),911)</f>
        <v>911</v>
      </c>
      <c r="P436" s="3">
        <f ca="1">IFERROR(__xludf.DUMMYFUNCTION("""COMPUTED_VALUE"""),-44276)</f>
        <v>-44276</v>
      </c>
      <c r="Q436" s="5">
        <f ca="1">IFERROR(__xludf.DUMMYFUNCTION("""COMPUTED_VALUE"""),2007)</f>
        <v>2007</v>
      </c>
      <c r="R436" s="3"/>
      <c r="S436" s="3"/>
      <c r="T436" s="3"/>
      <c r="U436" s="3"/>
      <c r="V436" s="3"/>
      <c r="W436" s="3"/>
      <c r="X436" s="3"/>
    </row>
    <row r="437" spans="1:24" x14ac:dyDescent="0.2">
      <c r="A437" s="3"/>
      <c r="B437" s="3"/>
      <c r="C437" s="3"/>
      <c r="D437" s="3"/>
      <c r="E437" s="3"/>
      <c r="F437" s="3"/>
      <c r="G437" s="3"/>
      <c r="H437" s="3"/>
      <c r="I437" s="3"/>
      <c r="J437" s="3"/>
      <c r="K437" s="3"/>
      <c r="L437" s="5">
        <f ca="1">IFERROR(__xludf.DUMMYFUNCTION("""COMPUTED_VALUE"""),180)</f>
        <v>180</v>
      </c>
      <c r="M437" s="5">
        <f ca="1">IFERROR(__xludf.DUMMYFUNCTION("""COMPUTED_VALUE"""),181)</f>
        <v>181</v>
      </c>
      <c r="N437" s="3" t="str">
        <f ca="1">IFERROR(__xludf.DUMMYFUNCTION("""COMPUTED_VALUE""")," ")</f>
        <v xml:space="preserve"> </v>
      </c>
      <c r="O437" s="5">
        <f ca="1">IFERROR(__xludf.DUMMYFUNCTION("""COMPUTED_VALUE"""),911)</f>
        <v>911</v>
      </c>
      <c r="P437" s="3">
        <f ca="1">IFERROR(__xludf.DUMMYFUNCTION("""COMPUTED_VALUE"""),-44276)</f>
        <v>-44276</v>
      </c>
      <c r="Q437" s="5">
        <f ca="1">IFERROR(__xludf.DUMMYFUNCTION("""COMPUTED_VALUE"""),2007)</f>
        <v>2007</v>
      </c>
      <c r="R437" s="3"/>
      <c r="S437" s="3"/>
      <c r="T437" s="3"/>
      <c r="U437" s="3"/>
      <c r="V437" s="3"/>
      <c r="W437" s="3"/>
      <c r="X437" s="3"/>
    </row>
    <row r="438" spans="1:24" x14ac:dyDescent="0.2">
      <c r="A438" s="3"/>
      <c r="B438" s="3"/>
      <c r="C438" s="3"/>
      <c r="D438" s="3"/>
      <c r="E438" s="3"/>
      <c r="F438" s="3"/>
      <c r="G438" s="3"/>
      <c r="H438" s="3"/>
      <c r="I438" s="3"/>
      <c r="J438" s="3"/>
      <c r="K438" s="3"/>
      <c r="L438" s="5">
        <f ca="1">IFERROR(__xludf.DUMMYFUNCTION("""COMPUTED_VALUE"""),180)</f>
        <v>180</v>
      </c>
      <c r="M438" s="5">
        <f ca="1">IFERROR(__xludf.DUMMYFUNCTION("""COMPUTED_VALUE"""),181)</f>
        <v>181</v>
      </c>
      <c r="N438" s="3" t="str">
        <f ca="1">IFERROR(__xludf.DUMMYFUNCTION("""COMPUTED_VALUE""")," ")</f>
        <v xml:space="preserve"> </v>
      </c>
      <c r="O438" s="5">
        <f ca="1">IFERROR(__xludf.DUMMYFUNCTION("""COMPUTED_VALUE"""),911)</f>
        <v>911</v>
      </c>
      <c r="P438" s="3">
        <f ca="1">IFERROR(__xludf.DUMMYFUNCTION("""COMPUTED_VALUE"""),-44276)</f>
        <v>-44276</v>
      </c>
      <c r="Q438" s="5">
        <f ca="1">IFERROR(__xludf.DUMMYFUNCTION("""COMPUTED_VALUE"""),2007)</f>
        <v>2007</v>
      </c>
      <c r="R438" s="3"/>
      <c r="S438" s="3"/>
      <c r="T438" s="3"/>
      <c r="U438" s="3"/>
      <c r="V438" s="3"/>
      <c r="W438" s="3"/>
      <c r="X438" s="3"/>
    </row>
    <row r="439" spans="1:24" x14ac:dyDescent="0.2">
      <c r="A439" s="3"/>
      <c r="B439" s="3"/>
      <c r="C439" s="3"/>
      <c r="D439" s="3"/>
      <c r="E439" s="3"/>
      <c r="F439" s="3"/>
      <c r="G439" s="3"/>
      <c r="H439" s="3"/>
      <c r="I439" s="3"/>
      <c r="J439" s="3"/>
      <c r="K439" s="3"/>
      <c r="L439" s="5">
        <f ca="1">IFERROR(__xludf.DUMMYFUNCTION("""COMPUTED_VALUE"""),180)</f>
        <v>180</v>
      </c>
      <c r="M439" s="5">
        <f ca="1">IFERROR(__xludf.DUMMYFUNCTION("""COMPUTED_VALUE"""),181)</f>
        <v>181</v>
      </c>
      <c r="N439" s="3" t="str">
        <f ca="1">IFERROR(__xludf.DUMMYFUNCTION("""COMPUTED_VALUE""")," ")</f>
        <v xml:space="preserve"> </v>
      </c>
      <c r="O439" s="5">
        <f ca="1">IFERROR(__xludf.DUMMYFUNCTION("""COMPUTED_VALUE"""),911)</f>
        <v>911</v>
      </c>
      <c r="P439" s="3">
        <f ca="1">IFERROR(__xludf.DUMMYFUNCTION("""COMPUTED_VALUE"""),-44276)</f>
        <v>-44276</v>
      </c>
      <c r="Q439" s="5">
        <f ca="1">IFERROR(__xludf.DUMMYFUNCTION("""COMPUTED_VALUE"""),2007)</f>
        <v>2007</v>
      </c>
      <c r="R439" s="3"/>
      <c r="S439" s="3"/>
      <c r="T439" s="3"/>
      <c r="U439" s="3"/>
      <c r="V439" s="3"/>
      <c r="W439" s="3"/>
      <c r="X439" s="3"/>
    </row>
    <row r="440" spans="1:24" x14ac:dyDescent="0.2">
      <c r="A440" s="3"/>
      <c r="B440" s="3"/>
      <c r="C440" s="3"/>
      <c r="D440" s="3"/>
      <c r="E440" s="3"/>
      <c r="F440" s="3"/>
      <c r="G440" s="3"/>
      <c r="H440" s="3"/>
      <c r="I440" s="3"/>
      <c r="J440" s="3"/>
      <c r="K440" s="3"/>
      <c r="L440" s="5">
        <f ca="1">IFERROR(__xludf.DUMMYFUNCTION("""COMPUTED_VALUE"""),180)</f>
        <v>180</v>
      </c>
      <c r="M440" s="5">
        <f ca="1">IFERROR(__xludf.DUMMYFUNCTION("""COMPUTED_VALUE"""),181)</f>
        <v>181</v>
      </c>
      <c r="N440" s="3" t="str">
        <f ca="1">IFERROR(__xludf.DUMMYFUNCTION("""COMPUTED_VALUE""")," ")</f>
        <v xml:space="preserve"> </v>
      </c>
      <c r="O440" s="5">
        <f ca="1">IFERROR(__xludf.DUMMYFUNCTION("""COMPUTED_VALUE"""),911)</f>
        <v>911</v>
      </c>
      <c r="P440" s="3">
        <f ca="1">IFERROR(__xludf.DUMMYFUNCTION("""COMPUTED_VALUE"""),-44276)</f>
        <v>-44276</v>
      </c>
      <c r="Q440" s="5">
        <f ca="1">IFERROR(__xludf.DUMMYFUNCTION("""COMPUTED_VALUE"""),2007)</f>
        <v>2007</v>
      </c>
      <c r="R440" s="3"/>
      <c r="S440" s="3"/>
      <c r="T440" s="3"/>
      <c r="U440" s="3"/>
      <c r="V440" s="3"/>
      <c r="W440" s="3"/>
      <c r="X440" s="3"/>
    </row>
    <row r="441" spans="1:24" x14ac:dyDescent="0.2">
      <c r="A441" s="3"/>
      <c r="B441" s="3"/>
      <c r="C441" s="3"/>
      <c r="D441" s="3"/>
      <c r="E441" s="3"/>
      <c r="F441" s="3"/>
      <c r="G441" s="3"/>
      <c r="H441" s="3"/>
      <c r="I441" s="3"/>
      <c r="J441" s="3"/>
      <c r="K441" s="3"/>
      <c r="L441" s="5">
        <f ca="1">IFERROR(__xludf.DUMMYFUNCTION("""COMPUTED_VALUE"""),180)</f>
        <v>180</v>
      </c>
      <c r="M441" s="5">
        <f ca="1">IFERROR(__xludf.DUMMYFUNCTION("""COMPUTED_VALUE"""),181)</f>
        <v>181</v>
      </c>
      <c r="N441" s="3" t="str">
        <f ca="1">IFERROR(__xludf.DUMMYFUNCTION("""COMPUTED_VALUE""")," ")</f>
        <v xml:space="preserve"> </v>
      </c>
      <c r="O441" s="5">
        <f ca="1">IFERROR(__xludf.DUMMYFUNCTION("""COMPUTED_VALUE"""),911)</f>
        <v>911</v>
      </c>
      <c r="P441" s="3">
        <f ca="1">IFERROR(__xludf.DUMMYFUNCTION("""COMPUTED_VALUE"""),-44276)</f>
        <v>-44276</v>
      </c>
      <c r="Q441" s="5">
        <f ca="1">IFERROR(__xludf.DUMMYFUNCTION("""COMPUTED_VALUE"""),2007)</f>
        <v>2007</v>
      </c>
      <c r="R441" s="3"/>
      <c r="S441" s="3"/>
      <c r="T441" s="3"/>
      <c r="U441" s="3"/>
      <c r="V441" s="3"/>
      <c r="W441" s="3"/>
      <c r="X441" s="3"/>
    </row>
    <row r="442" spans="1:24" x14ac:dyDescent="0.2">
      <c r="A442" s="3"/>
      <c r="B442" s="3"/>
      <c r="C442" s="3"/>
      <c r="D442" s="3"/>
      <c r="E442" s="3"/>
      <c r="F442" s="3"/>
      <c r="G442" s="3"/>
      <c r="H442" s="3"/>
      <c r="I442" s="3"/>
      <c r="J442" s="3"/>
      <c r="K442" s="3"/>
      <c r="L442" s="5">
        <f ca="1">IFERROR(__xludf.DUMMYFUNCTION("""COMPUTED_VALUE"""),180)</f>
        <v>180</v>
      </c>
      <c r="M442" s="5">
        <f ca="1">IFERROR(__xludf.DUMMYFUNCTION("""COMPUTED_VALUE"""),181)</f>
        <v>181</v>
      </c>
      <c r="N442" s="3" t="str">
        <f ca="1">IFERROR(__xludf.DUMMYFUNCTION("""COMPUTED_VALUE""")," ")</f>
        <v xml:space="preserve"> </v>
      </c>
      <c r="O442" s="5">
        <f ca="1">IFERROR(__xludf.DUMMYFUNCTION("""COMPUTED_VALUE"""),911)</f>
        <v>911</v>
      </c>
      <c r="P442" s="3">
        <f ca="1">IFERROR(__xludf.DUMMYFUNCTION("""COMPUTED_VALUE"""),-44276)</f>
        <v>-44276</v>
      </c>
      <c r="Q442" s="5">
        <f ca="1">IFERROR(__xludf.DUMMYFUNCTION("""COMPUTED_VALUE"""),2007)</f>
        <v>2007</v>
      </c>
      <c r="R442" s="3"/>
      <c r="S442" s="3"/>
      <c r="T442" s="3"/>
      <c r="U442" s="3"/>
      <c r="V442" s="3"/>
      <c r="W442" s="3"/>
      <c r="X442" s="3"/>
    </row>
    <row r="443" spans="1:24" x14ac:dyDescent="0.2">
      <c r="A443" s="3"/>
      <c r="B443" s="3"/>
      <c r="C443" s="3"/>
      <c r="D443" s="3"/>
      <c r="E443" s="3"/>
      <c r="F443" s="3"/>
      <c r="G443" s="3"/>
      <c r="H443" s="3"/>
      <c r="I443" s="3"/>
      <c r="J443" s="3"/>
      <c r="K443" s="3"/>
      <c r="L443" s="5">
        <f ca="1">IFERROR(__xludf.DUMMYFUNCTION("""COMPUTED_VALUE"""),180)</f>
        <v>180</v>
      </c>
      <c r="M443" s="5">
        <f ca="1">IFERROR(__xludf.DUMMYFUNCTION("""COMPUTED_VALUE"""),181)</f>
        <v>181</v>
      </c>
      <c r="N443" s="3" t="str">
        <f ca="1">IFERROR(__xludf.DUMMYFUNCTION("""COMPUTED_VALUE""")," ")</f>
        <v xml:space="preserve"> </v>
      </c>
      <c r="O443" s="5">
        <f ca="1">IFERROR(__xludf.DUMMYFUNCTION("""COMPUTED_VALUE"""),911)</f>
        <v>911</v>
      </c>
      <c r="P443" s="3">
        <f ca="1">IFERROR(__xludf.DUMMYFUNCTION("""COMPUTED_VALUE"""),-44276)</f>
        <v>-44276</v>
      </c>
      <c r="Q443" s="5">
        <f ca="1">IFERROR(__xludf.DUMMYFUNCTION("""COMPUTED_VALUE"""),2007)</f>
        <v>2007</v>
      </c>
      <c r="R443" s="3"/>
      <c r="S443" s="3"/>
      <c r="T443" s="3"/>
      <c r="U443" s="3"/>
      <c r="V443" s="3"/>
      <c r="W443" s="3"/>
      <c r="X443" s="3"/>
    </row>
    <row r="444" spans="1:24" x14ac:dyDescent="0.2">
      <c r="A444" s="3"/>
      <c r="B444" s="3"/>
      <c r="C444" s="3"/>
      <c r="D444" s="3"/>
      <c r="E444" s="3"/>
      <c r="F444" s="3"/>
      <c r="G444" s="3"/>
      <c r="H444" s="3"/>
      <c r="I444" s="3"/>
      <c r="J444" s="3"/>
      <c r="K444" s="3"/>
      <c r="L444" s="5">
        <f ca="1">IFERROR(__xludf.DUMMYFUNCTION("""COMPUTED_VALUE"""),180)</f>
        <v>180</v>
      </c>
      <c r="M444" s="5">
        <f ca="1">IFERROR(__xludf.DUMMYFUNCTION("""COMPUTED_VALUE"""),181)</f>
        <v>181</v>
      </c>
      <c r="N444" s="3" t="str">
        <f ca="1">IFERROR(__xludf.DUMMYFUNCTION("""COMPUTED_VALUE""")," ")</f>
        <v xml:space="preserve"> </v>
      </c>
      <c r="O444" s="5">
        <f ca="1">IFERROR(__xludf.DUMMYFUNCTION("""COMPUTED_VALUE"""),911)</f>
        <v>911</v>
      </c>
      <c r="P444" s="3">
        <f ca="1">IFERROR(__xludf.DUMMYFUNCTION("""COMPUTED_VALUE"""),-44276)</f>
        <v>-44276</v>
      </c>
      <c r="Q444" s="5">
        <f ca="1">IFERROR(__xludf.DUMMYFUNCTION("""COMPUTED_VALUE"""),2007)</f>
        <v>2007</v>
      </c>
      <c r="R444" s="3"/>
      <c r="S444" s="3"/>
      <c r="T444" s="3"/>
      <c r="U444" s="3"/>
      <c r="V444" s="3"/>
      <c r="W444" s="3"/>
      <c r="X444" s="3"/>
    </row>
    <row r="445" spans="1:24" x14ac:dyDescent="0.2">
      <c r="A445" s="3"/>
      <c r="B445" s="3"/>
      <c r="C445" s="3"/>
      <c r="D445" s="3"/>
      <c r="E445" s="3"/>
      <c r="F445" s="3"/>
      <c r="G445" s="3"/>
      <c r="H445" s="3"/>
      <c r="I445" s="3"/>
      <c r="J445" s="3"/>
      <c r="K445" s="3"/>
      <c r="L445" s="5">
        <f ca="1">IFERROR(__xludf.DUMMYFUNCTION("""COMPUTED_VALUE"""),180)</f>
        <v>180</v>
      </c>
      <c r="M445" s="5">
        <f ca="1">IFERROR(__xludf.DUMMYFUNCTION("""COMPUTED_VALUE"""),181)</f>
        <v>181</v>
      </c>
      <c r="N445" s="3" t="str">
        <f ca="1">IFERROR(__xludf.DUMMYFUNCTION("""COMPUTED_VALUE""")," ")</f>
        <v xml:space="preserve"> </v>
      </c>
      <c r="O445" s="5">
        <f ca="1">IFERROR(__xludf.DUMMYFUNCTION("""COMPUTED_VALUE"""),911)</f>
        <v>911</v>
      </c>
      <c r="P445" s="3">
        <f ca="1">IFERROR(__xludf.DUMMYFUNCTION("""COMPUTED_VALUE"""),-44276)</f>
        <v>-44276</v>
      </c>
      <c r="Q445" s="5">
        <f ca="1">IFERROR(__xludf.DUMMYFUNCTION("""COMPUTED_VALUE"""),2007)</f>
        <v>2007</v>
      </c>
      <c r="R445" s="3"/>
      <c r="S445" s="3"/>
      <c r="T445" s="3"/>
      <c r="U445" s="3"/>
      <c r="V445" s="3"/>
      <c r="W445" s="3"/>
      <c r="X445" s="3"/>
    </row>
    <row r="446" spans="1:24" x14ac:dyDescent="0.2">
      <c r="A446" s="3"/>
      <c r="B446" s="3"/>
      <c r="C446" s="3"/>
      <c r="D446" s="3"/>
      <c r="E446" s="3"/>
      <c r="F446" s="3"/>
      <c r="G446" s="3"/>
      <c r="H446" s="3"/>
      <c r="I446" s="3"/>
      <c r="J446" s="3"/>
      <c r="K446" s="3"/>
      <c r="L446" s="5">
        <f ca="1">IFERROR(__xludf.DUMMYFUNCTION("""COMPUTED_VALUE"""),180)</f>
        <v>180</v>
      </c>
      <c r="M446" s="5">
        <f ca="1">IFERROR(__xludf.DUMMYFUNCTION("""COMPUTED_VALUE"""),181)</f>
        <v>181</v>
      </c>
      <c r="N446" s="3" t="str">
        <f ca="1">IFERROR(__xludf.DUMMYFUNCTION("""COMPUTED_VALUE""")," ")</f>
        <v xml:space="preserve"> </v>
      </c>
      <c r="O446" s="5">
        <f ca="1">IFERROR(__xludf.DUMMYFUNCTION("""COMPUTED_VALUE"""),911)</f>
        <v>911</v>
      </c>
      <c r="P446" s="3">
        <f ca="1">IFERROR(__xludf.DUMMYFUNCTION("""COMPUTED_VALUE"""),-44276)</f>
        <v>-44276</v>
      </c>
      <c r="Q446" s="5">
        <f ca="1">IFERROR(__xludf.DUMMYFUNCTION("""COMPUTED_VALUE"""),2007)</f>
        <v>2007</v>
      </c>
      <c r="R446" s="3"/>
      <c r="S446" s="3"/>
      <c r="T446" s="3"/>
      <c r="U446" s="3"/>
      <c r="V446" s="3"/>
      <c r="W446" s="3"/>
      <c r="X446" s="3"/>
    </row>
    <row r="447" spans="1:24" x14ac:dyDescent="0.2">
      <c r="A447" s="3"/>
      <c r="B447" s="3"/>
      <c r="C447" s="3"/>
      <c r="D447" s="3"/>
      <c r="E447" s="3"/>
      <c r="F447" s="3"/>
      <c r="G447" s="3"/>
      <c r="H447" s="3"/>
      <c r="I447" s="3"/>
      <c r="J447" s="3"/>
      <c r="K447" s="3"/>
      <c r="L447" s="5">
        <f ca="1">IFERROR(__xludf.DUMMYFUNCTION("""COMPUTED_VALUE"""),180)</f>
        <v>180</v>
      </c>
      <c r="M447" s="5">
        <f ca="1">IFERROR(__xludf.DUMMYFUNCTION("""COMPUTED_VALUE"""),181)</f>
        <v>181</v>
      </c>
      <c r="N447" s="3" t="str">
        <f ca="1">IFERROR(__xludf.DUMMYFUNCTION("""COMPUTED_VALUE""")," ")</f>
        <v xml:space="preserve"> </v>
      </c>
      <c r="O447" s="5">
        <f ca="1">IFERROR(__xludf.DUMMYFUNCTION("""COMPUTED_VALUE"""),911)</f>
        <v>911</v>
      </c>
      <c r="P447" s="3">
        <f ca="1">IFERROR(__xludf.DUMMYFUNCTION("""COMPUTED_VALUE"""),-44276)</f>
        <v>-44276</v>
      </c>
      <c r="Q447" s="5">
        <f ca="1">IFERROR(__xludf.DUMMYFUNCTION("""COMPUTED_VALUE"""),2007)</f>
        <v>2007</v>
      </c>
      <c r="R447" s="3"/>
      <c r="S447" s="3"/>
      <c r="T447" s="3"/>
      <c r="U447" s="3"/>
      <c r="V447" s="3"/>
      <c r="W447" s="3"/>
      <c r="X447" s="3"/>
    </row>
    <row r="448" spans="1:24" x14ac:dyDescent="0.2">
      <c r="A448" s="3"/>
      <c r="B448" s="3"/>
      <c r="C448" s="3"/>
      <c r="D448" s="3"/>
      <c r="E448" s="3"/>
      <c r="F448" s="3"/>
      <c r="G448" s="3"/>
      <c r="H448" s="3"/>
      <c r="I448" s="3"/>
      <c r="J448" s="3"/>
      <c r="K448" s="3"/>
      <c r="L448" s="5">
        <f ca="1">IFERROR(__xludf.DUMMYFUNCTION("""COMPUTED_VALUE"""),180)</f>
        <v>180</v>
      </c>
      <c r="M448" s="5">
        <f ca="1">IFERROR(__xludf.DUMMYFUNCTION("""COMPUTED_VALUE"""),181)</f>
        <v>181</v>
      </c>
      <c r="N448" s="3" t="str">
        <f ca="1">IFERROR(__xludf.DUMMYFUNCTION("""COMPUTED_VALUE""")," ")</f>
        <v xml:space="preserve"> </v>
      </c>
      <c r="O448" s="5">
        <f ca="1">IFERROR(__xludf.DUMMYFUNCTION("""COMPUTED_VALUE"""),911)</f>
        <v>911</v>
      </c>
      <c r="P448" s="3">
        <f ca="1">IFERROR(__xludf.DUMMYFUNCTION("""COMPUTED_VALUE"""),-44276)</f>
        <v>-44276</v>
      </c>
      <c r="Q448" s="5">
        <f ca="1">IFERROR(__xludf.DUMMYFUNCTION("""COMPUTED_VALUE"""),2007)</f>
        <v>2007</v>
      </c>
      <c r="R448" s="3"/>
      <c r="S448" s="3"/>
      <c r="T448" s="3"/>
      <c r="U448" s="3"/>
      <c r="V448" s="3"/>
      <c r="W448" s="3"/>
      <c r="X448" s="3"/>
    </row>
    <row r="449" spans="1:24" x14ac:dyDescent="0.2">
      <c r="A449" s="3"/>
      <c r="B449" s="3"/>
      <c r="C449" s="3"/>
      <c r="D449" s="3"/>
      <c r="E449" s="3"/>
      <c r="F449" s="3"/>
      <c r="G449" s="3"/>
      <c r="H449" s="3"/>
      <c r="I449" s="3"/>
      <c r="J449" s="3"/>
      <c r="K449" s="3"/>
      <c r="L449" s="5">
        <f ca="1">IFERROR(__xludf.DUMMYFUNCTION("""COMPUTED_VALUE"""),180)</f>
        <v>180</v>
      </c>
      <c r="M449" s="5">
        <f ca="1">IFERROR(__xludf.DUMMYFUNCTION("""COMPUTED_VALUE"""),181)</f>
        <v>181</v>
      </c>
      <c r="N449" s="3" t="str">
        <f ca="1">IFERROR(__xludf.DUMMYFUNCTION("""COMPUTED_VALUE""")," ")</f>
        <v xml:space="preserve"> </v>
      </c>
      <c r="O449" s="5">
        <f ca="1">IFERROR(__xludf.DUMMYFUNCTION("""COMPUTED_VALUE"""),911)</f>
        <v>911</v>
      </c>
      <c r="P449" s="3">
        <f ca="1">IFERROR(__xludf.DUMMYFUNCTION("""COMPUTED_VALUE"""),-44276)</f>
        <v>-44276</v>
      </c>
      <c r="Q449" s="5">
        <f ca="1">IFERROR(__xludf.DUMMYFUNCTION("""COMPUTED_VALUE"""),2007)</f>
        <v>2007</v>
      </c>
      <c r="R449" s="3"/>
      <c r="S449" s="3"/>
      <c r="T449" s="3"/>
      <c r="U449" s="3"/>
      <c r="V449" s="3"/>
      <c r="W449" s="3"/>
      <c r="X449" s="3"/>
    </row>
    <row r="450" spans="1:24" x14ac:dyDescent="0.2">
      <c r="A450" s="3"/>
      <c r="B450" s="3"/>
      <c r="C450" s="3"/>
      <c r="D450" s="3"/>
      <c r="E450" s="3"/>
      <c r="F450" s="3"/>
      <c r="G450" s="3"/>
      <c r="H450" s="3"/>
      <c r="I450" s="3"/>
      <c r="J450" s="3"/>
      <c r="K450" s="3"/>
      <c r="L450" s="5">
        <f ca="1">IFERROR(__xludf.DUMMYFUNCTION("""COMPUTED_VALUE"""),180)</f>
        <v>180</v>
      </c>
      <c r="M450" s="5">
        <f ca="1">IFERROR(__xludf.DUMMYFUNCTION("""COMPUTED_VALUE"""),181)</f>
        <v>181</v>
      </c>
      <c r="N450" s="3" t="str">
        <f ca="1">IFERROR(__xludf.DUMMYFUNCTION("""COMPUTED_VALUE""")," ")</f>
        <v xml:space="preserve"> </v>
      </c>
      <c r="O450" s="5">
        <f ca="1">IFERROR(__xludf.DUMMYFUNCTION("""COMPUTED_VALUE"""),911)</f>
        <v>911</v>
      </c>
      <c r="P450" s="3">
        <f ca="1">IFERROR(__xludf.DUMMYFUNCTION("""COMPUTED_VALUE"""),-44276)</f>
        <v>-44276</v>
      </c>
      <c r="Q450" s="5">
        <f ca="1">IFERROR(__xludf.DUMMYFUNCTION("""COMPUTED_VALUE"""),2007)</f>
        <v>2007</v>
      </c>
      <c r="R450" s="3"/>
      <c r="S450" s="3"/>
      <c r="T450" s="3"/>
      <c r="U450" s="3"/>
      <c r="V450" s="3"/>
      <c r="W450" s="3"/>
      <c r="X450" s="3"/>
    </row>
    <row r="451" spans="1:24" x14ac:dyDescent="0.2">
      <c r="A451" s="3"/>
      <c r="B451" s="3"/>
      <c r="C451" s="3"/>
      <c r="D451" s="3"/>
      <c r="E451" s="3"/>
      <c r="F451" s="3"/>
      <c r="G451" s="3"/>
      <c r="H451" s="3"/>
      <c r="I451" s="3"/>
      <c r="J451" s="3"/>
      <c r="K451" s="3"/>
      <c r="L451" s="5">
        <f ca="1">IFERROR(__xludf.DUMMYFUNCTION("""COMPUTED_VALUE"""),180)</f>
        <v>180</v>
      </c>
      <c r="M451" s="5">
        <f ca="1">IFERROR(__xludf.DUMMYFUNCTION("""COMPUTED_VALUE"""),181)</f>
        <v>181</v>
      </c>
      <c r="N451" s="3" t="str">
        <f ca="1">IFERROR(__xludf.DUMMYFUNCTION("""COMPUTED_VALUE""")," ")</f>
        <v xml:space="preserve"> </v>
      </c>
      <c r="O451" s="5">
        <f ca="1">IFERROR(__xludf.DUMMYFUNCTION("""COMPUTED_VALUE"""),911)</f>
        <v>911</v>
      </c>
      <c r="P451" s="3">
        <f ca="1">IFERROR(__xludf.DUMMYFUNCTION("""COMPUTED_VALUE"""),-44276)</f>
        <v>-44276</v>
      </c>
      <c r="Q451" s="5">
        <f ca="1">IFERROR(__xludf.DUMMYFUNCTION("""COMPUTED_VALUE"""),2007)</f>
        <v>2007</v>
      </c>
      <c r="R451" s="3"/>
      <c r="S451" s="3"/>
      <c r="T451" s="3"/>
      <c r="U451" s="3"/>
      <c r="V451" s="3"/>
      <c r="W451" s="3"/>
      <c r="X451" s="3"/>
    </row>
    <row r="452" spans="1:24" x14ac:dyDescent="0.2">
      <c r="A452" s="3"/>
      <c r="B452" s="3"/>
      <c r="C452" s="3"/>
      <c r="D452" s="3"/>
      <c r="E452" s="3"/>
      <c r="F452" s="3"/>
      <c r="G452" s="3"/>
      <c r="H452" s="3"/>
      <c r="I452" s="3"/>
      <c r="J452" s="3"/>
      <c r="K452" s="3"/>
      <c r="L452" s="5">
        <f ca="1">IFERROR(__xludf.DUMMYFUNCTION("""COMPUTED_VALUE"""),180)</f>
        <v>180</v>
      </c>
      <c r="M452" s="5">
        <f ca="1">IFERROR(__xludf.DUMMYFUNCTION("""COMPUTED_VALUE"""),181)</f>
        <v>181</v>
      </c>
      <c r="N452" s="3" t="str">
        <f ca="1">IFERROR(__xludf.DUMMYFUNCTION("""COMPUTED_VALUE""")," ")</f>
        <v xml:space="preserve"> </v>
      </c>
      <c r="O452" s="5">
        <f ca="1">IFERROR(__xludf.DUMMYFUNCTION("""COMPUTED_VALUE"""),911)</f>
        <v>911</v>
      </c>
      <c r="P452" s="3">
        <f ca="1">IFERROR(__xludf.DUMMYFUNCTION("""COMPUTED_VALUE"""),-44276)</f>
        <v>-44276</v>
      </c>
      <c r="Q452" s="5">
        <f ca="1">IFERROR(__xludf.DUMMYFUNCTION("""COMPUTED_VALUE"""),2007)</f>
        <v>2007</v>
      </c>
      <c r="R452" s="3"/>
      <c r="S452" s="3"/>
      <c r="T452" s="3"/>
      <c r="U452" s="3"/>
      <c r="V452" s="3"/>
      <c r="W452" s="3"/>
      <c r="X452" s="3"/>
    </row>
    <row r="453" spans="1:24" x14ac:dyDescent="0.2">
      <c r="A453" s="3"/>
      <c r="B453" s="3"/>
      <c r="C453" s="3"/>
      <c r="D453" s="3"/>
      <c r="E453" s="3"/>
      <c r="F453" s="3"/>
      <c r="G453" s="3"/>
      <c r="H453" s="3"/>
      <c r="I453" s="3"/>
      <c r="J453" s="3"/>
      <c r="K453" s="3"/>
      <c r="L453" s="5">
        <f ca="1">IFERROR(__xludf.DUMMYFUNCTION("""COMPUTED_VALUE"""),180)</f>
        <v>180</v>
      </c>
      <c r="M453" s="5">
        <f ca="1">IFERROR(__xludf.DUMMYFUNCTION("""COMPUTED_VALUE"""),181)</f>
        <v>181</v>
      </c>
      <c r="N453" s="3" t="str">
        <f ca="1">IFERROR(__xludf.DUMMYFUNCTION("""COMPUTED_VALUE""")," ")</f>
        <v xml:space="preserve"> </v>
      </c>
      <c r="O453" s="5">
        <f ca="1">IFERROR(__xludf.DUMMYFUNCTION("""COMPUTED_VALUE"""),911)</f>
        <v>911</v>
      </c>
      <c r="P453" s="3">
        <f ca="1">IFERROR(__xludf.DUMMYFUNCTION("""COMPUTED_VALUE"""),-44276)</f>
        <v>-44276</v>
      </c>
      <c r="Q453" s="5">
        <f ca="1">IFERROR(__xludf.DUMMYFUNCTION("""COMPUTED_VALUE"""),2007)</f>
        <v>2007</v>
      </c>
      <c r="R453" s="3"/>
      <c r="S453" s="3"/>
      <c r="T453" s="3"/>
      <c r="U453" s="3"/>
      <c r="V453" s="3"/>
      <c r="W453" s="3"/>
      <c r="X453" s="3"/>
    </row>
    <row r="454" spans="1:24" x14ac:dyDescent="0.2">
      <c r="A454" s="3"/>
      <c r="B454" s="3"/>
      <c r="C454" s="3"/>
      <c r="D454" s="3"/>
      <c r="E454" s="3"/>
      <c r="F454" s="3"/>
      <c r="G454" s="3"/>
      <c r="H454" s="3"/>
      <c r="I454" s="3"/>
      <c r="J454" s="3"/>
      <c r="K454" s="3"/>
      <c r="L454" s="5">
        <f ca="1">IFERROR(__xludf.DUMMYFUNCTION("""COMPUTED_VALUE"""),180)</f>
        <v>180</v>
      </c>
      <c r="M454" s="5">
        <f ca="1">IFERROR(__xludf.DUMMYFUNCTION("""COMPUTED_VALUE"""),181)</f>
        <v>181</v>
      </c>
      <c r="N454" s="3" t="str">
        <f ca="1">IFERROR(__xludf.DUMMYFUNCTION("""COMPUTED_VALUE""")," ")</f>
        <v xml:space="preserve"> </v>
      </c>
      <c r="O454" s="5">
        <f ca="1">IFERROR(__xludf.DUMMYFUNCTION("""COMPUTED_VALUE"""),911)</f>
        <v>911</v>
      </c>
      <c r="P454" s="3">
        <f ca="1">IFERROR(__xludf.DUMMYFUNCTION("""COMPUTED_VALUE"""),-44276)</f>
        <v>-44276</v>
      </c>
      <c r="Q454" s="5">
        <f ca="1">IFERROR(__xludf.DUMMYFUNCTION("""COMPUTED_VALUE"""),2007)</f>
        <v>2007</v>
      </c>
      <c r="R454" s="3"/>
      <c r="S454" s="3"/>
      <c r="T454" s="3"/>
      <c r="U454" s="3"/>
      <c r="V454" s="3"/>
      <c r="W454" s="3"/>
      <c r="X454" s="3"/>
    </row>
    <row r="455" spans="1:24" x14ac:dyDescent="0.2">
      <c r="A455" s="3"/>
      <c r="B455" s="3"/>
      <c r="C455" s="3"/>
      <c r="D455" s="3"/>
      <c r="E455" s="3"/>
      <c r="F455" s="3"/>
      <c r="G455" s="3"/>
      <c r="H455" s="3"/>
      <c r="I455" s="3"/>
      <c r="J455" s="3"/>
      <c r="K455" s="3"/>
      <c r="L455" s="5">
        <f ca="1">IFERROR(__xludf.DUMMYFUNCTION("""COMPUTED_VALUE"""),180)</f>
        <v>180</v>
      </c>
      <c r="M455" s="5">
        <f ca="1">IFERROR(__xludf.DUMMYFUNCTION("""COMPUTED_VALUE"""),181)</f>
        <v>181</v>
      </c>
      <c r="N455" s="3" t="str">
        <f ca="1">IFERROR(__xludf.DUMMYFUNCTION("""COMPUTED_VALUE""")," ")</f>
        <v xml:space="preserve"> </v>
      </c>
      <c r="O455" s="5">
        <f ca="1">IFERROR(__xludf.DUMMYFUNCTION("""COMPUTED_VALUE"""),911)</f>
        <v>911</v>
      </c>
      <c r="P455" s="3">
        <f ca="1">IFERROR(__xludf.DUMMYFUNCTION("""COMPUTED_VALUE"""),-44276)</f>
        <v>-44276</v>
      </c>
      <c r="Q455" s="5">
        <f ca="1">IFERROR(__xludf.DUMMYFUNCTION("""COMPUTED_VALUE"""),2007)</f>
        <v>2007</v>
      </c>
      <c r="R455" s="3"/>
      <c r="S455" s="3"/>
      <c r="T455" s="3"/>
      <c r="U455" s="3"/>
      <c r="V455" s="3"/>
      <c r="W455" s="3"/>
      <c r="X455" s="3"/>
    </row>
    <row r="456" spans="1:24" x14ac:dyDescent="0.2">
      <c r="A456" s="3"/>
      <c r="B456" s="3"/>
      <c r="C456" s="3"/>
      <c r="D456" s="3"/>
      <c r="E456" s="3"/>
      <c r="F456" s="3"/>
      <c r="G456" s="3"/>
      <c r="H456" s="3"/>
      <c r="I456" s="3"/>
      <c r="J456" s="3"/>
      <c r="K456" s="3"/>
      <c r="L456" s="5">
        <f ca="1">IFERROR(__xludf.DUMMYFUNCTION("""COMPUTED_VALUE"""),180)</f>
        <v>180</v>
      </c>
      <c r="M456" s="5">
        <f ca="1">IFERROR(__xludf.DUMMYFUNCTION("""COMPUTED_VALUE"""),181)</f>
        <v>181</v>
      </c>
      <c r="N456" s="3" t="str">
        <f ca="1">IFERROR(__xludf.DUMMYFUNCTION("""COMPUTED_VALUE""")," ")</f>
        <v xml:space="preserve"> </v>
      </c>
      <c r="O456" s="5">
        <f ca="1">IFERROR(__xludf.DUMMYFUNCTION("""COMPUTED_VALUE"""),911)</f>
        <v>911</v>
      </c>
      <c r="P456" s="3">
        <f ca="1">IFERROR(__xludf.DUMMYFUNCTION("""COMPUTED_VALUE"""),-44276)</f>
        <v>-44276</v>
      </c>
      <c r="Q456" s="5">
        <f ca="1">IFERROR(__xludf.DUMMYFUNCTION("""COMPUTED_VALUE"""),2007)</f>
        <v>2007</v>
      </c>
      <c r="R456" s="3"/>
      <c r="S456" s="3"/>
      <c r="T456" s="3"/>
      <c r="U456" s="3"/>
      <c r="V456" s="3"/>
      <c r="W456" s="3"/>
      <c r="X456" s="3"/>
    </row>
    <row r="457" spans="1:24" x14ac:dyDescent="0.2">
      <c r="A457" s="3"/>
      <c r="B457" s="3"/>
      <c r="C457" s="3"/>
      <c r="D457" s="3"/>
      <c r="E457" s="3"/>
      <c r="F457" s="3"/>
      <c r="G457" s="3"/>
      <c r="H457" s="3"/>
      <c r="I457" s="3"/>
      <c r="J457" s="3"/>
      <c r="K457" s="3"/>
      <c r="L457" s="5">
        <f ca="1">IFERROR(__xludf.DUMMYFUNCTION("""COMPUTED_VALUE"""),180)</f>
        <v>180</v>
      </c>
      <c r="M457" s="5">
        <f ca="1">IFERROR(__xludf.DUMMYFUNCTION("""COMPUTED_VALUE"""),181)</f>
        <v>181</v>
      </c>
      <c r="N457" s="3" t="str">
        <f ca="1">IFERROR(__xludf.DUMMYFUNCTION("""COMPUTED_VALUE""")," ")</f>
        <v xml:space="preserve"> </v>
      </c>
      <c r="O457" s="5">
        <f ca="1">IFERROR(__xludf.DUMMYFUNCTION("""COMPUTED_VALUE"""),911)</f>
        <v>911</v>
      </c>
      <c r="P457" s="3">
        <f ca="1">IFERROR(__xludf.DUMMYFUNCTION("""COMPUTED_VALUE"""),-44276)</f>
        <v>-44276</v>
      </c>
      <c r="Q457" s="5">
        <f ca="1">IFERROR(__xludf.DUMMYFUNCTION("""COMPUTED_VALUE"""),2007)</f>
        <v>2007</v>
      </c>
      <c r="R457" s="3"/>
      <c r="S457" s="3"/>
      <c r="T457" s="3"/>
      <c r="U457" s="3"/>
      <c r="V457" s="3"/>
      <c r="W457" s="3"/>
      <c r="X457" s="3"/>
    </row>
    <row r="458" spans="1:24" x14ac:dyDescent="0.2">
      <c r="A458" s="3"/>
      <c r="B458" s="3"/>
      <c r="C458" s="3"/>
      <c r="D458" s="3"/>
      <c r="E458" s="3"/>
      <c r="F458" s="3"/>
      <c r="G458" s="3"/>
      <c r="H458" s="3"/>
      <c r="I458" s="3"/>
      <c r="J458" s="3"/>
      <c r="K458" s="3"/>
      <c r="L458" s="5">
        <f ca="1">IFERROR(__xludf.DUMMYFUNCTION("""COMPUTED_VALUE"""),180)</f>
        <v>180</v>
      </c>
      <c r="M458" s="5">
        <f ca="1">IFERROR(__xludf.DUMMYFUNCTION("""COMPUTED_VALUE"""),181)</f>
        <v>181</v>
      </c>
      <c r="N458" s="3" t="str">
        <f ca="1">IFERROR(__xludf.DUMMYFUNCTION("""COMPUTED_VALUE""")," ")</f>
        <v xml:space="preserve"> </v>
      </c>
      <c r="O458" s="5">
        <f ca="1">IFERROR(__xludf.DUMMYFUNCTION("""COMPUTED_VALUE"""),911)</f>
        <v>911</v>
      </c>
      <c r="P458" s="3">
        <f ca="1">IFERROR(__xludf.DUMMYFUNCTION("""COMPUTED_VALUE"""),-44276)</f>
        <v>-44276</v>
      </c>
      <c r="Q458" s="5">
        <f ca="1">IFERROR(__xludf.DUMMYFUNCTION("""COMPUTED_VALUE"""),2007)</f>
        <v>2007</v>
      </c>
      <c r="R458" s="3"/>
      <c r="S458" s="3"/>
      <c r="T458" s="3"/>
      <c r="U458" s="3"/>
      <c r="V458" s="3"/>
      <c r="W458" s="3"/>
      <c r="X458" s="3"/>
    </row>
    <row r="459" spans="1:24" x14ac:dyDescent="0.2">
      <c r="A459" s="3"/>
      <c r="B459" s="3"/>
      <c r="C459" s="3"/>
      <c r="D459" s="3"/>
      <c r="E459" s="3"/>
      <c r="F459" s="3"/>
      <c r="G459" s="3"/>
      <c r="H459" s="3"/>
      <c r="I459" s="3"/>
      <c r="J459" s="3"/>
      <c r="K459" s="3"/>
      <c r="L459" s="5">
        <f ca="1">IFERROR(__xludf.DUMMYFUNCTION("""COMPUTED_VALUE"""),180)</f>
        <v>180</v>
      </c>
      <c r="M459" s="5">
        <f ca="1">IFERROR(__xludf.DUMMYFUNCTION("""COMPUTED_VALUE"""),181)</f>
        <v>181</v>
      </c>
      <c r="N459" s="3" t="str">
        <f ca="1">IFERROR(__xludf.DUMMYFUNCTION("""COMPUTED_VALUE""")," ")</f>
        <v xml:space="preserve"> </v>
      </c>
      <c r="O459" s="5">
        <f ca="1">IFERROR(__xludf.DUMMYFUNCTION("""COMPUTED_VALUE"""),911)</f>
        <v>911</v>
      </c>
      <c r="P459" s="3">
        <f ca="1">IFERROR(__xludf.DUMMYFUNCTION("""COMPUTED_VALUE"""),-44276)</f>
        <v>-44276</v>
      </c>
      <c r="Q459" s="5">
        <f ca="1">IFERROR(__xludf.DUMMYFUNCTION("""COMPUTED_VALUE"""),2007)</f>
        <v>2007</v>
      </c>
      <c r="R459" s="3"/>
      <c r="S459" s="3"/>
      <c r="T459" s="3"/>
      <c r="U459" s="3"/>
      <c r="V459" s="3"/>
      <c r="W459" s="3"/>
      <c r="X459" s="3"/>
    </row>
    <row r="460" spans="1:24" x14ac:dyDescent="0.2">
      <c r="A460" s="3"/>
      <c r="B460" s="3"/>
      <c r="C460" s="3"/>
      <c r="D460" s="3"/>
      <c r="E460" s="3"/>
      <c r="F460" s="3"/>
      <c r="G460" s="3"/>
      <c r="H460" s="3"/>
      <c r="I460" s="3"/>
      <c r="J460" s="3"/>
      <c r="K460" s="3"/>
      <c r="L460" s="5">
        <f ca="1">IFERROR(__xludf.DUMMYFUNCTION("""COMPUTED_VALUE"""),180)</f>
        <v>180</v>
      </c>
      <c r="M460" s="5">
        <f ca="1">IFERROR(__xludf.DUMMYFUNCTION("""COMPUTED_VALUE"""),181)</f>
        <v>181</v>
      </c>
      <c r="N460" s="3" t="str">
        <f ca="1">IFERROR(__xludf.DUMMYFUNCTION("""COMPUTED_VALUE""")," ")</f>
        <v xml:space="preserve"> </v>
      </c>
      <c r="O460" s="5">
        <f ca="1">IFERROR(__xludf.DUMMYFUNCTION("""COMPUTED_VALUE"""),911)</f>
        <v>911</v>
      </c>
      <c r="P460" s="3">
        <f ca="1">IFERROR(__xludf.DUMMYFUNCTION("""COMPUTED_VALUE"""),-44276)</f>
        <v>-44276</v>
      </c>
      <c r="Q460" s="5">
        <f ca="1">IFERROR(__xludf.DUMMYFUNCTION("""COMPUTED_VALUE"""),2007)</f>
        <v>2007</v>
      </c>
      <c r="R460" s="3"/>
      <c r="S460" s="3"/>
      <c r="T460" s="3"/>
      <c r="U460" s="3"/>
      <c r="V460" s="3"/>
      <c r="W460" s="3"/>
      <c r="X460" s="3"/>
    </row>
    <row r="461" spans="1:24" x14ac:dyDescent="0.2">
      <c r="A461" s="3"/>
      <c r="B461" s="3"/>
      <c r="C461" s="3"/>
      <c r="D461" s="3"/>
      <c r="E461" s="3"/>
      <c r="F461" s="3"/>
      <c r="G461" s="3"/>
      <c r="H461" s="3"/>
      <c r="I461" s="3"/>
      <c r="J461" s="3"/>
      <c r="K461" s="3"/>
      <c r="L461" s="5">
        <f ca="1">IFERROR(__xludf.DUMMYFUNCTION("""COMPUTED_VALUE"""),180)</f>
        <v>180</v>
      </c>
      <c r="M461" s="5">
        <f ca="1">IFERROR(__xludf.DUMMYFUNCTION("""COMPUTED_VALUE"""),181)</f>
        <v>181</v>
      </c>
      <c r="N461" s="3" t="str">
        <f ca="1">IFERROR(__xludf.DUMMYFUNCTION("""COMPUTED_VALUE""")," ")</f>
        <v xml:space="preserve"> </v>
      </c>
      <c r="O461" s="5">
        <f ca="1">IFERROR(__xludf.DUMMYFUNCTION("""COMPUTED_VALUE"""),911)</f>
        <v>911</v>
      </c>
      <c r="P461" s="3">
        <f ca="1">IFERROR(__xludf.DUMMYFUNCTION("""COMPUTED_VALUE"""),-44276)</f>
        <v>-44276</v>
      </c>
      <c r="Q461" s="5">
        <f ca="1">IFERROR(__xludf.DUMMYFUNCTION("""COMPUTED_VALUE"""),2007)</f>
        <v>2007</v>
      </c>
      <c r="R461" s="3"/>
      <c r="S461" s="3"/>
      <c r="T461" s="3"/>
      <c r="U461" s="3"/>
      <c r="V461" s="3"/>
      <c r="W461" s="3"/>
      <c r="X461" s="3"/>
    </row>
    <row r="462" spans="1:24" x14ac:dyDescent="0.2">
      <c r="A462" s="3"/>
      <c r="B462" s="3"/>
      <c r="C462" s="3"/>
      <c r="D462" s="3"/>
      <c r="E462" s="3"/>
      <c r="F462" s="3"/>
      <c r="G462" s="3"/>
      <c r="H462" s="3"/>
      <c r="I462" s="3"/>
      <c r="J462" s="3"/>
      <c r="K462" s="3"/>
      <c r="L462" s="5">
        <f ca="1">IFERROR(__xludf.DUMMYFUNCTION("""COMPUTED_VALUE"""),180)</f>
        <v>180</v>
      </c>
      <c r="M462" s="5">
        <f ca="1">IFERROR(__xludf.DUMMYFUNCTION("""COMPUTED_VALUE"""),181)</f>
        <v>181</v>
      </c>
      <c r="N462" s="3" t="str">
        <f ca="1">IFERROR(__xludf.DUMMYFUNCTION("""COMPUTED_VALUE""")," ")</f>
        <v xml:space="preserve"> </v>
      </c>
      <c r="O462" s="5">
        <f ca="1">IFERROR(__xludf.DUMMYFUNCTION("""COMPUTED_VALUE"""),911)</f>
        <v>911</v>
      </c>
      <c r="P462" s="3">
        <f ca="1">IFERROR(__xludf.DUMMYFUNCTION("""COMPUTED_VALUE"""),-44276)</f>
        <v>-44276</v>
      </c>
      <c r="Q462" s="5">
        <f ca="1">IFERROR(__xludf.DUMMYFUNCTION("""COMPUTED_VALUE"""),2007)</f>
        <v>2007</v>
      </c>
      <c r="R462" s="3"/>
      <c r="S462" s="3"/>
      <c r="T462" s="3"/>
      <c r="U462" s="3"/>
      <c r="V462" s="3"/>
      <c r="W462" s="3"/>
      <c r="X462" s="3"/>
    </row>
    <row r="463" spans="1:24" x14ac:dyDescent="0.2">
      <c r="A463" s="3"/>
      <c r="B463" s="3"/>
      <c r="C463" s="3"/>
      <c r="D463" s="3"/>
      <c r="E463" s="3"/>
      <c r="F463" s="3"/>
      <c r="G463" s="3"/>
      <c r="H463" s="3"/>
      <c r="I463" s="3"/>
      <c r="J463" s="3"/>
      <c r="K463" s="3"/>
      <c r="L463" s="5">
        <f ca="1">IFERROR(__xludf.DUMMYFUNCTION("""COMPUTED_VALUE"""),180)</f>
        <v>180</v>
      </c>
      <c r="M463" s="5">
        <f ca="1">IFERROR(__xludf.DUMMYFUNCTION("""COMPUTED_VALUE"""),181)</f>
        <v>181</v>
      </c>
      <c r="N463" s="3" t="str">
        <f ca="1">IFERROR(__xludf.DUMMYFUNCTION("""COMPUTED_VALUE""")," ")</f>
        <v xml:space="preserve"> </v>
      </c>
      <c r="O463" s="5">
        <f ca="1">IFERROR(__xludf.DUMMYFUNCTION("""COMPUTED_VALUE"""),911)</f>
        <v>911</v>
      </c>
      <c r="P463" s="3">
        <f ca="1">IFERROR(__xludf.DUMMYFUNCTION("""COMPUTED_VALUE"""),-44276)</f>
        <v>-44276</v>
      </c>
      <c r="Q463" s="5">
        <f ca="1">IFERROR(__xludf.DUMMYFUNCTION("""COMPUTED_VALUE"""),2007)</f>
        <v>2007</v>
      </c>
      <c r="R463" s="3"/>
      <c r="S463" s="3"/>
      <c r="T463" s="3"/>
      <c r="U463" s="3"/>
      <c r="V463" s="3"/>
      <c r="W463" s="3"/>
      <c r="X463" s="3"/>
    </row>
    <row r="464" spans="1:24" x14ac:dyDescent="0.2">
      <c r="A464" s="3"/>
      <c r="B464" s="3"/>
      <c r="C464" s="3"/>
      <c r="D464" s="3"/>
      <c r="E464" s="3"/>
      <c r="F464" s="3"/>
      <c r="G464" s="3"/>
      <c r="H464" s="3"/>
      <c r="I464" s="3"/>
      <c r="J464" s="3"/>
      <c r="K464" s="3"/>
      <c r="L464" s="5">
        <f ca="1">IFERROR(__xludf.DUMMYFUNCTION("""COMPUTED_VALUE"""),180)</f>
        <v>180</v>
      </c>
      <c r="M464" s="5">
        <f ca="1">IFERROR(__xludf.DUMMYFUNCTION("""COMPUTED_VALUE"""),181)</f>
        <v>181</v>
      </c>
      <c r="N464" s="3" t="str">
        <f ca="1">IFERROR(__xludf.DUMMYFUNCTION("""COMPUTED_VALUE""")," ")</f>
        <v xml:space="preserve"> </v>
      </c>
      <c r="O464" s="5">
        <f ca="1">IFERROR(__xludf.DUMMYFUNCTION("""COMPUTED_VALUE"""),911)</f>
        <v>911</v>
      </c>
      <c r="P464" s="3">
        <f ca="1">IFERROR(__xludf.DUMMYFUNCTION("""COMPUTED_VALUE"""),-44276)</f>
        <v>-44276</v>
      </c>
      <c r="Q464" s="5">
        <f ca="1">IFERROR(__xludf.DUMMYFUNCTION("""COMPUTED_VALUE"""),2007)</f>
        <v>2007</v>
      </c>
      <c r="R464" s="3"/>
      <c r="S464" s="3"/>
      <c r="T464" s="3"/>
      <c r="U464" s="3"/>
      <c r="V464" s="3"/>
      <c r="W464" s="3"/>
      <c r="X464" s="3"/>
    </row>
    <row r="465" spans="1:24" x14ac:dyDescent="0.2">
      <c r="A465" s="3"/>
      <c r="B465" s="3"/>
      <c r="C465" s="3"/>
      <c r="D465" s="3"/>
      <c r="E465" s="3"/>
      <c r="F465" s="3"/>
      <c r="G465" s="3"/>
      <c r="H465" s="3"/>
      <c r="I465" s="3"/>
      <c r="J465" s="3"/>
      <c r="K465" s="3"/>
      <c r="L465" s="5">
        <f ca="1">IFERROR(__xludf.DUMMYFUNCTION("""COMPUTED_VALUE"""),180)</f>
        <v>180</v>
      </c>
      <c r="M465" s="5">
        <f ca="1">IFERROR(__xludf.DUMMYFUNCTION("""COMPUTED_VALUE"""),181)</f>
        <v>181</v>
      </c>
      <c r="N465" s="3" t="str">
        <f ca="1">IFERROR(__xludf.DUMMYFUNCTION("""COMPUTED_VALUE""")," ")</f>
        <v xml:space="preserve"> </v>
      </c>
      <c r="O465" s="5">
        <f ca="1">IFERROR(__xludf.DUMMYFUNCTION("""COMPUTED_VALUE"""),911)</f>
        <v>911</v>
      </c>
      <c r="P465" s="3">
        <f ca="1">IFERROR(__xludf.DUMMYFUNCTION("""COMPUTED_VALUE"""),-44276)</f>
        <v>-44276</v>
      </c>
      <c r="Q465" s="5">
        <f ca="1">IFERROR(__xludf.DUMMYFUNCTION("""COMPUTED_VALUE"""),2007)</f>
        <v>2007</v>
      </c>
      <c r="R465" s="3"/>
      <c r="S465" s="3"/>
      <c r="T465" s="3"/>
      <c r="U465" s="3"/>
      <c r="V465" s="3"/>
      <c r="W465" s="3"/>
      <c r="X465" s="3"/>
    </row>
    <row r="466" spans="1:24" x14ac:dyDescent="0.2">
      <c r="A466" s="3"/>
      <c r="B466" s="3"/>
      <c r="C466" s="3"/>
      <c r="D466" s="3"/>
      <c r="E466" s="3"/>
      <c r="F466" s="3"/>
      <c r="G466" s="3"/>
      <c r="H466" s="3"/>
      <c r="I466" s="3"/>
      <c r="J466" s="3"/>
      <c r="K466" s="3"/>
      <c r="L466" s="5">
        <f ca="1">IFERROR(__xludf.DUMMYFUNCTION("""COMPUTED_VALUE"""),180)</f>
        <v>180</v>
      </c>
      <c r="M466" s="5">
        <f ca="1">IFERROR(__xludf.DUMMYFUNCTION("""COMPUTED_VALUE"""),181)</f>
        <v>181</v>
      </c>
      <c r="N466" s="3" t="str">
        <f ca="1">IFERROR(__xludf.DUMMYFUNCTION("""COMPUTED_VALUE""")," ")</f>
        <v xml:space="preserve"> </v>
      </c>
      <c r="O466" s="5">
        <f ca="1">IFERROR(__xludf.DUMMYFUNCTION("""COMPUTED_VALUE"""),911)</f>
        <v>911</v>
      </c>
      <c r="P466" s="3">
        <f ca="1">IFERROR(__xludf.DUMMYFUNCTION("""COMPUTED_VALUE"""),-44276)</f>
        <v>-44276</v>
      </c>
      <c r="Q466" s="5">
        <f ca="1">IFERROR(__xludf.DUMMYFUNCTION("""COMPUTED_VALUE"""),2007)</f>
        <v>2007</v>
      </c>
      <c r="R466" s="3"/>
      <c r="S466" s="3"/>
      <c r="T466" s="3"/>
      <c r="U466" s="3"/>
      <c r="V466" s="3"/>
      <c r="W466" s="3"/>
      <c r="X466" s="3"/>
    </row>
    <row r="467" spans="1:24" x14ac:dyDescent="0.2">
      <c r="A467" s="3"/>
      <c r="B467" s="3"/>
      <c r="C467" s="3"/>
      <c r="D467" s="3"/>
      <c r="E467" s="3"/>
      <c r="F467" s="3"/>
      <c r="G467" s="3"/>
      <c r="H467" s="3"/>
      <c r="I467" s="3"/>
      <c r="J467" s="3"/>
      <c r="K467" s="3"/>
      <c r="L467" s="5">
        <f ca="1">IFERROR(__xludf.DUMMYFUNCTION("""COMPUTED_VALUE"""),180)</f>
        <v>180</v>
      </c>
      <c r="M467" s="5">
        <f ca="1">IFERROR(__xludf.DUMMYFUNCTION("""COMPUTED_VALUE"""),181)</f>
        <v>181</v>
      </c>
      <c r="N467" s="3" t="str">
        <f ca="1">IFERROR(__xludf.DUMMYFUNCTION("""COMPUTED_VALUE""")," ")</f>
        <v xml:space="preserve"> </v>
      </c>
      <c r="O467" s="5">
        <f ca="1">IFERROR(__xludf.DUMMYFUNCTION("""COMPUTED_VALUE"""),911)</f>
        <v>911</v>
      </c>
      <c r="P467" s="3">
        <f ca="1">IFERROR(__xludf.DUMMYFUNCTION("""COMPUTED_VALUE"""),-44276)</f>
        <v>-44276</v>
      </c>
      <c r="Q467" s="5">
        <f ca="1">IFERROR(__xludf.DUMMYFUNCTION("""COMPUTED_VALUE"""),2007)</f>
        <v>2007</v>
      </c>
      <c r="R467" s="3"/>
      <c r="S467" s="3"/>
      <c r="T467" s="3"/>
      <c r="U467" s="3"/>
      <c r="V467" s="3"/>
      <c r="W467" s="3"/>
      <c r="X467" s="3"/>
    </row>
    <row r="468" spans="1:24" x14ac:dyDescent="0.2">
      <c r="A468" s="3"/>
      <c r="B468" s="3"/>
      <c r="C468" s="3"/>
      <c r="D468" s="3"/>
      <c r="E468" s="3"/>
      <c r="F468" s="3"/>
      <c r="G468" s="3"/>
      <c r="H468" s="3"/>
      <c r="I468" s="3"/>
      <c r="J468" s="3"/>
      <c r="K468" s="3"/>
      <c r="L468" s="5">
        <f ca="1">IFERROR(__xludf.DUMMYFUNCTION("""COMPUTED_VALUE"""),180)</f>
        <v>180</v>
      </c>
      <c r="M468" s="5">
        <f ca="1">IFERROR(__xludf.DUMMYFUNCTION("""COMPUTED_VALUE"""),181)</f>
        <v>181</v>
      </c>
      <c r="N468" s="3" t="str">
        <f ca="1">IFERROR(__xludf.DUMMYFUNCTION("""COMPUTED_VALUE""")," ")</f>
        <v xml:space="preserve"> </v>
      </c>
      <c r="O468" s="5">
        <f ca="1">IFERROR(__xludf.DUMMYFUNCTION("""COMPUTED_VALUE"""),911)</f>
        <v>911</v>
      </c>
      <c r="P468" s="3">
        <f ca="1">IFERROR(__xludf.DUMMYFUNCTION("""COMPUTED_VALUE"""),-44276)</f>
        <v>-44276</v>
      </c>
      <c r="Q468" s="5">
        <f ca="1">IFERROR(__xludf.DUMMYFUNCTION("""COMPUTED_VALUE"""),2007)</f>
        <v>2007</v>
      </c>
      <c r="R468" s="3"/>
      <c r="S468" s="3"/>
      <c r="T468" s="3"/>
      <c r="U468" s="3"/>
      <c r="V468" s="3"/>
      <c r="W468" s="3"/>
      <c r="X468" s="3"/>
    </row>
    <row r="469" spans="1:24" x14ac:dyDescent="0.2">
      <c r="A469" s="3"/>
      <c r="B469" s="3"/>
      <c r="C469" s="3"/>
      <c r="D469" s="3"/>
      <c r="E469" s="3"/>
      <c r="F469" s="3"/>
      <c r="G469" s="3"/>
      <c r="H469" s="3"/>
      <c r="I469" s="3"/>
      <c r="J469" s="3"/>
      <c r="K469" s="3"/>
      <c r="L469" s="5">
        <f ca="1">IFERROR(__xludf.DUMMYFUNCTION("""COMPUTED_VALUE"""),180)</f>
        <v>180</v>
      </c>
      <c r="M469" s="5">
        <f ca="1">IFERROR(__xludf.DUMMYFUNCTION("""COMPUTED_VALUE"""),181)</f>
        <v>181</v>
      </c>
      <c r="N469" s="3" t="str">
        <f ca="1">IFERROR(__xludf.DUMMYFUNCTION("""COMPUTED_VALUE""")," ")</f>
        <v xml:space="preserve"> </v>
      </c>
      <c r="O469" s="5">
        <f ca="1">IFERROR(__xludf.DUMMYFUNCTION("""COMPUTED_VALUE"""),911)</f>
        <v>911</v>
      </c>
      <c r="P469" s="3">
        <f ca="1">IFERROR(__xludf.DUMMYFUNCTION("""COMPUTED_VALUE"""),-44276)</f>
        <v>-44276</v>
      </c>
      <c r="Q469" s="5">
        <f ca="1">IFERROR(__xludf.DUMMYFUNCTION("""COMPUTED_VALUE"""),2007)</f>
        <v>2007</v>
      </c>
      <c r="R469" s="3"/>
      <c r="S469" s="3"/>
      <c r="T469" s="3"/>
      <c r="U469" s="3"/>
      <c r="V469" s="3"/>
      <c r="W469" s="3"/>
      <c r="X469" s="3"/>
    </row>
    <row r="470" spans="1:24" x14ac:dyDescent="0.2">
      <c r="A470" s="3"/>
      <c r="B470" s="3"/>
      <c r="C470" s="3"/>
      <c r="D470" s="3"/>
      <c r="E470" s="3"/>
      <c r="F470" s="3"/>
      <c r="G470" s="3"/>
      <c r="H470" s="3"/>
      <c r="I470" s="3"/>
      <c r="J470" s="3"/>
      <c r="K470" s="3"/>
      <c r="L470" s="5">
        <f ca="1">IFERROR(__xludf.DUMMYFUNCTION("""COMPUTED_VALUE"""),180)</f>
        <v>180</v>
      </c>
      <c r="M470" s="5">
        <f ca="1">IFERROR(__xludf.DUMMYFUNCTION("""COMPUTED_VALUE"""),181)</f>
        <v>181</v>
      </c>
      <c r="N470" s="3" t="str">
        <f ca="1">IFERROR(__xludf.DUMMYFUNCTION("""COMPUTED_VALUE""")," ")</f>
        <v xml:space="preserve"> </v>
      </c>
      <c r="O470" s="5">
        <f ca="1">IFERROR(__xludf.DUMMYFUNCTION("""COMPUTED_VALUE"""),911)</f>
        <v>911</v>
      </c>
      <c r="P470" s="3">
        <f ca="1">IFERROR(__xludf.DUMMYFUNCTION("""COMPUTED_VALUE"""),-44276)</f>
        <v>-44276</v>
      </c>
      <c r="Q470" s="5">
        <f ca="1">IFERROR(__xludf.DUMMYFUNCTION("""COMPUTED_VALUE"""),2007)</f>
        <v>2007</v>
      </c>
      <c r="R470" s="3"/>
      <c r="S470" s="3"/>
      <c r="T470" s="3"/>
      <c r="U470" s="3"/>
      <c r="V470" s="3"/>
      <c r="W470" s="3"/>
      <c r="X470" s="3"/>
    </row>
    <row r="471" spans="1:24" x14ac:dyDescent="0.2">
      <c r="A471" s="3"/>
      <c r="B471" s="3"/>
      <c r="C471" s="3"/>
      <c r="D471" s="3"/>
      <c r="E471" s="3"/>
      <c r="F471" s="3"/>
      <c r="G471" s="3"/>
      <c r="H471" s="3"/>
      <c r="I471" s="3"/>
      <c r="J471" s="3"/>
      <c r="K471" s="3"/>
      <c r="L471" s="5">
        <f ca="1">IFERROR(__xludf.DUMMYFUNCTION("""COMPUTED_VALUE"""),180)</f>
        <v>180</v>
      </c>
      <c r="M471" s="5">
        <f ca="1">IFERROR(__xludf.DUMMYFUNCTION("""COMPUTED_VALUE"""),181)</f>
        <v>181</v>
      </c>
      <c r="N471" s="3" t="str">
        <f ca="1">IFERROR(__xludf.DUMMYFUNCTION("""COMPUTED_VALUE""")," ")</f>
        <v xml:space="preserve"> </v>
      </c>
      <c r="O471" s="5">
        <f ca="1">IFERROR(__xludf.DUMMYFUNCTION("""COMPUTED_VALUE"""),911)</f>
        <v>911</v>
      </c>
      <c r="P471" s="3">
        <f ca="1">IFERROR(__xludf.DUMMYFUNCTION("""COMPUTED_VALUE"""),-44276)</f>
        <v>-44276</v>
      </c>
      <c r="Q471" s="5">
        <f ca="1">IFERROR(__xludf.DUMMYFUNCTION("""COMPUTED_VALUE"""),2007)</f>
        <v>2007</v>
      </c>
      <c r="R471" s="3"/>
      <c r="S471" s="3"/>
      <c r="T471" s="3"/>
      <c r="U471" s="3"/>
      <c r="V471" s="3"/>
      <c r="W471" s="3"/>
      <c r="X471" s="3"/>
    </row>
    <row r="472" spans="1:24" x14ac:dyDescent="0.2">
      <c r="A472" s="3"/>
      <c r="B472" s="3"/>
      <c r="C472" s="3"/>
      <c r="D472" s="3"/>
      <c r="E472" s="3"/>
      <c r="F472" s="3"/>
      <c r="G472" s="3"/>
      <c r="H472" s="3"/>
      <c r="I472" s="3"/>
      <c r="J472" s="3"/>
      <c r="K472" s="3"/>
      <c r="L472" s="5">
        <f ca="1">IFERROR(__xludf.DUMMYFUNCTION("""COMPUTED_VALUE"""),180)</f>
        <v>180</v>
      </c>
      <c r="M472" s="5">
        <f ca="1">IFERROR(__xludf.DUMMYFUNCTION("""COMPUTED_VALUE"""),181)</f>
        <v>181</v>
      </c>
      <c r="N472" s="3" t="str">
        <f ca="1">IFERROR(__xludf.DUMMYFUNCTION("""COMPUTED_VALUE""")," ")</f>
        <v xml:space="preserve"> </v>
      </c>
      <c r="O472" s="5">
        <f ca="1">IFERROR(__xludf.DUMMYFUNCTION("""COMPUTED_VALUE"""),911)</f>
        <v>911</v>
      </c>
      <c r="P472" s="3">
        <f ca="1">IFERROR(__xludf.DUMMYFUNCTION("""COMPUTED_VALUE"""),-44276)</f>
        <v>-44276</v>
      </c>
      <c r="Q472" s="5">
        <f ca="1">IFERROR(__xludf.DUMMYFUNCTION("""COMPUTED_VALUE"""),2007)</f>
        <v>2007</v>
      </c>
      <c r="R472" s="3"/>
      <c r="S472" s="3"/>
      <c r="T472" s="3"/>
      <c r="U472" s="3"/>
      <c r="V472" s="3"/>
      <c r="W472" s="3"/>
      <c r="X472" s="3"/>
    </row>
    <row r="473" spans="1:24" x14ac:dyDescent="0.2">
      <c r="A473" s="3"/>
      <c r="B473" s="3"/>
      <c r="C473" s="3"/>
      <c r="D473" s="3"/>
      <c r="E473" s="3"/>
      <c r="F473" s="3"/>
      <c r="G473" s="3"/>
      <c r="H473" s="3"/>
      <c r="I473" s="3"/>
      <c r="J473" s="3"/>
      <c r="K473" s="3"/>
      <c r="L473" s="5">
        <f ca="1">IFERROR(__xludf.DUMMYFUNCTION("""COMPUTED_VALUE"""),180)</f>
        <v>180</v>
      </c>
      <c r="M473" s="5">
        <f ca="1">IFERROR(__xludf.DUMMYFUNCTION("""COMPUTED_VALUE"""),181)</f>
        <v>181</v>
      </c>
      <c r="N473" s="3" t="str">
        <f ca="1">IFERROR(__xludf.DUMMYFUNCTION("""COMPUTED_VALUE""")," ")</f>
        <v xml:space="preserve"> </v>
      </c>
      <c r="O473" s="5">
        <f ca="1">IFERROR(__xludf.DUMMYFUNCTION("""COMPUTED_VALUE"""),911)</f>
        <v>911</v>
      </c>
      <c r="P473" s="3">
        <f ca="1">IFERROR(__xludf.DUMMYFUNCTION("""COMPUTED_VALUE"""),-44276)</f>
        <v>-44276</v>
      </c>
      <c r="Q473" s="5">
        <f ca="1">IFERROR(__xludf.DUMMYFUNCTION("""COMPUTED_VALUE"""),2007)</f>
        <v>2007</v>
      </c>
      <c r="R473" s="3"/>
      <c r="S473" s="3"/>
      <c r="T473" s="3"/>
      <c r="U473" s="3"/>
      <c r="V473" s="3"/>
      <c r="W473" s="3"/>
      <c r="X473" s="3"/>
    </row>
    <row r="474" spans="1:24" x14ac:dyDescent="0.2">
      <c r="A474" s="3"/>
      <c r="B474" s="3"/>
      <c r="C474" s="3"/>
      <c r="D474" s="3"/>
      <c r="E474" s="3"/>
      <c r="F474" s="3"/>
      <c r="G474" s="3"/>
      <c r="H474" s="3"/>
      <c r="I474" s="3"/>
      <c r="J474" s="3"/>
      <c r="K474" s="3"/>
      <c r="L474" s="5">
        <f ca="1">IFERROR(__xludf.DUMMYFUNCTION("""COMPUTED_VALUE"""),180)</f>
        <v>180</v>
      </c>
      <c r="M474" s="5">
        <f ca="1">IFERROR(__xludf.DUMMYFUNCTION("""COMPUTED_VALUE"""),181)</f>
        <v>181</v>
      </c>
      <c r="N474" s="3" t="str">
        <f ca="1">IFERROR(__xludf.DUMMYFUNCTION("""COMPUTED_VALUE""")," ")</f>
        <v xml:space="preserve"> </v>
      </c>
      <c r="O474" s="5">
        <f ca="1">IFERROR(__xludf.DUMMYFUNCTION("""COMPUTED_VALUE"""),911)</f>
        <v>911</v>
      </c>
      <c r="P474" s="3">
        <f ca="1">IFERROR(__xludf.DUMMYFUNCTION("""COMPUTED_VALUE"""),-44276)</f>
        <v>-44276</v>
      </c>
      <c r="Q474" s="5">
        <f ca="1">IFERROR(__xludf.DUMMYFUNCTION("""COMPUTED_VALUE"""),2007)</f>
        <v>2007</v>
      </c>
      <c r="R474" s="3"/>
      <c r="S474" s="3"/>
      <c r="T474" s="3"/>
      <c r="U474" s="3"/>
      <c r="V474" s="3"/>
      <c r="W474" s="3"/>
      <c r="X474" s="3"/>
    </row>
    <row r="475" spans="1:24" x14ac:dyDescent="0.2">
      <c r="A475" s="3"/>
      <c r="B475" s="3"/>
      <c r="C475" s="3"/>
      <c r="D475" s="3"/>
      <c r="E475" s="3"/>
      <c r="F475" s="3"/>
      <c r="G475" s="3"/>
      <c r="H475" s="3"/>
      <c r="I475" s="3"/>
      <c r="J475" s="3"/>
      <c r="K475" s="3"/>
      <c r="L475" s="5">
        <f ca="1">IFERROR(__xludf.DUMMYFUNCTION("""COMPUTED_VALUE"""),180)</f>
        <v>180</v>
      </c>
      <c r="M475" s="5">
        <f ca="1">IFERROR(__xludf.DUMMYFUNCTION("""COMPUTED_VALUE"""),181)</f>
        <v>181</v>
      </c>
      <c r="N475" s="3" t="str">
        <f ca="1">IFERROR(__xludf.DUMMYFUNCTION("""COMPUTED_VALUE""")," ")</f>
        <v xml:space="preserve"> </v>
      </c>
      <c r="O475" s="5">
        <f ca="1">IFERROR(__xludf.DUMMYFUNCTION("""COMPUTED_VALUE"""),911)</f>
        <v>911</v>
      </c>
      <c r="P475" s="3">
        <f ca="1">IFERROR(__xludf.DUMMYFUNCTION("""COMPUTED_VALUE"""),-44276)</f>
        <v>-44276</v>
      </c>
      <c r="Q475" s="5">
        <f ca="1">IFERROR(__xludf.DUMMYFUNCTION("""COMPUTED_VALUE"""),2007)</f>
        <v>2007</v>
      </c>
      <c r="R475" s="3"/>
      <c r="S475" s="3"/>
      <c r="T475" s="3"/>
      <c r="U475" s="3"/>
      <c r="V475" s="3"/>
      <c r="W475" s="3"/>
      <c r="X475" s="3"/>
    </row>
    <row r="476" spans="1:24" x14ac:dyDescent="0.2">
      <c r="A476" s="3"/>
      <c r="B476" s="3"/>
      <c r="C476" s="3"/>
      <c r="D476" s="3"/>
      <c r="E476" s="3"/>
      <c r="F476" s="3"/>
      <c r="G476" s="3"/>
      <c r="H476" s="3"/>
      <c r="I476" s="3"/>
      <c r="J476" s="3"/>
      <c r="K476" s="3"/>
      <c r="L476" s="5">
        <f ca="1">IFERROR(__xludf.DUMMYFUNCTION("""COMPUTED_VALUE"""),180)</f>
        <v>180</v>
      </c>
      <c r="M476" s="5">
        <f ca="1">IFERROR(__xludf.DUMMYFUNCTION("""COMPUTED_VALUE"""),181)</f>
        <v>181</v>
      </c>
      <c r="N476" s="3" t="str">
        <f ca="1">IFERROR(__xludf.DUMMYFUNCTION("""COMPUTED_VALUE""")," ")</f>
        <v xml:space="preserve"> </v>
      </c>
      <c r="O476" s="5">
        <f ca="1">IFERROR(__xludf.DUMMYFUNCTION("""COMPUTED_VALUE"""),911)</f>
        <v>911</v>
      </c>
      <c r="P476" s="3">
        <f ca="1">IFERROR(__xludf.DUMMYFUNCTION("""COMPUTED_VALUE"""),-44276)</f>
        <v>-44276</v>
      </c>
      <c r="Q476" s="5">
        <f ca="1">IFERROR(__xludf.DUMMYFUNCTION("""COMPUTED_VALUE"""),2007)</f>
        <v>2007</v>
      </c>
      <c r="R476" s="3"/>
      <c r="S476" s="3"/>
      <c r="T476" s="3"/>
      <c r="U476" s="3"/>
      <c r="V476" s="3"/>
      <c r="W476" s="3"/>
      <c r="X476" s="3"/>
    </row>
    <row r="477" spans="1:24" x14ac:dyDescent="0.2">
      <c r="A477" s="3"/>
      <c r="B477" s="3"/>
      <c r="C477" s="3"/>
      <c r="D477" s="3"/>
      <c r="E477" s="3"/>
      <c r="F477" s="3"/>
      <c r="G477" s="3"/>
      <c r="H477" s="3"/>
      <c r="I477" s="3"/>
      <c r="J477" s="3"/>
      <c r="K477" s="3"/>
      <c r="L477" s="5">
        <f ca="1">IFERROR(__xludf.DUMMYFUNCTION("""COMPUTED_VALUE"""),180)</f>
        <v>180</v>
      </c>
      <c r="M477" s="5">
        <f ca="1">IFERROR(__xludf.DUMMYFUNCTION("""COMPUTED_VALUE"""),181)</f>
        <v>181</v>
      </c>
      <c r="N477" s="3" t="str">
        <f ca="1">IFERROR(__xludf.DUMMYFUNCTION("""COMPUTED_VALUE""")," ")</f>
        <v xml:space="preserve"> </v>
      </c>
      <c r="O477" s="5">
        <f ca="1">IFERROR(__xludf.DUMMYFUNCTION("""COMPUTED_VALUE"""),911)</f>
        <v>911</v>
      </c>
      <c r="P477" s="3">
        <f ca="1">IFERROR(__xludf.DUMMYFUNCTION("""COMPUTED_VALUE"""),-44276)</f>
        <v>-44276</v>
      </c>
      <c r="Q477" s="5">
        <f ca="1">IFERROR(__xludf.DUMMYFUNCTION("""COMPUTED_VALUE"""),2007)</f>
        <v>2007</v>
      </c>
      <c r="R477" s="3"/>
      <c r="S477" s="3"/>
      <c r="T477" s="3"/>
      <c r="U477" s="3"/>
      <c r="V477" s="3"/>
      <c r="W477" s="3"/>
      <c r="X477" s="3"/>
    </row>
    <row r="478" spans="1:24" x14ac:dyDescent="0.2">
      <c r="A478" s="3"/>
      <c r="B478" s="3"/>
      <c r="C478" s="3"/>
      <c r="D478" s="3"/>
      <c r="E478" s="3"/>
      <c r="F478" s="3"/>
      <c r="G478" s="3"/>
      <c r="H478" s="3"/>
      <c r="I478" s="3"/>
      <c r="J478" s="3"/>
      <c r="K478" s="3"/>
      <c r="L478" s="5">
        <f ca="1">IFERROR(__xludf.DUMMYFUNCTION("""COMPUTED_VALUE"""),180)</f>
        <v>180</v>
      </c>
      <c r="M478" s="5">
        <f ca="1">IFERROR(__xludf.DUMMYFUNCTION("""COMPUTED_VALUE"""),181)</f>
        <v>181</v>
      </c>
      <c r="N478" s="3" t="str">
        <f ca="1">IFERROR(__xludf.DUMMYFUNCTION("""COMPUTED_VALUE""")," ")</f>
        <v xml:space="preserve"> </v>
      </c>
      <c r="O478" s="5">
        <f ca="1">IFERROR(__xludf.DUMMYFUNCTION("""COMPUTED_VALUE"""),911)</f>
        <v>911</v>
      </c>
      <c r="P478" s="3">
        <f ca="1">IFERROR(__xludf.DUMMYFUNCTION("""COMPUTED_VALUE"""),-44276)</f>
        <v>-44276</v>
      </c>
      <c r="Q478" s="5">
        <f ca="1">IFERROR(__xludf.DUMMYFUNCTION("""COMPUTED_VALUE"""),2007)</f>
        <v>2007</v>
      </c>
      <c r="R478" s="3"/>
      <c r="S478" s="3"/>
      <c r="T478" s="3"/>
      <c r="U478" s="3"/>
      <c r="V478" s="3"/>
      <c r="W478" s="3"/>
      <c r="X478" s="3"/>
    </row>
    <row r="479" spans="1:24" x14ac:dyDescent="0.2">
      <c r="A479" s="3"/>
      <c r="B479" s="3"/>
      <c r="C479" s="3"/>
      <c r="D479" s="3"/>
      <c r="E479" s="3"/>
      <c r="F479" s="3"/>
      <c r="G479" s="3"/>
      <c r="H479" s="3"/>
      <c r="I479" s="3"/>
      <c r="J479" s="3"/>
      <c r="K479" s="3"/>
      <c r="L479" s="5">
        <f ca="1">IFERROR(__xludf.DUMMYFUNCTION("""COMPUTED_VALUE"""),180)</f>
        <v>180</v>
      </c>
      <c r="M479" s="5">
        <f ca="1">IFERROR(__xludf.DUMMYFUNCTION("""COMPUTED_VALUE"""),181)</f>
        <v>181</v>
      </c>
      <c r="N479" s="3" t="str">
        <f ca="1">IFERROR(__xludf.DUMMYFUNCTION("""COMPUTED_VALUE""")," ")</f>
        <v xml:space="preserve"> </v>
      </c>
      <c r="O479" s="5">
        <f ca="1">IFERROR(__xludf.DUMMYFUNCTION("""COMPUTED_VALUE"""),911)</f>
        <v>911</v>
      </c>
      <c r="P479" s="3">
        <f ca="1">IFERROR(__xludf.DUMMYFUNCTION("""COMPUTED_VALUE"""),-44276)</f>
        <v>-44276</v>
      </c>
      <c r="Q479" s="5">
        <f ca="1">IFERROR(__xludf.DUMMYFUNCTION("""COMPUTED_VALUE"""),2007)</f>
        <v>2007</v>
      </c>
      <c r="R479" s="3"/>
      <c r="S479" s="3"/>
      <c r="T479" s="3"/>
      <c r="U479" s="3"/>
      <c r="V479" s="3"/>
      <c r="W479" s="3"/>
      <c r="X479" s="3"/>
    </row>
    <row r="480" spans="1:24" x14ac:dyDescent="0.2">
      <c r="A480" s="3"/>
      <c r="B480" s="3"/>
      <c r="C480" s="3"/>
      <c r="D480" s="3"/>
      <c r="E480" s="3"/>
      <c r="F480" s="3"/>
      <c r="G480" s="3"/>
      <c r="H480" s="3"/>
      <c r="I480" s="3"/>
      <c r="J480" s="3"/>
      <c r="K480" s="3"/>
      <c r="L480" s="5">
        <f ca="1">IFERROR(__xludf.DUMMYFUNCTION("""COMPUTED_VALUE"""),180)</f>
        <v>180</v>
      </c>
      <c r="M480" s="5">
        <f ca="1">IFERROR(__xludf.DUMMYFUNCTION("""COMPUTED_VALUE"""),181)</f>
        <v>181</v>
      </c>
      <c r="N480" s="3" t="str">
        <f ca="1">IFERROR(__xludf.DUMMYFUNCTION("""COMPUTED_VALUE""")," ")</f>
        <v xml:space="preserve"> </v>
      </c>
      <c r="O480" s="5">
        <f ca="1">IFERROR(__xludf.DUMMYFUNCTION("""COMPUTED_VALUE"""),911)</f>
        <v>911</v>
      </c>
      <c r="P480" s="3">
        <f ca="1">IFERROR(__xludf.DUMMYFUNCTION("""COMPUTED_VALUE"""),-44276)</f>
        <v>-44276</v>
      </c>
      <c r="Q480" s="5">
        <f ca="1">IFERROR(__xludf.DUMMYFUNCTION("""COMPUTED_VALUE"""),2007)</f>
        <v>2007</v>
      </c>
      <c r="R480" s="3"/>
      <c r="S480" s="3"/>
      <c r="T480" s="3"/>
      <c r="U480" s="3"/>
      <c r="V480" s="3"/>
      <c r="W480" s="3"/>
      <c r="X480" s="3"/>
    </row>
    <row r="481" spans="1:24" x14ac:dyDescent="0.2">
      <c r="A481" s="3"/>
      <c r="B481" s="3"/>
      <c r="C481" s="3"/>
      <c r="D481" s="3"/>
      <c r="E481" s="3"/>
      <c r="F481" s="3"/>
      <c r="G481" s="3"/>
      <c r="H481" s="3"/>
      <c r="I481" s="3"/>
      <c r="J481" s="3"/>
      <c r="K481" s="3"/>
      <c r="L481" s="5">
        <f ca="1">IFERROR(__xludf.DUMMYFUNCTION("""COMPUTED_VALUE"""),180)</f>
        <v>180</v>
      </c>
      <c r="M481" s="5">
        <f ca="1">IFERROR(__xludf.DUMMYFUNCTION("""COMPUTED_VALUE"""),181)</f>
        <v>181</v>
      </c>
      <c r="N481" s="3" t="str">
        <f ca="1">IFERROR(__xludf.DUMMYFUNCTION("""COMPUTED_VALUE""")," ")</f>
        <v xml:space="preserve"> </v>
      </c>
      <c r="O481" s="5">
        <f ca="1">IFERROR(__xludf.DUMMYFUNCTION("""COMPUTED_VALUE"""),911)</f>
        <v>911</v>
      </c>
      <c r="P481" s="3">
        <f ca="1">IFERROR(__xludf.DUMMYFUNCTION("""COMPUTED_VALUE"""),-44276)</f>
        <v>-44276</v>
      </c>
      <c r="Q481" s="5">
        <f ca="1">IFERROR(__xludf.DUMMYFUNCTION("""COMPUTED_VALUE"""),2007)</f>
        <v>2007</v>
      </c>
      <c r="R481" s="3"/>
      <c r="S481" s="3"/>
      <c r="T481" s="3"/>
      <c r="U481" s="3"/>
      <c r="V481" s="3"/>
      <c r="W481" s="3"/>
      <c r="X481" s="3"/>
    </row>
    <row r="482" spans="1:24" x14ac:dyDescent="0.2">
      <c r="A482" s="3"/>
      <c r="B482" s="3"/>
      <c r="C482" s="3"/>
      <c r="D482" s="3"/>
      <c r="E482" s="3"/>
      <c r="F482" s="3"/>
      <c r="G482" s="3"/>
      <c r="H482" s="3"/>
      <c r="I482" s="3"/>
      <c r="J482" s="3"/>
      <c r="K482" s="3"/>
      <c r="L482" s="5">
        <f ca="1">IFERROR(__xludf.DUMMYFUNCTION("""COMPUTED_VALUE"""),180)</f>
        <v>180</v>
      </c>
      <c r="M482" s="5">
        <f ca="1">IFERROR(__xludf.DUMMYFUNCTION("""COMPUTED_VALUE"""),181)</f>
        <v>181</v>
      </c>
      <c r="N482" s="3" t="str">
        <f ca="1">IFERROR(__xludf.DUMMYFUNCTION("""COMPUTED_VALUE""")," ")</f>
        <v xml:space="preserve"> </v>
      </c>
      <c r="O482" s="5">
        <f ca="1">IFERROR(__xludf.DUMMYFUNCTION("""COMPUTED_VALUE"""),911)</f>
        <v>911</v>
      </c>
      <c r="P482" s="3">
        <f ca="1">IFERROR(__xludf.DUMMYFUNCTION("""COMPUTED_VALUE"""),-44276)</f>
        <v>-44276</v>
      </c>
      <c r="Q482" s="5">
        <f ca="1">IFERROR(__xludf.DUMMYFUNCTION("""COMPUTED_VALUE"""),2007)</f>
        <v>2007</v>
      </c>
      <c r="R482" s="3"/>
      <c r="S482" s="3"/>
      <c r="T482" s="3"/>
      <c r="U482" s="3"/>
      <c r="V482" s="3"/>
      <c r="W482" s="3"/>
      <c r="X482" s="3"/>
    </row>
    <row r="483" spans="1:24" x14ac:dyDescent="0.2">
      <c r="A483" s="3"/>
      <c r="B483" s="3"/>
      <c r="C483" s="3"/>
      <c r="D483" s="3"/>
      <c r="E483" s="3"/>
      <c r="F483" s="3"/>
      <c r="G483" s="3"/>
      <c r="H483" s="3"/>
      <c r="I483" s="3"/>
      <c r="J483" s="3"/>
      <c r="K483" s="3"/>
      <c r="L483" s="5">
        <f ca="1">IFERROR(__xludf.DUMMYFUNCTION("""COMPUTED_VALUE"""),180)</f>
        <v>180</v>
      </c>
      <c r="M483" s="5">
        <f ca="1">IFERROR(__xludf.DUMMYFUNCTION("""COMPUTED_VALUE"""),181)</f>
        <v>181</v>
      </c>
      <c r="N483" s="3" t="str">
        <f ca="1">IFERROR(__xludf.DUMMYFUNCTION("""COMPUTED_VALUE""")," ")</f>
        <v xml:space="preserve"> </v>
      </c>
      <c r="O483" s="5">
        <f ca="1">IFERROR(__xludf.DUMMYFUNCTION("""COMPUTED_VALUE"""),911)</f>
        <v>911</v>
      </c>
      <c r="P483" s="3">
        <f ca="1">IFERROR(__xludf.DUMMYFUNCTION("""COMPUTED_VALUE"""),-44276)</f>
        <v>-44276</v>
      </c>
      <c r="Q483" s="5">
        <f ca="1">IFERROR(__xludf.DUMMYFUNCTION("""COMPUTED_VALUE"""),2007)</f>
        <v>2007</v>
      </c>
      <c r="R483" s="3"/>
      <c r="S483" s="3"/>
      <c r="T483" s="3"/>
      <c r="U483" s="3"/>
      <c r="V483" s="3"/>
      <c r="W483" s="3"/>
      <c r="X483" s="3"/>
    </row>
    <row r="484" spans="1:24" x14ac:dyDescent="0.2">
      <c r="A484" s="3"/>
      <c r="B484" s="3"/>
      <c r="C484" s="3"/>
      <c r="D484" s="3"/>
      <c r="E484" s="3"/>
      <c r="F484" s="3"/>
      <c r="G484" s="3"/>
      <c r="H484" s="3"/>
      <c r="I484" s="3"/>
      <c r="J484" s="3"/>
      <c r="K484" s="3"/>
      <c r="L484" s="5">
        <f ca="1">IFERROR(__xludf.DUMMYFUNCTION("""COMPUTED_VALUE"""),180)</f>
        <v>180</v>
      </c>
      <c r="M484" s="5">
        <f ca="1">IFERROR(__xludf.DUMMYFUNCTION("""COMPUTED_VALUE"""),181)</f>
        <v>181</v>
      </c>
      <c r="N484" s="3" t="str">
        <f ca="1">IFERROR(__xludf.DUMMYFUNCTION("""COMPUTED_VALUE""")," ")</f>
        <v xml:space="preserve"> </v>
      </c>
      <c r="O484" s="5">
        <f ca="1">IFERROR(__xludf.DUMMYFUNCTION("""COMPUTED_VALUE"""),911)</f>
        <v>911</v>
      </c>
      <c r="P484" s="3">
        <f ca="1">IFERROR(__xludf.DUMMYFUNCTION("""COMPUTED_VALUE"""),-44276)</f>
        <v>-44276</v>
      </c>
      <c r="Q484" s="5">
        <f ca="1">IFERROR(__xludf.DUMMYFUNCTION("""COMPUTED_VALUE"""),2007)</f>
        <v>2007</v>
      </c>
      <c r="R484" s="3"/>
      <c r="S484" s="3"/>
      <c r="T484" s="3"/>
      <c r="U484" s="3"/>
      <c r="V484" s="3"/>
      <c r="W484" s="3"/>
      <c r="X484" s="3"/>
    </row>
    <row r="485" spans="1:24" x14ac:dyDescent="0.2">
      <c r="A485" s="3"/>
      <c r="B485" s="3"/>
      <c r="C485" s="3"/>
      <c r="D485" s="3"/>
      <c r="E485" s="3"/>
      <c r="F485" s="3"/>
      <c r="G485" s="3"/>
      <c r="H485" s="3"/>
      <c r="I485" s="3"/>
      <c r="J485" s="3"/>
      <c r="K485" s="3"/>
      <c r="L485" s="5">
        <f ca="1">IFERROR(__xludf.DUMMYFUNCTION("""COMPUTED_VALUE"""),180)</f>
        <v>180</v>
      </c>
      <c r="M485" s="5">
        <f ca="1">IFERROR(__xludf.DUMMYFUNCTION("""COMPUTED_VALUE"""),181)</f>
        <v>181</v>
      </c>
      <c r="N485" s="3" t="str">
        <f ca="1">IFERROR(__xludf.DUMMYFUNCTION("""COMPUTED_VALUE""")," ")</f>
        <v xml:space="preserve"> </v>
      </c>
      <c r="O485" s="5">
        <f ca="1">IFERROR(__xludf.DUMMYFUNCTION("""COMPUTED_VALUE"""),911)</f>
        <v>911</v>
      </c>
      <c r="P485" s="3">
        <f ca="1">IFERROR(__xludf.DUMMYFUNCTION("""COMPUTED_VALUE"""),-44276)</f>
        <v>-44276</v>
      </c>
      <c r="Q485" s="5">
        <f ca="1">IFERROR(__xludf.DUMMYFUNCTION("""COMPUTED_VALUE"""),2007)</f>
        <v>2007</v>
      </c>
      <c r="R485" s="3"/>
      <c r="S485" s="3"/>
      <c r="T485" s="3"/>
      <c r="U485" s="3"/>
      <c r="V485" s="3"/>
      <c r="W485" s="3"/>
      <c r="X485" s="3"/>
    </row>
    <row r="486" spans="1:24" x14ac:dyDescent="0.2">
      <c r="A486" s="3"/>
      <c r="B486" s="3"/>
      <c r="C486" s="3"/>
      <c r="D486" s="3"/>
      <c r="E486" s="3"/>
      <c r="F486" s="3"/>
      <c r="G486" s="3"/>
      <c r="H486" s="3"/>
      <c r="I486" s="3"/>
      <c r="J486" s="3"/>
      <c r="K486" s="3"/>
      <c r="L486" s="5">
        <f ca="1">IFERROR(__xludf.DUMMYFUNCTION("""COMPUTED_VALUE"""),180)</f>
        <v>180</v>
      </c>
      <c r="M486" s="5">
        <f ca="1">IFERROR(__xludf.DUMMYFUNCTION("""COMPUTED_VALUE"""),181)</f>
        <v>181</v>
      </c>
      <c r="N486" s="3" t="str">
        <f ca="1">IFERROR(__xludf.DUMMYFUNCTION("""COMPUTED_VALUE""")," ")</f>
        <v xml:space="preserve"> </v>
      </c>
      <c r="O486" s="5">
        <f ca="1">IFERROR(__xludf.DUMMYFUNCTION("""COMPUTED_VALUE"""),911)</f>
        <v>911</v>
      </c>
      <c r="P486" s="3">
        <f ca="1">IFERROR(__xludf.DUMMYFUNCTION("""COMPUTED_VALUE"""),-44276)</f>
        <v>-44276</v>
      </c>
      <c r="Q486" s="5">
        <f ca="1">IFERROR(__xludf.DUMMYFUNCTION("""COMPUTED_VALUE"""),2007)</f>
        <v>2007</v>
      </c>
      <c r="R486" s="3"/>
      <c r="S486" s="3"/>
      <c r="T486" s="3"/>
      <c r="U486" s="3"/>
      <c r="V486" s="3"/>
      <c r="W486" s="3"/>
      <c r="X486" s="3"/>
    </row>
    <row r="487" spans="1:24" x14ac:dyDescent="0.2">
      <c r="A487" s="3"/>
      <c r="B487" s="3"/>
      <c r="C487" s="3"/>
      <c r="D487" s="3"/>
      <c r="E487" s="3"/>
      <c r="F487" s="3"/>
      <c r="G487" s="3"/>
      <c r="H487" s="3"/>
      <c r="I487" s="3"/>
      <c r="J487" s="3"/>
      <c r="K487" s="3"/>
      <c r="L487" s="5">
        <f ca="1">IFERROR(__xludf.DUMMYFUNCTION("""COMPUTED_VALUE"""),180)</f>
        <v>180</v>
      </c>
      <c r="M487" s="5">
        <f ca="1">IFERROR(__xludf.DUMMYFUNCTION("""COMPUTED_VALUE"""),181)</f>
        <v>181</v>
      </c>
      <c r="N487" s="3" t="str">
        <f ca="1">IFERROR(__xludf.DUMMYFUNCTION("""COMPUTED_VALUE""")," ")</f>
        <v xml:space="preserve"> </v>
      </c>
      <c r="O487" s="5">
        <f ca="1">IFERROR(__xludf.DUMMYFUNCTION("""COMPUTED_VALUE"""),911)</f>
        <v>911</v>
      </c>
      <c r="P487" s="3">
        <f ca="1">IFERROR(__xludf.DUMMYFUNCTION("""COMPUTED_VALUE"""),-44276)</f>
        <v>-44276</v>
      </c>
      <c r="Q487" s="5">
        <f ca="1">IFERROR(__xludf.DUMMYFUNCTION("""COMPUTED_VALUE"""),2007)</f>
        <v>2007</v>
      </c>
      <c r="R487" s="3"/>
      <c r="S487" s="3"/>
      <c r="T487" s="3"/>
      <c r="U487" s="3"/>
      <c r="V487" s="3"/>
      <c r="W487" s="3"/>
      <c r="X487" s="3"/>
    </row>
    <row r="488" spans="1:24" x14ac:dyDescent="0.2">
      <c r="A488" s="3"/>
      <c r="B488" s="3"/>
      <c r="C488" s="3"/>
      <c r="D488" s="3"/>
      <c r="E488" s="3"/>
      <c r="F488" s="3"/>
      <c r="G488" s="3"/>
      <c r="H488" s="3"/>
      <c r="I488" s="3"/>
      <c r="J488" s="3"/>
      <c r="K488" s="3"/>
      <c r="L488" s="5">
        <f ca="1">IFERROR(__xludf.DUMMYFUNCTION("""COMPUTED_VALUE"""),180)</f>
        <v>180</v>
      </c>
      <c r="M488" s="5">
        <f ca="1">IFERROR(__xludf.DUMMYFUNCTION("""COMPUTED_VALUE"""),181)</f>
        <v>181</v>
      </c>
      <c r="N488" s="3" t="str">
        <f ca="1">IFERROR(__xludf.DUMMYFUNCTION("""COMPUTED_VALUE""")," ")</f>
        <v xml:space="preserve"> </v>
      </c>
      <c r="O488" s="5">
        <f ca="1">IFERROR(__xludf.DUMMYFUNCTION("""COMPUTED_VALUE"""),911)</f>
        <v>911</v>
      </c>
      <c r="P488" s="3">
        <f ca="1">IFERROR(__xludf.DUMMYFUNCTION("""COMPUTED_VALUE"""),-44276)</f>
        <v>-44276</v>
      </c>
      <c r="Q488" s="5">
        <f ca="1">IFERROR(__xludf.DUMMYFUNCTION("""COMPUTED_VALUE"""),2007)</f>
        <v>2007</v>
      </c>
      <c r="R488" s="3"/>
      <c r="S488" s="3"/>
      <c r="T488" s="3"/>
      <c r="U488" s="3"/>
      <c r="V488" s="3"/>
      <c r="W488" s="3"/>
      <c r="X488" s="3"/>
    </row>
    <row r="489" spans="1:24" x14ac:dyDescent="0.2">
      <c r="A489" s="3"/>
      <c r="B489" s="3"/>
      <c r="C489" s="3"/>
      <c r="D489" s="3"/>
      <c r="E489" s="3"/>
      <c r="F489" s="3"/>
      <c r="G489" s="3"/>
      <c r="H489" s="3"/>
      <c r="I489" s="3"/>
      <c r="J489" s="3"/>
      <c r="K489" s="3"/>
      <c r="L489" s="5">
        <f ca="1">IFERROR(__xludf.DUMMYFUNCTION("""COMPUTED_VALUE"""),180)</f>
        <v>180</v>
      </c>
      <c r="M489" s="5">
        <f ca="1">IFERROR(__xludf.DUMMYFUNCTION("""COMPUTED_VALUE"""),181)</f>
        <v>181</v>
      </c>
      <c r="N489" s="3" t="str">
        <f ca="1">IFERROR(__xludf.DUMMYFUNCTION("""COMPUTED_VALUE""")," ")</f>
        <v xml:space="preserve"> </v>
      </c>
      <c r="O489" s="5">
        <f ca="1">IFERROR(__xludf.DUMMYFUNCTION("""COMPUTED_VALUE"""),911)</f>
        <v>911</v>
      </c>
      <c r="P489" s="3">
        <f ca="1">IFERROR(__xludf.DUMMYFUNCTION("""COMPUTED_VALUE"""),-44276)</f>
        <v>-44276</v>
      </c>
      <c r="Q489" s="5">
        <f ca="1">IFERROR(__xludf.DUMMYFUNCTION("""COMPUTED_VALUE"""),2007)</f>
        <v>2007</v>
      </c>
      <c r="R489" s="3"/>
      <c r="S489" s="3"/>
      <c r="T489" s="3"/>
      <c r="U489" s="3"/>
      <c r="V489" s="3"/>
      <c r="W489" s="3"/>
      <c r="X489" s="3"/>
    </row>
    <row r="490" spans="1:24" x14ac:dyDescent="0.2">
      <c r="A490" s="3"/>
      <c r="B490" s="3"/>
      <c r="C490" s="3"/>
      <c r="D490" s="3"/>
      <c r="E490" s="3"/>
      <c r="F490" s="3"/>
      <c r="G490" s="3"/>
      <c r="H490" s="3"/>
      <c r="I490" s="3"/>
      <c r="J490" s="3"/>
      <c r="K490" s="3"/>
      <c r="L490" s="5">
        <f ca="1">IFERROR(__xludf.DUMMYFUNCTION("""COMPUTED_VALUE"""),180)</f>
        <v>180</v>
      </c>
      <c r="M490" s="5">
        <f ca="1">IFERROR(__xludf.DUMMYFUNCTION("""COMPUTED_VALUE"""),181)</f>
        <v>181</v>
      </c>
      <c r="N490" s="3" t="str">
        <f ca="1">IFERROR(__xludf.DUMMYFUNCTION("""COMPUTED_VALUE""")," ")</f>
        <v xml:space="preserve"> </v>
      </c>
      <c r="O490" s="5">
        <f ca="1">IFERROR(__xludf.DUMMYFUNCTION("""COMPUTED_VALUE"""),911)</f>
        <v>911</v>
      </c>
      <c r="P490" s="3">
        <f ca="1">IFERROR(__xludf.DUMMYFUNCTION("""COMPUTED_VALUE"""),-44276)</f>
        <v>-44276</v>
      </c>
      <c r="Q490" s="5">
        <f ca="1">IFERROR(__xludf.DUMMYFUNCTION("""COMPUTED_VALUE"""),2007)</f>
        <v>2007</v>
      </c>
      <c r="R490" s="3"/>
      <c r="S490" s="3"/>
      <c r="T490" s="3"/>
      <c r="U490" s="3"/>
      <c r="V490" s="3"/>
      <c r="W490" s="3"/>
      <c r="X490" s="3"/>
    </row>
    <row r="491" spans="1:24" x14ac:dyDescent="0.2">
      <c r="A491" s="3"/>
      <c r="B491" s="3"/>
      <c r="C491" s="3"/>
      <c r="D491" s="3"/>
      <c r="E491" s="3"/>
      <c r="F491" s="3"/>
      <c r="G491" s="3"/>
      <c r="H491" s="3"/>
      <c r="I491" s="3"/>
      <c r="J491" s="3"/>
      <c r="K491" s="3"/>
      <c r="L491" s="5">
        <f ca="1">IFERROR(__xludf.DUMMYFUNCTION("""COMPUTED_VALUE"""),180)</f>
        <v>180</v>
      </c>
      <c r="M491" s="5">
        <f ca="1">IFERROR(__xludf.DUMMYFUNCTION("""COMPUTED_VALUE"""),181)</f>
        <v>181</v>
      </c>
      <c r="N491" s="3" t="str">
        <f ca="1">IFERROR(__xludf.DUMMYFUNCTION("""COMPUTED_VALUE""")," ")</f>
        <v xml:space="preserve"> </v>
      </c>
      <c r="O491" s="5">
        <f ca="1">IFERROR(__xludf.DUMMYFUNCTION("""COMPUTED_VALUE"""),911)</f>
        <v>911</v>
      </c>
      <c r="P491" s="3">
        <f ca="1">IFERROR(__xludf.DUMMYFUNCTION("""COMPUTED_VALUE"""),-44276)</f>
        <v>-44276</v>
      </c>
      <c r="Q491" s="5">
        <f ca="1">IFERROR(__xludf.DUMMYFUNCTION("""COMPUTED_VALUE"""),2007)</f>
        <v>2007</v>
      </c>
      <c r="R491" s="3"/>
      <c r="S491" s="3"/>
      <c r="T491" s="3"/>
      <c r="U491" s="3"/>
      <c r="V491" s="3"/>
      <c r="W491" s="3"/>
      <c r="X491" s="3"/>
    </row>
    <row r="492" spans="1:24" x14ac:dyDescent="0.2">
      <c r="A492" s="3"/>
      <c r="B492" s="3"/>
      <c r="C492" s="3"/>
      <c r="D492" s="3"/>
      <c r="E492" s="3"/>
      <c r="F492" s="3"/>
      <c r="G492" s="3"/>
      <c r="H492" s="3"/>
      <c r="I492" s="3"/>
      <c r="J492" s="3"/>
      <c r="K492" s="3"/>
      <c r="L492" s="5">
        <f ca="1">IFERROR(__xludf.DUMMYFUNCTION("""COMPUTED_VALUE"""),180)</f>
        <v>180</v>
      </c>
      <c r="M492" s="5">
        <f ca="1">IFERROR(__xludf.DUMMYFUNCTION("""COMPUTED_VALUE"""),181)</f>
        <v>181</v>
      </c>
      <c r="N492" s="3" t="str">
        <f ca="1">IFERROR(__xludf.DUMMYFUNCTION("""COMPUTED_VALUE""")," ")</f>
        <v xml:space="preserve"> </v>
      </c>
      <c r="O492" s="5">
        <f ca="1">IFERROR(__xludf.DUMMYFUNCTION("""COMPUTED_VALUE"""),911)</f>
        <v>911</v>
      </c>
      <c r="P492" s="3">
        <f ca="1">IFERROR(__xludf.DUMMYFUNCTION("""COMPUTED_VALUE"""),-44276)</f>
        <v>-44276</v>
      </c>
      <c r="Q492" s="5">
        <f ca="1">IFERROR(__xludf.DUMMYFUNCTION("""COMPUTED_VALUE"""),2007)</f>
        <v>2007</v>
      </c>
      <c r="R492" s="3"/>
      <c r="S492" s="3"/>
      <c r="T492" s="3"/>
      <c r="U492" s="3"/>
      <c r="V492" s="3"/>
      <c r="W492" s="3"/>
      <c r="X492" s="3"/>
    </row>
    <row r="493" spans="1:24" x14ac:dyDescent="0.2">
      <c r="A493" s="3"/>
      <c r="B493" s="3"/>
      <c r="C493" s="3"/>
      <c r="D493" s="3"/>
      <c r="E493" s="3"/>
      <c r="F493" s="3"/>
      <c r="G493" s="3"/>
      <c r="H493" s="3"/>
      <c r="I493" s="3"/>
      <c r="J493" s="3"/>
      <c r="K493" s="3"/>
      <c r="L493" s="5">
        <f ca="1">IFERROR(__xludf.DUMMYFUNCTION("""COMPUTED_VALUE"""),180)</f>
        <v>180</v>
      </c>
      <c r="M493" s="5">
        <f ca="1">IFERROR(__xludf.DUMMYFUNCTION("""COMPUTED_VALUE"""),181)</f>
        <v>181</v>
      </c>
      <c r="N493" s="3" t="str">
        <f ca="1">IFERROR(__xludf.DUMMYFUNCTION("""COMPUTED_VALUE""")," ")</f>
        <v xml:space="preserve"> </v>
      </c>
      <c r="O493" s="5">
        <f ca="1">IFERROR(__xludf.DUMMYFUNCTION("""COMPUTED_VALUE"""),911)</f>
        <v>911</v>
      </c>
      <c r="P493" s="3">
        <f ca="1">IFERROR(__xludf.DUMMYFUNCTION("""COMPUTED_VALUE"""),-44276)</f>
        <v>-44276</v>
      </c>
      <c r="Q493" s="5">
        <f ca="1">IFERROR(__xludf.DUMMYFUNCTION("""COMPUTED_VALUE"""),2007)</f>
        <v>2007</v>
      </c>
      <c r="R493" s="3"/>
      <c r="S493" s="3"/>
      <c r="T493" s="3"/>
      <c r="U493" s="3"/>
      <c r="V493" s="3"/>
      <c r="W493" s="3"/>
      <c r="X493" s="3"/>
    </row>
    <row r="494" spans="1:24" x14ac:dyDescent="0.2">
      <c r="A494" s="3"/>
      <c r="B494" s="3"/>
      <c r="C494" s="3"/>
      <c r="D494" s="3"/>
      <c r="E494" s="3"/>
      <c r="F494" s="3"/>
      <c r="G494" s="3"/>
      <c r="H494" s="3"/>
      <c r="I494" s="3"/>
      <c r="J494" s="3"/>
      <c r="K494" s="3"/>
      <c r="L494" s="5">
        <f ca="1">IFERROR(__xludf.DUMMYFUNCTION("""COMPUTED_VALUE"""),180)</f>
        <v>180</v>
      </c>
      <c r="M494" s="5">
        <f ca="1">IFERROR(__xludf.DUMMYFUNCTION("""COMPUTED_VALUE"""),181)</f>
        <v>181</v>
      </c>
      <c r="N494" s="3" t="str">
        <f ca="1">IFERROR(__xludf.DUMMYFUNCTION("""COMPUTED_VALUE""")," ")</f>
        <v xml:space="preserve"> </v>
      </c>
      <c r="O494" s="5">
        <f ca="1">IFERROR(__xludf.DUMMYFUNCTION("""COMPUTED_VALUE"""),911)</f>
        <v>911</v>
      </c>
      <c r="P494" s="3">
        <f ca="1">IFERROR(__xludf.DUMMYFUNCTION("""COMPUTED_VALUE"""),-44276)</f>
        <v>-44276</v>
      </c>
      <c r="Q494" s="5">
        <f ca="1">IFERROR(__xludf.DUMMYFUNCTION("""COMPUTED_VALUE"""),2007)</f>
        <v>2007</v>
      </c>
      <c r="R494" s="3"/>
      <c r="S494" s="3"/>
      <c r="T494" s="3"/>
      <c r="U494" s="3"/>
      <c r="V494" s="3"/>
      <c r="W494" s="3"/>
      <c r="X494" s="3"/>
    </row>
    <row r="495" spans="1:24" x14ac:dyDescent="0.2">
      <c r="A495" s="3"/>
      <c r="B495" s="3"/>
      <c r="C495" s="3"/>
      <c r="D495" s="3"/>
      <c r="E495" s="3"/>
      <c r="F495" s="3"/>
      <c r="G495" s="3"/>
      <c r="H495" s="3"/>
      <c r="I495" s="3"/>
      <c r="J495" s="3"/>
      <c r="K495" s="3"/>
      <c r="L495" s="5">
        <f ca="1">IFERROR(__xludf.DUMMYFUNCTION("""COMPUTED_VALUE"""),180)</f>
        <v>180</v>
      </c>
      <c r="M495" s="5">
        <f ca="1">IFERROR(__xludf.DUMMYFUNCTION("""COMPUTED_VALUE"""),181)</f>
        <v>181</v>
      </c>
      <c r="N495" s="3" t="str">
        <f ca="1">IFERROR(__xludf.DUMMYFUNCTION("""COMPUTED_VALUE""")," ")</f>
        <v xml:space="preserve"> </v>
      </c>
      <c r="O495" s="5">
        <f ca="1">IFERROR(__xludf.DUMMYFUNCTION("""COMPUTED_VALUE"""),911)</f>
        <v>911</v>
      </c>
      <c r="P495" s="3">
        <f ca="1">IFERROR(__xludf.DUMMYFUNCTION("""COMPUTED_VALUE"""),-44276)</f>
        <v>-44276</v>
      </c>
      <c r="Q495" s="5">
        <f ca="1">IFERROR(__xludf.DUMMYFUNCTION("""COMPUTED_VALUE"""),2007)</f>
        <v>2007</v>
      </c>
      <c r="R495" s="3"/>
      <c r="S495" s="3"/>
      <c r="T495" s="3"/>
      <c r="U495" s="3"/>
      <c r="V495" s="3"/>
      <c r="W495" s="3"/>
      <c r="X495" s="3"/>
    </row>
    <row r="496" spans="1:24" x14ac:dyDescent="0.2">
      <c r="A496" s="3"/>
      <c r="B496" s="3"/>
      <c r="C496" s="3"/>
      <c r="D496" s="3"/>
      <c r="E496" s="3"/>
      <c r="F496" s="3"/>
      <c r="G496" s="3"/>
      <c r="H496" s="3"/>
      <c r="I496" s="3"/>
      <c r="J496" s="3"/>
      <c r="K496" s="3"/>
      <c r="L496" s="5">
        <f ca="1">IFERROR(__xludf.DUMMYFUNCTION("""COMPUTED_VALUE"""),180)</f>
        <v>180</v>
      </c>
      <c r="M496" s="5">
        <f ca="1">IFERROR(__xludf.DUMMYFUNCTION("""COMPUTED_VALUE"""),181)</f>
        <v>181</v>
      </c>
      <c r="N496" s="3" t="str">
        <f ca="1">IFERROR(__xludf.DUMMYFUNCTION("""COMPUTED_VALUE""")," ")</f>
        <v xml:space="preserve"> </v>
      </c>
      <c r="O496" s="5">
        <f ca="1">IFERROR(__xludf.DUMMYFUNCTION("""COMPUTED_VALUE"""),911)</f>
        <v>911</v>
      </c>
      <c r="P496" s="3">
        <f ca="1">IFERROR(__xludf.DUMMYFUNCTION("""COMPUTED_VALUE"""),-44276)</f>
        <v>-44276</v>
      </c>
      <c r="Q496" s="5">
        <f ca="1">IFERROR(__xludf.DUMMYFUNCTION("""COMPUTED_VALUE"""),2007)</f>
        <v>2007</v>
      </c>
      <c r="R496" s="3"/>
      <c r="S496" s="3"/>
      <c r="T496" s="3"/>
      <c r="U496" s="3"/>
      <c r="V496" s="3"/>
      <c r="W496" s="3"/>
      <c r="X496" s="3"/>
    </row>
    <row r="497" spans="1:24" x14ac:dyDescent="0.2">
      <c r="A497" s="3"/>
      <c r="B497" s="3"/>
      <c r="C497" s="3"/>
      <c r="D497" s="3"/>
      <c r="E497" s="3"/>
      <c r="F497" s="3"/>
      <c r="G497" s="3"/>
      <c r="H497" s="3"/>
      <c r="I497" s="3"/>
      <c r="J497" s="3"/>
      <c r="K497" s="3"/>
      <c r="L497" s="5">
        <f ca="1">IFERROR(__xludf.DUMMYFUNCTION("""COMPUTED_VALUE"""),180)</f>
        <v>180</v>
      </c>
      <c r="M497" s="5">
        <f ca="1">IFERROR(__xludf.DUMMYFUNCTION("""COMPUTED_VALUE"""),181)</f>
        <v>181</v>
      </c>
      <c r="N497" s="3" t="str">
        <f ca="1">IFERROR(__xludf.DUMMYFUNCTION("""COMPUTED_VALUE""")," ")</f>
        <v xml:space="preserve"> </v>
      </c>
      <c r="O497" s="5">
        <f ca="1">IFERROR(__xludf.DUMMYFUNCTION("""COMPUTED_VALUE"""),911)</f>
        <v>911</v>
      </c>
      <c r="P497" s="3">
        <f ca="1">IFERROR(__xludf.DUMMYFUNCTION("""COMPUTED_VALUE"""),-44276)</f>
        <v>-44276</v>
      </c>
      <c r="Q497" s="5">
        <f ca="1">IFERROR(__xludf.DUMMYFUNCTION("""COMPUTED_VALUE"""),2007)</f>
        <v>2007</v>
      </c>
      <c r="R497" s="3"/>
      <c r="S497" s="3"/>
      <c r="T497" s="3"/>
      <c r="U497" s="3"/>
      <c r="V497" s="3"/>
      <c r="W497" s="3"/>
      <c r="X497" s="3"/>
    </row>
    <row r="498" spans="1:24" x14ac:dyDescent="0.2">
      <c r="A498" s="3"/>
      <c r="B498" s="3"/>
      <c r="C498" s="3"/>
      <c r="D498" s="3"/>
      <c r="E498" s="3"/>
      <c r="F498" s="3"/>
      <c r="G498" s="3"/>
      <c r="H498" s="3"/>
      <c r="I498" s="3"/>
      <c r="J498" s="3"/>
      <c r="K498" s="3"/>
      <c r="L498" s="5">
        <f ca="1">IFERROR(__xludf.DUMMYFUNCTION("""COMPUTED_VALUE"""),180)</f>
        <v>180</v>
      </c>
      <c r="M498" s="5">
        <f ca="1">IFERROR(__xludf.DUMMYFUNCTION("""COMPUTED_VALUE"""),181)</f>
        <v>181</v>
      </c>
      <c r="N498" s="3" t="str">
        <f ca="1">IFERROR(__xludf.DUMMYFUNCTION("""COMPUTED_VALUE""")," ")</f>
        <v xml:space="preserve"> </v>
      </c>
      <c r="O498" s="5">
        <f ca="1">IFERROR(__xludf.DUMMYFUNCTION("""COMPUTED_VALUE"""),911)</f>
        <v>911</v>
      </c>
      <c r="P498" s="3">
        <f ca="1">IFERROR(__xludf.DUMMYFUNCTION("""COMPUTED_VALUE"""),-44276)</f>
        <v>-44276</v>
      </c>
      <c r="Q498" s="5">
        <f ca="1">IFERROR(__xludf.DUMMYFUNCTION("""COMPUTED_VALUE"""),2007)</f>
        <v>2007</v>
      </c>
      <c r="R498" s="3"/>
      <c r="S498" s="3"/>
      <c r="T498" s="3"/>
      <c r="U498" s="3"/>
      <c r="V498" s="3"/>
      <c r="W498" s="3"/>
      <c r="X498" s="3"/>
    </row>
    <row r="499" spans="1:24" x14ac:dyDescent="0.2">
      <c r="A499" s="3"/>
      <c r="B499" s="3"/>
      <c r="C499" s="3"/>
      <c r="D499" s="3"/>
      <c r="E499" s="3"/>
      <c r="F499" s="3"/>
      <c r="G499" s="3"/>
      <c r="H499" s="3"/>
      <c r="I499" s="3"/>
      <c r="J499" s="3"/>
      <c r="K499" s="3"/>
      <c r="L499" s="5">
        <f ca="1">IFERROR(__xludf.DUMMYFUNCTION("""COMPUTED_VALUE"""),180)</f>
        <v>180</v>
      </c>
      <c r="M499" s="5">
        <f ca="1">IFERROR(__xludf.DUMMYFUNCTION("""COMPUTED_VALUE"""),181)</f>
        <v>181</v>
      </c>
      <c r="N499" s="3" t="str">
        <f ca="1">IFERROR(__xludf.DUMMYFUNCTION("""COMPUTED_VALUE""")," ")</f>
        <v xml:space="preserve"> </v>
      </c>
      <c r="O499" s="5">
        <f ca="1">IFERROR(__xludf.DUMMYFUNCTION("""COMPUTED_VALUE"""),911)</f>
        <v>911</v>
      </c>
      <c r="P499" s="3">
        <f ca="1">IFERROR(__xludf.DUMMYFUNCTION("""COMPUTED_VALUE"""),-44276)</f>
        <v>-44276</v>
      </c>
      <c r="Q499" s="5">
        <f ca="1">IFERROR(__xludf.DUMMYFUNCTION("""COMPUTED_VALUE"""),2007)</f>
        <v>2007</v>
      </c>
      <c r="R499" s="3"/>
      <c r="S499" s="3"/>
      <c r="T499" s="3"/>
      <c r="U499" s="3"/>
      <c r="V499" s="3"/>
      <c r="W499" s="3"/>
      <c r="X499" s="3"/>
    </row>
    <row r="500" spans="1:24" x14ac:dyDescent="0.2">
      <c r="A500" s="3"/>
      <c r="B500" s="3"/>
      <c r="C500" s="3"/>
      <c r="D500" s="3"/>
      <c r="E500" s="3"/>
      <c r="F500" s="3"/>
      <c r="G500" s="3"/>
      <c r="H500" s="3"/>
      <c r="I500" s="3"/>
      <c r="J500" s="3"/>
      <c r="K500" s="3"/>
      <c r="L500" s="5">
        <f ca="1">IFERROR(__xludf.DUMMYFUNCTION("""COMPUTED_VALUE"""),180)</f>
        <v>180</v>
      </c>
      <c r="M500" s="5">
        <f ca="1">IFERROR(__xludf.DUMMYFUNCTION("""COMPUTED_VALUE"""),181)</f>
        <v>181</v>
      </c>
      <c r="N500" s="3" t="str">
        <f ca="1">IFERROR(__xludf.DUMMYFUNCTION("""COMPUTED_VALUE""")," ")</f>
        <v xml:space="preserve"> </v>
      </c>
      <c r="O500" s="5">
        <f ca="1">IFERROR(__xludf.DUMMYFUNCTION("""COMPUTED_VALUE"""),911)</f>
        <v>911</v>
      </c>
      <c r="P500" s="3">
        <f ca="1">IFERROR(__xludf.DUMMYFUNCTION("""COMPUTED_VALUE"""),-44276)</f>
        <v>-44276</v>
      </c>
      <c r="Q500" s="5">
        <f ca="1">IFERROR(__xludf.DUMMYFUNCTION("""COMPUTED_VALUE"""),2007)</f>
        <v>2007</v>
      </c>
      <c r="R500" s="3"/>
      <c r="S500" s="3"/>
      <c r="T500" s="3"/>
      <c r="U500" s="3"/>
      <c r="V500" s="3"/>
      <c r="W500" s="3"/>
      <c r="X500" s="3"/>
    </row>
    <row r="501" spans="1:24" x14ac:dyDescent="0.2">
      <c r="A501" s="3"/>
      <c r="B501" s="3"/>
      <c r="C501" s="3"/>
      <c r="D501" s="3"/>
      <c r="E501" s="3"/>
      <c r="F501" s="3"/>
      <c r="G501" s="3"/>
      <c r="H501" s="3"/>
      <c r="I501" s="3"/>
      <c r="J501" s="3"/>
      <c r="K501" s="3"/>
      <c r="L501" s="5">
        <f ca="1">IFERROR(__xludf.DUMMYFUNCTION("""COMPUTED_VALUE"""),180)</f>
        <v>180</v>
      </c>
      <c r="M501" s="5">
        <f ca="1">IFERROR(__xludf.DUMMYFUNCTION("""COMPUTED_VALUE"""),181)</f>
        <v>181</v>
      </c>
      <c r="N501" s="3" t="str">
        <f ca="1">IFERROR(__xludf.DUMMYFUNCTION("""COMPUTED_VALUE""")," ")</f>
        <v xml:space="preserve"> </v>
      </c>
      <c r="O501" s="5">
        <f ca="1">IFERROR(__xludf.DUMMYFUNCTION("""COMPUTED_VALUE"""),911)</f>
        <v>911</v>
      </c>
      <c r="P501" s="3">
        <f ca="1">IFERROR(__xludf.DUMMYFUNCTION("""COMPUTED_VALUE"""),-44276)</f>
        <v>-44276</v>
      </c>
      <c r="Q501" s="5">
        <f ca="1">IFERROR(__xludf.DUMMYFUNCTION("""COMPUTED_VALUE"""),2007)</f>
        <v>2007</v>
      </c>
      <c r="R501" s="3"/>
      <c r="S501" s="3"/>
      <c r="T501" s="3"/>
      <c r="U501" s="3"/>
      <c r="V501" s="3"/>
      <c r="W501" s="3"/>
      <c r="X501" s="3"/>
    </row>
    <row r="502" spans="1:24" x14ac:dyDescent="0.2">
      <c r="A502" s="3"/>
      <c r="B502" s="3"/>
      <c r="C502" s="3"/>
      <c r="D502" s="3"/>
      <c r="E502" s="3"/>
      <c r="F502" s="3"/>
      <c r="G502" s="3"/>
      <c r="H502" s="3"/>
      <c r="I502" s="3"/>
      <c r="J502" s="3"/>
      <c r="K502" s="3"/>
      <c r="L502" s="5">
        <f ca="1">IFERROR(__xludf.DUMMYFUNCTION("""COMPUTED_VALUE"""),180)</f>
        <v>180</v>
      </c>
      <c r="M502" s="5">
        <f ca="1">IFERROR(__xludf.DUMMYFUNCTION("""COMPUTED_VALUE"""),181)</f>
        <v>181</v>
      </c>
      <c r="N502" s="3" t="str">
        <f ca="1">IFERROR(__xludf.DUMMYFUNCTION("""COMPUTED_VALUE""")," ")</f>
        <v xml:space="preserve"> </v>
      </c>
      <c r="O502" s="5">
        <f ca="1">IFERROR(__xludf.DUMMYFUNCTION("""COMPUTED_VALUE"""),911)</f>
        <v>911</v>
      </c>
      <c r="P502" s="3">
        <f ca="1">IFERROR(__xludf.DUMMYFUNCTION("""COMPUTED_VALUE"""),-44276)</f>
        <v>-44276</v>
      </c>
      <c r="Q502" s="5">
        <f ca="1">IFERROR(__xludf.DUMMYFUNCTION("""COMPUTED_VALUE"""),2007)</f>
        <v>2007</v>
      </c>
      <c r="R502" s="3"/>
      <c r="S502" s="3"/>
      <c r="T502" s="3"/>
      <c r="U502" s="3"/>
      <c r="V502" s="3"/>
      <c r="W502" s="3"/>
      <c r="X502" s="3"/>
    </row>
    <row r="503" spans="1:24" x14ac:dyDescent="0.2">
      <c r="A503" s="3"/>
      <c r="B503" s="3"/>
      <c r="C503" s="3"/>
      <c r="D503" s="3"/>
      <c r="E503" s="3"/>
      <c r="F503" s="3"/>
      <c r="G503" s="3"/>
      <c r="H503" s="3"/>
      <c r="I503" s="3"/>
      <c r="J503" s="3"/>
      <c r="K503" s="3"/>
      <c r="L503" s="5">
        <f ca="1">IFERROR(__xludf.DUMMYFUNCTION("""COMPUTED_VALUE"""),180)</f>
        <v>180</v>
      </c>
      <c r="M503" s="5">
        <f ca="1">IFERROR(__xludf.DUMMYFUNCTION("""COMPUTED_VALUE"""),181)</f>
        <v>181</v>
      </c>
      <c r="N503" s="3" t="str">
        <f ca="1">IFERROR(__xludf.DUMMYFUNCTION("""COMPUTED_VALUE""")," ")</f>
        <v xml:space="preserve"> </v>
      </c>
      <c r="O503" s="5">
        <f ca="1">IFERROR(__xludf.DUMMYFUNCTION("""COMPUTED_VALUE"""),911)</f>
        <v>911</v>
      </c>
      <c r="P503" s="3">
        <f ca="1">IFERROR(__xludf.DUMMYFUNCTION("""COMPUTED_VALUE"""),-44276)</f>
        <v>-44276</v>
      </c>
      <c r="Q503" s="5">
        <f ca="1">IFERROR(__xludf.DUMMYFUNCTION("""COMPUTED_VALUE"""),2007)</f>
        <v>2007</v>
      </c>
      <c r="R503" s="3"/>
      <c r="S503" s="3"/>
      <c r="T503" s="3"/>
      <c r="U503" s="3"/>
      <c r="V503" s="3"/>
      <c r="W503" s="3"/>
      <c r="X503" s="3"/>
    </row>
    <row r="504" spans="1:24" x14ac:dyDescent="0.2">
      <c r="A504" s="3"/>
      <c r="B504" s="3"/>
      <c r="C504" s="3"/>
      <c r="D504" s="3"/>
      <c r="E504" s="3"/>
      <c r="F504" s="3"/>
      <c r="G504" s="3"/>
      <c r="H504" s="3"/>
      <c r="I504" s="3"/>
      <c r="J504" s="3"/>
      <c r="K504" s="3"/>
      <c r="L504" s="5">
        <f ca="1">IFERROR(__xludf.DUMMYFUNCTION("""COMPUTED_VALUE"""),180)</f>
        <v>180</v>
      </c>
      <c r="M504" s="5">
        <f ca="1">IFERROR(__xludf.DUMMYFUNCTION("""COMPUTED_VALUE"""),181)</f>
        <v>181</v>
      </c>
      <c r="N504" s="3" t="str">
        <f ca="1">IFERROR(__xludf.DUMMYFUNCTION("""COMPUTED_VALUE""")," ")</f>
        <v xml:space="preserve"> </v>
      </c>
      <c r="O504" s="5">
        <f ca="1">IFERROR(__xludf.DUMMYFUNCTION("""COMPUTED_VALUE"""),911)</f>
        <v>911</v>
      </c>
      <c r="P504" s="3">
        <f ca="1">IFERROR(__xludf.DUMMYFUNCTION("""COMPUTED_VALUE"""),-44276)</f>
        <v>-44276</v>
      </c>
      <c r="Q504" s="5">
        <f ca="1">IFERROR(__xludf.DUMMYFUNCTION("""COMPUTED_VALUE"""),2007)</f>
        <v>2007</v>
      </c>
      <c r="R504" s="3"/>
      <c r="S504" s="3"/>
      <c r="T504" s="3"/>
      <c r="U504" s="3"/>
      <c r="V504" s="3"/>
      <c r="W504" s="3"/>
      <c r="X504" s="3"/>
    </row>
    <row r="505" spans="1:24" x14ac:dyDescent="0.2">
      <c r="A505" s="3"/>
      <c r="B505" s="3"/>
      <c r="C505" s="3"/>
      <c r="D505" s="3"/>
      <c r="E505" s="3"/>
      <c r="F505" s="3"/>
      <c r="G505" s="3"/>
      <c r="H505" s="3"/>
      <c r="I505" s="3"/>
      <c r="J505" s="3"/>
      <c r="K505" s="3"/>
      <c r="L505" s="5">
        <f ca="1">IFERROR(__xludf.DUMMYFUNCTION("""COMPUTED_VALUE"""),180)</f>
        <v>180</v>
      </c>
      <c r="M505" s="5">
        <f ca="1">IFERROR(__xludf.DUMMYFUNCTION("""COMPUTED_VALUE"""),181)</f>
        <v>181</v>
      </c>
      <c r="N505" s="3" t="str">
        <f ca="1">IFERROR(__xludf.DUMMYFUNCTION("""COMPUTED_VALUE""")," ")</f>
        <v xml:space="preserve"> </v>
      </c>
      <c r="O505" s="5">
        <f ca="1">IFERROR(__xludf.DUMMYFUNCTION("""COMPUTED_VALUE"""),911)</f>
        <v>911</v>
      </c>
      <c r="P505" s="3">
        <f ca="1">IFERROR(__xludf.DUMMYFUNCTION("""COMPUTED_VALUE"""),-44276)</f>
        <v>-44276</v>
      </c>
      <c r="Q505" s="5">
        <f ca="1">IFERROR(__xludf.DUMMYFUNCTION("""COMPUTED_VALUE"""),2007)</f>
        <v>2007</v>
      </c>
      <c r="R505" s="3"/>
      <c r="S505" s="3"/>
      <c r="T505" s="3"/>
      <c r="U505" s="3"/>
      <c r="V505" s="3"/>
      <c r="W505" s="3"/>
      <c r="X505" s="3"/>
    </row>
    <row r="506" spans="1:24" x14ac:dyDescent="0.2">
      <c r="A506" s="3"/>
      <c r="B506" s="3"/>
      <c r="C506" s="3"/>
      <c r="D506" s="3"/>
      <c r="E506" s="3"/>
      <c r="F506" s="3"/>
      <c r="G506" s="3"/>
      <c r="H506" s="3"/>
      <c r="I506" s="3"/>
      <c r="J506" s="3"/>
      <c r="K506" s="3"/>
      <c r="L506" s="5">
        <f ca="1">IFERROR(__xludf.DUMMYFUNCTION("""COMPUTED_VALUE"""),180)</f>
        <v>180</v>
      </c>
      <c r="M506" s="5">
        <f ca="1">IFERROR(__xludf.DUMMYFUNCTION("""COMPUTED_VALUE"""),181)</f>
        <v>181</v>
      </c>
      <c r="N506" s="3" t="str">
        <f ca="1">IFERROR(__xludf.DUMMYFUNCTION("""COMPUTED_VALUE""")," ")</f>
        <v xml:space="preserve"> </v>
      </c>
      <c r="O506" s="5">
        <f ca="1">IFERROR(__xludf.DUMMYFUNCTION("""COMPUTED_VALUE"""),911)</f>
        <v>911</v>
      </c>
      <c r="P506" s="3">
        <f ca="1">IFERROR(__xludf.DUMMYFUNCTION("""COMPUTED_VALUE"""),-44276)</f>
        <v>-44276</v>
      </c>
      <c r="Q506" s="5">
        <f ca="1">IFERROR(__xludf.DUMMYFUNCTION("""COMPUTED_VALUE"""),2007)</f>
        <v>2007</v>
      </c>
      <c r="R506" s="3"/>
      <c r="S506" s="3"/>
      <c r="T506" s="3"/>
      <c r="U506" s="3"/>
      <c r="V506" s="3"/>
      <c r="W506" s="3"/>
      <c r="X506" s="3"/>
    </row>
    <row r="507" spans="1:24" x14ac:dyDescent="0.2">
      <c r="A507" s="3"/>
      <c r="B507" s="3"/>
      <c r="C507" s="3"/>
      <c r="D507" s="3"/>
      <c r="E507" s="3"/>
      <c r="F507" s="3"/>
      <c r="G507" s="3"/>
      <c r="H507" s="3"/>
      <c r="I507" s="3"/>
      <c r="J507" s="3"/>
      <c r="K507" s="3"/>
      <c r="L507" s="5">
        <f ca="1">IFERROR(__xludf.DUMMYFUNCTION("""COMPUTED_VALUE"""),180)</f>
        <v>180</v>
      </c>
      <c r="M507" s="5">
        <f ca="1">IFERROR(__xludf.DUMMYFUNCTION("""COMPUTED_VALUE"""),181)</f>
        <v>181</v>
      </c>
      <c r="N507" s="3" t="str">
        <f ca="1">IFERROR(__xludf.DUMMYFUNCTION("""COMPUTED_VALUE""")," ")</f>
        <v xml:space="preserve"> </v>
      </c>
      <c r="O507" s="5">
        <f ca="1">IFERROR(__xludf.DUMMYFUNCTION("""COMPUTED_VALUE"""),911)</f>
        <v>911</v>
      </c>
      <c r="P507" s="3">
        <f ca="1">IFERROR(__xludf.DUMMYFUNCTION("""COMPUTED_VALUE"""),-44276)</f>
        <v>-44276</v>
      </c>
      <c r="Q507" s="5">
        <f ca="1">IFERROR(__xludf.DUMMYFUNCTION("""COMPUTED_VALUE"""),2007)</f>
        <v>2007</v>
      </c>
      <c r="R507" s="3"/>
      <c r="S507" s="3"/>
      <c r="T507" s="3"/>
      <c r="U507" s="3"/>
      <c r="V507" s="3"/>
      <c r="W507" s="3"/>
      <c r="X507" s="3"/>
    </row>
    <row r="508" spans="1:24" x14ac:dyDescent="0.2">
      <c r="A508" s="3"/>
      <c r="B508" s="3"/>
      <c r="C508" s="3"/>
      <c r="D508" s="3"/>
      <c r="E508" s="3"/>
      <c r="F508" s="3"/>
      <c r="G508" s="3"/>
      <c r="H508" s="3"/>
      <c r="I508" s="3"/>
      <c r="J508" s="3"/>
      <c r="K508" s="3"/>
      <c r="L508" s="5">
        <f ca="1">IFERROR(__xludf.DUMMYFUNCTION("""COMPUTED_VALUE"""),180)</f>
        <v>180</v>
      </c>
      <c r="M508" s="5">
        <f ca="1">IFERROR(__xludf.DUMMYFUNCTION("""COMPUTED_VALUE"""),181)</f>
        <v>181</v>
      </c>
      <c r="N508" s="3" t="str">
        <f ca="1">IFERROR(__xludf.DUMMYFUNCTION("""COMPUTED_VALUE""")," ")</f>
        <v xml:space="preserve"> </v>
      </c>
      <c r="O508" s="5">
        <f ca="1">IFERROR(__xludf.DUMMYFUNCTION("""COMPUTED_VALUE"""),911)</f>
        <v>911</v>
      </c>
      <c r="P508" s="3">
        <f ca="1">IFERROR(__xludf.DUMMYFUNCTION("""COMPUTED_VALUE"""),-44276)</f>
        <v>-44276</v>
      </c>
      <c r="Q508" s="5">
        <f ca="1">IFERROR(__xludf.DUMMYFUNCTION("""COMPUTED_VALUE"""),2007)</f>
        <v>2007</v>
      </c>
      <c r="R508" s="3"/>
      <c r="S508" s="3"/>
      <c r="T508" s="3"/>
      <c r="U508" s="3"/>
      <c r="V508" s="3"/>
      <c r="W508" s="3"/>
      <c r="X508" s="3"/>
    </row>
    <row r="509" spans="1:24" x14ac:dyDescent="0.2">
      <c r="A509" s="3"/>
      <c r="B509" s="3"/>
      <c r="C509" s="3"/>
      <c r="D509" s="3"/>
      <c r="E509" s="3"/>
      <c r="F509" s="3"/>
      <c r="G509" s="3"/>
      <c r="H509" s="3"/>
      <c r="I509" s="3"/>
      <c r="J509" s="3"/>
      <c r="K509" s="3"/>
      <c r="L509" s="5">
        <f ca="1">IFERROR(__xludf.DUMMYFUNCTION("""COMPUTED_VALUE"""),180)</f>
        <v>180</v>
      </c>
      <c r="M509" s="5">
        <f ca="1">IFERROR(__xludf.DUMMYFUNCTION("""COMPUTED_VALUE"""),181)</f>
        <v>181</v>
      </c>
      <c r="N509" s="3" t="str">
        <f ca="1">IFERROR(__xludf.DUMMYFUNCTION("""COMPUTED_VALUE""")," ")</f>
        <v xml:space="preserve"> </v>
      </c>
      <c r="O509" s="5">
        <f ca="1">IFERROR(__xludf.DUMMYFUNCTION("""COMPUTED_VALUE"""),911)</f>
        <v>911</v>
      </c>
      <c r="P509" s="3">
        <f ca="1">IFERROR(__xludf.DUMMYFUNCTION("""COMPUTED_VALUE"""),-44276)</f>
        <v>-44276</v>
      </c>
      <c r="Q509" s="5">
        <f ca="1">IFERROR(__xludf.DUMMYFUNCTION("""COMPUTED_VALUE"""),2007)</f>
        <v>2007</v>
      </c>
      <c r="R509" s="3"/>
      <c r="S509" s="3"/>
      <c r="T509" s="3"/>
      <c r="U509" s="3"/>
      <c r="V509" s="3"/>
      <c r="W509" s="3"/>
      <c r="X509" s="3"/>
    </row>
    <row r="510" spans="1:24" x14ac:dyDescent="0.2">
      <c r="A510" s="3"/>
      <c r="B510" s="3"/>
      <c r="C510" s="3"/>
      <c r="D510" s="3"/>
      <c r="E510" s="3"/>
      <c r="F510" s="3"/>
      <c r="G510" s="3"/>
      <c r="H510" s="3"/>
      <c r="I510" s="3"/>
      <c r="J510" s="3"/>
      <c r="K510" s="3"/>
      <c r="L510" s="5">
        <f ca="1">IFERROR(__xludf.DUMMYFUNCTION("""COMPUTED_VALUE"""),180)</f>
        <v>180</v>
      </c>
      <c r="M510" s="5">
        <f ca="1">IFERROR(__xludf.DUMMYFUNCTION("""COMPUTED_VALUE"""),181)</f>
        <v>181</v>
      </c>
      <c r="N510" s="3" t="str">
        <f ca="1">IFERROR(__xludf.DUMMYFUNCTION("""COMPUTED_VALUE""")," ")</f>
        <v xml:space="preserve"> </v>
      </c>
      <c r="O510" s="5">
        <f ca="1">IFERROR(__xludf.DUMMYFUNCTION("""COMPUTED_VALUE"""),911)</f>
        <v>911</v>
      </c>
      <c r="P510" s="3">
        <f ca="1">IFERROR(__xludf.DUMMYFUNCTION("""COMPUTED_VALUE"""),-44276)</f>
        <v>-44276</v>
      </c>
      <c r="Q510" s="5">
        <f ca="1">IFERROR(__xludf.DUMMYFUNCTION("""COMPUTED_VALUE"""),2007)</f>
        <v>2007</v>
      </c>
      <c r="R510" s="3"/>
      <c r="S510" s="3"/>
      <c r="T510" s="3"/>
      <c r="U510" s="3"/>
      <c r="V510" s="3"/>
      <c r="W510" s="3"/>
      <c r="X510" s="3"/>
    </row>
    <row r="511" spans="1:24" x14ac:dyDescent="0.2">
      <c r="A511" s="3"/>
      <c r="B511" s="3"/>
      <c r="C511" s="3"/>
      <c r="D511" s="3"/>
      <c r="E511" s="3"/>
      <c r="F511" s="3"/>
      <c r="G511" s="3"/>
      <c r="H511" s="3"/>
      <c r="I511" s="3"/>
      <c r="J511" s="3"/>
      <c r="K511" s="3"/>
      <c r="L511" s="5">
        <f ca="1">IFERROR(__xludf.DUMMYFUNCTION("""COMPUTED_VALUE"""),180)</f>
        <v>180</v>
      </c>
      <c r="M511" s="5">
        <f ca="1">IFERROR(__xludf.DUMMYFUNCTION("""COMPUTED_VALUE"""),181)</f>
        <v>181</v>
      </c>
      <c r="N511" s="3" t="str">
        <f ca="1">IFERROR(__xludf.DUMMYFUNCTION("""COMPUTED_VALUE""")," ")</f>
        <v xml:space="preserve"> </v>
      </c>
      <c r="O511" s="5">
        <f ca="1">IFERROR(__xludf.DUMMYFUNCTION("""COMPUTED_VALUE"""),911)</f>
        <v>911</v>
      </c>
      <c r="P511" s="3">
        <f ca="1">IFERROR(__xludf.DUMMYFUNCTION("""COMPUTED_VALUE"""),-44276)</f>
        <v>-44276</v>
      </c>
      <c r="Q511" s="5">
        <f ca="1">IFERROR(__xludf.DUMMYFUNCTION("""COMPUTED_VALUE"""),2007)</f>
        <v>2007</v>
      </c>
      <c r="R511" s="3"/>
      <c r="S511" s="3"/>
      <c r="T511" s="3"/>
      <c r="U511" s="3"/>
      <c r="V511" s="3"/>
      <c r="W511" s="3"/>
      <c r="X511" s="3"/>
    </row>
    <row r="512" spans="1:24" x14ac:dyDescent="0.2">
      <c r="A512" s="3"/>
      <c r="B512" s="3"/>
      <c r="C512" s="3"/>
      <c r="D512" s="3"/>
      <c r="E512" s="3"/>
      <c r="F512" s="3"/>
      <c r="G512" s="3"/>
      <c r="H512" s="3"/>
      <c r="I512" s="3"/>
      <c r="J512" s="3"/>
      <c r="K512" s="3"/>
      <c r="L512" s="5">
        <f ca="1">IFERROR(__xludf.DUMMYFUNCTION("""COMPUTED_VALUE"""),180)</f>
        <v>180</v>
      </c>
      <c r="M512" s="5">
        <f ca="1">IFERROR(__xludf.DUMMYFUNCTION("""COMPUTED_VALUE"""),181)</f>
        <v>181</v>
      </c>
      <c r="N512" s="3" t="str">
        <f ca="1">IFERROR(__xludf.DUMMYFUNCTION("""COMPUTED_VALUE""")," ")</f>
        <v xml:space="preserve"> </v>
      </c>
      <c r="O512" s="5">
        <f ca="1">IFERROR(__xludf.DUMMYFUNCTION("""COMPUTED_VALUE"""),911)</f>
        <v>911</v>
      </c>
      <c r="P512" s="3">
        <f ca="1">IFERROR(__xludf.DUMMYFUNCTION("""COMPUTED_VALUE"""),-44276)</f>
        <v>-44276</v>
      </c>
      <c r="Q512" s="5">
        <f ca="1">IFERROR(__xludf.DUMMYFUNCTION("""COMPUTED_VALUE"""),2007)</f>
        <v>2007</v>
      </c>
      <c r="R512" s="3"/>
      <c r="S512" s="3"/>
      <c r="T512" s="3"/>
      <c r="U512" s="3"/>
      <c r="V512" s="3"/>
      <c r="W512" s="3"/>
      <c r="X512" s="3"/>
    </row>
    <row r="513" spans="1:24" x14ac:dyDescent="0.2">
      <c r="A513" s="3"/>
      <c r="B513" s="3"/>
      <c r="C513" s="3"/>
      <c r="D513" s="3"/>
      <c r="E513" s="3"/>
      <c r="F513" s="3"/>
      <c r="G513" s="3"/>
      <c r="H513" s="3"/>
      <c r="I513" s="3"/>
      <c r="J513" s="3"/>
      <c r="K513" s="3"/>
      <c r="L513" s="5">
        <f ca="1">IFERROR(__xludf.DUMMYFUNCTION("""COMPUTED_VALUE"""),180)</f>
        <v>180</v>
      </c>
      <c r="M513" s="5">
        <f ca="1">IFERROR(__xludf.DUMMYFUNCTION("""COMPUTED_VALUE"""),181)</f>
        <v>181</v>
      </c>
      <c r="N513" s="3" t="str">
        <f ca="1">IFERROR(__xludf.DUMMYFUNCTION("""COMPUTED_VALUE""")," ")</f>
        <v xml:space="preserve"> </v>
      </c>
      <c r="O513" s="5">
        <f ca="1">IFERROR(__xludf.DUMMYFUNCTION("""COMPUTED_VALUE"""),911)</f>
        <v>911</v>
      </c>
      <c r="P513" s="3">
        <f ca="1">IFERROR(__xludf.DUMMYFUNCTION("""COMPUTED_VALUE"""),-44276)</f>
        <v>-44276</v>
      </c>
      <c r="Q513" s="5">
        <f ca="1">IFERROR(__xludf.DUMMYFUNCTION("""COMPUTED_VALUE"""),2007)</f>
        <v>2007</v>
      </c>
      <c r="R513" s="3"/>
      <c r="S513" s="3"/>
      <c r="T513" s="3"/>
      <c r="U513" s="3"/>
      <c r="V513" s="3"/>
      <c r="W513" s="3"/>
      <c r="X513" s="3"/>
    </row>
    <row r="514" spans="1:24" x14ac:dyDescent="0.2">
      <c r="A514" s="3"/>
      <c r="B514" s="3"/>
      <c r="C514" s="3"/>
      <c r="D514" s="3"/>
      <c r="E514" s="3"/>
      <c r="F514" s="3"/>
      <c r="G514" s="3"/>
      <c r="H514" s="3"/>
      <c r="I514" s="3"/>
      <c r="J514" s="3"/>
      <c r="K514" s="3"/>
      <c r="L514" s="5">
        <f ca="1">IFERROR(__xludf.DUMMYFUNCTION("""COMPUTED_VALUE"""),180)</f>
        <v>180</v>
      </c>
      <c r="M514" s="5">
        <f ca="1">IFERROR(__xludf.DUMMYFUNCTION("""COMPUTED_VALUE"""),181)</f>
        <v>181</v>
      </c>
      <c r="N514" s="3" t="str">
        <f ca="1">IFERROR(__xludf.DUMMYFUNCTION("""COMPUTED_VALUE""")," ")</f>
        <v xml:space="preserve"> </v>
      </c>
      <c r="O514" s="5">
        <f ca="1">IFERROR(__xludf.DUMMYFUNCTION("""COMPUTED_VALUE"""),911)</f>
        <v>911</v>
      </c>
      <c r="P514" s="3">
        <f ca="1">IFERROR(__xludf.DUMMYFUNCTION("""COMPUTED_VALUE"""),-44276)</f>
        <v>-44276</v>
      </c>
      <c r="Q514" s="5">
        <f ca="1">IFERROR(__xludf.DUMMYFUNCTION("""COMPUTED_VALUE"""),2007)</f>
        <v>2007</v>
      </c>
      <c r="R514" s="3"/>
      <c r="S514" s="3"/>
      <c r="T514" s="3"/>
      <c r="U514" s="3"/>
      <c r="V514" s="3"/>
      <c r="W514" s="3"/>
      <c r="X514" s="3"/>
    </row>
    <row r="515" spans="1:24" x14ac:dyDescent="0.2">
      <c r="A515" s="3"/>
      <c r="B515" s="3"/>
      <c r="C515" s="3"/>
      <c r="D515" s="3"/>
      <c r="E515" s="3"/>
      <c r="F515" s="3"/>
      <c r="G515" s="3"/>
      <c r="H515" s="3"/>
      <c r="I515" s="3"/>
      <c r="J515" s="3"/>
      <c r="K515" s="3"/>
      <c r="L515" s="5">
        <f ca="1">IFERROR(__xludf.DUMMYFUNCTION("""COMPUTED_VALUE"""),180)</f>
        <v>180</v>
      </c>
      <c r="M515" s="5">
        <f ca="1">IFERROR(__xludf.DUMMYFUNCTION("""COMPUTED_VALUE"""),181)</f>
        <v>181</v>
      </c>
      <c r="N515" s="3" t="str">
        <f ca="1">IFERROR(__xludf.DUMMYFUNCTION("""COMPUTED_VALUE""")," ")</f>
        <v xml:space="preserve"> </v>
      </c>
      <c r="O515" s="5">
        <f ca="1">IFERROR(__xludf.DUMMYFUNCTION("""COMPUTED_VALUE"""),911)</f>
        <v>911</v>
      </c>
      <c r="P515" s="3">
        <f ca="1">IFERROR(__xludf.DUMMYFUNCTION("""COMPUTED_VALUE"""),-44276)</f>
        <v>-44276</v>
      </c>
      <c r="Q515" s="5">
        <f ca="1">IFERROR(__xludf.DUMMYFUNCTION("""COMPUTED_VALUE"""),2007)</f>
        <v>2007</v>
      </c>
      <c r="R515" s="3"/>
      <c r="S515" s="3"/>
      <c r="T515" s="3"/>
      <c r="U515" s="3"/>
      <c r="V515" s="3"/>
      <c r="W515" s="3"/>
      <c r="X515" s="3"/>
    </row>
    <row r="516" spans="1:24" x14ac:dyDescent="0.2">
      <c r="A516" s="3"/>
      <c r="B516" s="3"/>
      <c r="C516" s="3"/>
      <c r="D516" s="3"/>
      <c r="E516" s="3"/>
      <c r="F516" s="3"/>
      <c r="G516" s="3"/>
      <c r="H516" s="3"/>
      <c r="I516" s="3"/>
      <c r="J516" s="3"/>
      <c r="K516" s="3"/>
      <c r="L516" s="5">
        <f ca="1">IFERROR(__xludf.DUMMYFUNCTION("""COMPUTED_VALUE"""),180)</f>
        <v>180</v>
      </c>
      <c r="M516" s="5">
        <f ca="1">IFERROR(__xludf.DUMMYFUNCTION("""COMPUTED_VALUE"""),181)</f>
        <v>181</v>
      </c>
      <c r="N516" s="3" t="str">
        <f ca="1">IFERROR(__xludf.DUMMYFUNCTION("""COMPUTED_VALUE""")," ")</f>
        <v xml:space="preserve"> </v>
      </c>
      <c r="O516" s="5">
        <f ca="1">IFERROR(__xludf.DUMMYFUNCTION("""COMPUTED_VALUE"""),911)</f>
        <v>911</v>
      </c>
      <c r="P516" s="3">
        <f ca="1">IFERROR(__xludf.DUMMYFUNCTION("""COMPUTED_VALUE"""),-44276)</f>
        <v>-44276</v>
      </c>
      <c r="Q516" s="5">
        <f ca="1">IFERROR(__xludf.DUMMYFUNCTION("""COMPUTED_VALUE"""),2007)</f>
        <v>2007</v>
      </c>
      <c r="R516" s="3"/>
      <c r="S516" s="3"/>
      <c r="T516" s="3"/>
      <c r="U516" s="3"/>
      <c r="V516" s="3"/>
      <c r="W516" s="3"/>
      <c r="X516" s="3"/>
    </row>
    <row r="517" spans="1:24" x14ac:dyDescent="0.2">
      <c r="A517" s="3"/>
      <c r="B517" s="3"/>
      <c r="C517" s="3"/>
      <c r="D517" s="3"/>
      <c r="E517" s="3"/>
      <c r="F517" s="3"/>
      <c r="G517" s="3"/>
      <c r="H517" s="3"/>
      <c r="I517" s="3"/>
      <c r="J517" s="3"/>
      <c r="K517" s="3"/>
      <c r="L517" s="5">
        <f ca="1">IFERROR(__xludf.DUMMYFUNCTION("""COMPUTED_VALUE"""),180)</f>
        <v>180</v>
      </c>
      <c r="M517" s="5">
        <f ca="1">IFERROR(__xludf.DUMMYFUNCTION("""COMPUTED_VALUE"""),181)</f>
        <v>181</v>
      </c>
      <c r="N517" s="3" t="str">
        <f ca="1">IFERROR(__xludf.DUMMYFUNCTION("""COMPUTED_VALUE""")," ")</f>
        <v xml:space="preserve"> </v>
      </c>
      <c r="O517" s="5">
        <f ca="1">IFERROR(__xludf.DUMMYFUNCTION("""COMPUTED_VALUE"""),911)</f>
        <v>911</v>
      </c>
      <c r="P517" s="3">
        <f ca="1">IFERROR(__xludf.DUMMYFUNCTION("""COMPUTED_VALUE"""),-44276)</f>
        <v>-44276</v>
      </c>
      <c r="Q517" s="5">
        <f ca="1">IFERROR(__xludf.DUMMYFUNCTION("""COMPUTED_VALUE"""),2007)</f>
        <v>2007</v>
      </c>
      <c r="R517" s="3"/>
      <c r="S517" s="3"/>
      <c r="T517" s="3"/>
      <c r="U517" s="3"/>
      <c r="V517" s="3"/>
      <c r="W517" s="3"/>
      <c r="X517" s="3"/>
    </row>
    <row r="518" spans="1:24" x14ac:dyDescent="0.2">
      <c r="A518" s="3"/>
      <c r="B518" s="3"/>
      <c r="C518" s="3"/>
      <c r="D518" s="3"/>
      <c r="E518" s="3"/>
      <c r="F518" s="3"/>
      <c r="G518" s="3"/>
      <c r="H518" s="3"/>
      <c r="I518" s="3"/>
      <c r="J518" s="3"/>
      <c r="K518" s="3"/>
      <c r="L518" s="5">
        <f ca="1">IFERROR(__xludf.DUMMYFUNCTION("""COMPUTED_VALUE"""),180)</f>
        <v>180</v>
      </c>
      <c r="M518" s="5">
        <f ca="1">IFERROR(__xludf.DUMMYFUNCTION("""COMPUTED_VALUE"""),181)</f>
        <v>181</v>
      </c>
      <c r="N518" s="3" t="str">
        <f ca="1">IFERROR(__xludf.DUMMYFUNCTION("""COMPUTED_VALUE""")," ")</f>
        <v xml:space="preserve"> </v>
      </c>
      <c r="O518" s="5">
        <f ca="1">IFERROR(__xludf.DUMMYFUNCTION("""COMPUTED_VALUE"""),911)</f>
        <v>911</v>
      </c>
      <c r="P518" s="3">
        <f ca="1">IFERROR(__xludf.DUMMYFUNCTION("""COMPUTED_VALUE"""),-44276)</f>
        <v>-44276</v>
      </c>
      <c r="Q518" s="5">
        <f ca="1">IFERROR(__xludf.DUMMYFUNCTION("""COMPUTED_VALUE"""),2007)</f>
        <v>2007</v>
      </c>
      <c r="R518" s="3"/>
      <c r="S518" s="3"/>
      <c r="T518" s="3"/>
      <c r="U518" s="3"/>
      <c r="V518" s="3"/>
      <c r="W518" s="3"/>
      <c r="X518" s="3"/>
    </row>
    <row r="519" spans="1:24" x14ac:dyDescent="0.2">
      <c r="A519" s="3"/>
      <c r="B519" s="3"/>
      <c r="C519" s="3"/>
      <c r="D519" s="3"/>
      <c r="E519" s="3"/>
      <c r="F519" s="3"/>
      <c r="G519" s="3"/>
      <c r="H519" s="3"/>
      <c r="I519" s="3"/>
      <c r="J519" s="3"/>
      <c r="K519" s="3"/>
      <c r="L519" s="5">
        <f ca="1">IFERROR(__xludf.DUMMYFUNCTION("""COMPUTED_VALUE"""),180)</f>
        <v>180</v>
      </c>
      <c r="M519" s="5">
        <f ca="1">IFERROR(__xludf.DUMMYFUNCTION("""COMPUTED_VALUE"""),181)</f>
        <v>181</v>
      </c>
      <c r="N519" s="3" t="str">
        <f ca="1">IFERROR(__xludf.DUMMYFUNCTION("""COMPUTED_VALUE""")," ")</f>
        <v xml:space="preserve"> </v>
      </c>
      <c r="O519" s="5">
        <f ca="1">IFERROR(__xludf.DUMMYFUNCTION("""COMPUTED_VALUE"""),911)</f>
        <v>911</v>
      </c>
      <c r="P519" s="3">
        <f ca="1">IFERROR(__xludf.DUMMYFUNCTION("""COMPUTED_VALUE"""),-44276)</f>
        <v>-44276</v>
      </c>
      <c r="Q519" s="5">
        <f ca="1">IFERROR(__xludf.DUMMYFUNCTION("""COMPUTED_VALUE"""),2007)</f>
        <v>2007</v>
      </c>
      <c r="R519" s="3"/>
      <c r="S519" s="3"/>
      <c r="T519" s="3"/>
      <c r="U519" s="3"/>
      <c r="V519" s="3"/>
      <c r="W519" s="3"/>
      <c r="X519" s="3"/>
    </row>
    <row r="520" spans="1:24" x14ac:dyDescent="0.2">
      <c r="A520" s="3"/>
      <c r="B520" s="3"/>
      <c r="C520" s="3"/>
      <c r="D520" s="3"/>
      <c r="E520" s="3"/>
      <c r="F520" s="3"/>
      <c r="G520" s="3"/>
      <c r="H520" s="3"/>
      <c r="I520" s="3"/>
      <c r="J520" s="3"/>
      <c r="K520" s="3"/>
      <c r="L520" s="5">
        <f ca="1">IFERROR(__xludf.DUMMYFUNCTION("""COMPUTED_VALUE"""),180)</f>
        <v>180</v>
      </c>
      <c r="M520" s="5">
        <f ca="1">IFERROR(__xludf.DUMMYFUNCTION("""COMPUTED_VALUE"""),181)</f>
        <v>181</v>
      </c>
      <c r="N520" s="3" t="str">
        <f ca="1">IFERROR(__xludf.DUMMYFUNCTION("""COMPUTED_VALUE""")," ")</f>
        <v xml:space="preserve"> </v>
      </c>
      <c r="O520" s="5">
        <f ca="1">IFERROR(__xludf.DUMMYFUNCTION("""COMPUTED_VALUE"""),911)</f>
        <v>911</v>
      </c>
      <c r="P520" s="3">
        <f ca="1">IFERROR(__xludf.DUMMYFUNCTION("""COMPUTED_VALUE"""),-44276)</f>
        <v>-44276</v>
      </c>
      <c r="Q520" s="5">
        <f ca="1">IFERROR(__xludf.DUMMYFUNCTION("""COMPUTED_VALUE"""),2007)</f>
        <v>2007</v>
      </c>
      <c r="R520" s="3"/>
      <c r="S520" s="3"/>
      <c r="T520" s="3"/>
      <c r="U520" s="3"/>
      <c r="V520" s="3"/>
      <c r="W520" s="3"/>
      <c r="X520" s="3"/>
    </row>
    <row r="521" spans="1:24" x14ac:dyDescent="0.2">
      <c r="A521" s="3"/>
      <c r="B521" s="3"/>
      <c r="C521" s="3"/>
      <c r="D521" s="3"/>
      <c r="E521" s="3"/>
      <c r="F521" s="3"/>
      <c r="G521" s="3"/>
      <c r="H521" s="3"/>
      <c r="I521" s="3"/>
      <c r="J521" s="3"/>
      <c r="K521" s="3"/>
      <c r="L521" s="5">
        <f ca="1">IFERROR(__xludf.DUMMYFUNCTION("""COMPUTED_VALUE"""),180)</f>
        <v>180</v>
      </c>
      <c r="M521" s="5">
        <f ca="1">IFERROR(__xludf.DUMMYFUNCTION("""COMPUTED_VALUE"""),181)</f>
        <v>181</v>
      </c>
      <c r="N521" s="3" t="str">
        <f ca="1">IFERROR(__xludf.DUMMYFUNCTION("""COMPUTED_VALUE""")," ")</f>
        <v xml:space="preserve"> </v>
      </c>
      <c r="O521" s="5">
        <f ca="1">IFERROR(__xludf.DUMMYFUNCTION("""COMPUTED_VALUE"""),911)</f>
        <v>911</v>
      </c>
      <c r="P521" s="3">
        <f ca="1">IFERROR(__xludf.DUMMYFUNCTION("""COMPUTED_VALUE"""),-44276)</f>
        <v>-44276</v>
      </c>
      <c r="Q521" s="5">
        <f ca="1">IFERROR(__xludf.DUMMYFUNCTION("""COMPUTED_VALUE"""),2007)</f>
        <v>2007</v>
      </c>
      <c r="R521" s="3"/>
      <c r="S521" s="3"/>
      <c r="T521" s="3"/>
      <c r="U521" s="3"/>
      <c r="V521" s="3"/>
      <c r="W521" s="3"/>
      <c r="X521" s="3"/>
    </row>
    <row r="522" spans="1:24" x14ac:dyDescent="0.2">
      <c r="A522" s="3"/>
      <c r="B522" s="3"/>
      <c r="C522" s="3"/>
      <c r="D522" s="3"/>
      <c r="E522" s="3"/>
      <c r="F522" s="3"/>
      <c r="G522" s="3"/>
      <c r="H522" s="3"/>
      <c r="I522" s="3"/>
      <c r="J522" s="3"/>
      <c r="K522" s="3"/>
      <c r="L522" s="5">
        <f ca="1">IFERROR(__xludf.DUMMYFUNCTION("""COMPUTED_VALUE"""),180)</f>
        <v>180</v>
      </c>
      <c r="M522" s="5">
        <f ca="1">IFERROR(__xludf.DUMMYFUNCTION("""COMPUTED_VALUE"""),181)</f>
        <v>181</v>
      </c>
      <c r="N522" s="3" t="str">
        <f ca="1">IFERROR(__xludf.DUMMYFUNCTION("""COMPUTED_VALUE""")," ")</f>
        <v xml:space="preserve"> </v>
      </c>
      <c r="O522" s="5">
        <f ca="1">IFERROR(__xludf.DUMMYFUNCTION("""COMPUTED_VALUE"""),911)</f>
        <v>911</v>
      </c>
      <c r="P522" s="3">
        <f ca="1">IFERROR(__xludf.DUMMYFUNCTION("""COMPUTED_VALUE"""),-44276)</f>
        <v>-44276</v>
      </c>
      <c r="Q522" s="5">
        <f ca="1">IFERROR(__xludf.DUMMYFUNCTION("""COMPUTED_VALUE"""),2007)</f>
        <v>2007</v>
      </c>
      <c r="R522" s="3"/>
      <c r="S522" s="3"/>
      <c r="T522" s="3"/>
      <c r="U522" s="3"/>
      <c r="V522" s="3"/>
      <c r="W522" s="3"/>
      <c r="X522" s="3"/>
    </row>
    <row r="523" spans="1:24" x14ac:dyDescent="0.2">
      <c r="A523" s="3"/>
      <c r="B523" s="3"/>
      <c r="C523" s="3"/>
      <c r="D523" s="3"/>
      <c r="E523" s="3"/>
      <c r="F523" s="3"/>
      <c r="G523" s="3"/>
      <c r="H523" s="3"/>
      <c r="I523" s="3"/>
      <c r="J523" s="3"/>
      <c r="K523" s="3"/>
      <c r="L523" s="5">
        <f ca="1">IFERROR(__xludf.DUMMYFUNCTION("""COMPUTED_VALUE"""),180)</f>
        <v>180</v>
      </c>
      <c r="M523" s="5">
        <f ca="1">IFERROR(__xludf.DUMMYFUNCTION("""COMPUTED_VALUE"""),181)</f>
        <v>181</v>
      </c>
      <c r="N523" s="3" t="str">
        <f ca="1">IFERROR(__xludf.DUMMYFUNCTION("""COMPUTED_VALUE""")," ")</f>
        <v xml:space="preserve"> </v>
      </c>
      <c r="O523" s="5">
        <f ca="1">IFERROR(__xludf.DUMMYFUNCTION("""COMPUTED_VALUE"""),911)</f>
        <v>911</v>
      </c>
      <c r="P523" s="3">
        <f ca="1">IFERROR(__xludf.DUMMYFUNCTION("""COMPUTED_VALUE"""),-44276)</f>
        <v>-44276</v>
      </c>
      <c r="Q523" s="5">
        <f ca="1">IFERROR(__xludf.DUMMYFUNCTION("""COMPUTED_VALUE"""),2007)</f>
        <v>2007</v>
      </c>
      <c r="R523" s="3"/>
      <c r="S523" s="3"/>
      <c r="T523" s="3"/>
      <c r="U523" s="3"/>
      <c r="V523" s="3"/>
      <c r="W523" s="3"/>
      <c r="X523" s="3"/>
    </row>
    <row r="524" spans="1:24" x14ac:dyDescent="0.2">
      <c r="A524" s="3"/>
      <c r="B524" s="3"/>
      <c r="C524" s="3"/>
      <c r="D524" s="3"/>
      <c r="E524" s="3"/>
      <c r="F524" s="3"/>
      <c r="G524" s="3"/>
      <c r="H524" s="3"/>
      <c r="I524" s="3"/>
      <c r="J524" s="3"/>
      <c r="K524" s="3"/>
      <c r="L524" s="5">
        <f ca="1">IFERROR(__xludf.DUMMYFUNCTION("""COMPUTED_VALUE"""),180)</f>
        <v>180</v>
      </c>
      <c r="M524" s="5">
        <f ca="1">IFERROR(__xludf.DUMMYFUNCTION("""COMPUTED_VALUE"""),181)</f>
        <v>181</v>
      </c>
      <c r="N524" s="3" t="str">
        <f ca="1">IFERROR(__xludf.DUMMYFUNCTION("""COMPUTED_VALUE""")," ")</f>
        <v xml:space="preserve"> </v>
      </c>
      <c r="O524" s="5">
        <f ca="1">IFERROR(__xludf.DUMMYFUNCTION("""COMPUTED_VALUE"""),911)</f>
        <v>911</v>
      </c>
      <c r="P524" s="3">
        <f ca="1">IFERROR(__xludf.DUMMYFUNCTION("""COMPUTED_VALUE"""),-44276)</f>
        <v>-44276</v>
      </c>
      <c r="Q524" s="5">
        <f ca="1">IFERROR(__xludf.DUMMYFUNCTION("""COMPUTED_VALUE"""),2007)</f>
        <v>2007</v>
      </c>
      <c r="R524" s="3"/>
      <c r="S524" s="3"/>
      <c r="T524" s="3"/>
      <c r="U524" s="3"/>
      <c r="V524" s="3"/>
      <c r="W524" s="3"/>
      <c r="X524" s="3"/>
    </row>
    <row r="525" spans="1:24" x14ac:dyDescent="0.2">
      <c r="A525" s="3"/>
      <c r="B525" s="3"/>
      <c r="C525" s="3"/>
      <c r="D525" s="3"/>
      <c r="E525" s="3"/>
      <c r="F525" s="3"/>
      <c r="G525" s="3"/>
      <c r="H525" s="3"/>
      <c r="I525" s="3"/>
      <c r="J525" s="3"/>
      <c r="K525" s="3"/>
      <c r="L525" s="5">
        <f ca="1">IFERROR(__xludf.DUMMYFUNCTION("""COMPUTED_VALUE"""),180)</f>
        <v>180</v>
      </c>
      <c r="M525" s="5">
        <f ca="1">IFERROR(__xludf.DUMMYFUNCTION("""COMPUTED_VALUE"""),181)</f>
        <v>181</v>
      </c>
      <c r="N525" s="3" t="str">
        <f ca="1">IFERROR(__xludf.DUMMYFUNCTION("""COMPUTED_VALUE""")," ")</f>
        <v xml:space="preserve"> </v>
      </c>
      <c r="O525" s="5">
        <f ca="1">IFERROR(__xludf.DUMMYFUNCTION("""COMPUTED_VALUE"""),911)</f>
        <v>911</v>
      </c>
      <c r="P525" s="3">
        <f ca="1">IFERROR(__xludf.DUMMYFUNCTION("""COMPUTED_VALUE"""),-44276)</f>
        <v>-44276</v>
      </c>
      <c r="Q525" s="5">
        <f ca="1">IFERROR(__xludf.DUMMYFUNCTION("""COMPUTED_VALUE"""),2007)</f>
        <v>2007</v>
      </c>
      <c r="R525" s="3"/>
      <c r="S525" s="3"/>
      <c r="T525" s="3"/>
      <c r="U525" s="3"/>
      <c r="V525" s="3"/>
      <c r="W525" s="3"/>
      <c r="X525" s="3"/>
    </row>
    <row r="526" spans="1:24" x14ac:dyDescent="0.2">
      <c r="A526" s="3"/>
      <c r="B526" s="3"/>
      <c r="C526" s="3"/>
      <c r="D526" s="3"/>
      <c r="E526" s="3"/>
      <c r="F526" s="3"/>
      <c r="G526" s="3"/>
      <c r="H526" s="3"/>
      <c r="I526" s="3"/>
      <c r="J526" s="3"/>
      <c r="K526" s="3"/>
      <c r="L526" s="5">
        <f ca="1">IFERROR(__xludf.DUMMYFUNCTION("""COMPUTED_VALUE"""),180)</f>
        <v>180</v>
      </c>
      <c r="M526" s="5">
        <f ca="1">IFERROR(__xludf.DUMMYFUNCTION("""COMPUTED_VALUE"""),181)</f>
        <v>181</v>
      </c>
      <c r="N526" s="3" t="str">
        <f ca="1">IFERROR(__xludf.DUMMYFUNCTION("""COMPUTED_VALUE""")," ")</f>
        <v xml:space="preserve"> </v>
      </c>
      <c r="O526" s="5">
        <f ca="1">IFERROR(__xludf.DUMMYFUNCTION("""COMPUTED_VALUE"""),911)</f>
        <v>911</v>
      </c>
      <c r="P526" s="3">
        <f ca="1">IFERROR(__xludf.DUMMYFUNCTION("""COMPUTED_VALUE"""),-44276)</f>
        <v>-44276</v>
      </c>
      <c r="Q526" s="5">
        <f ca="1">IFERROR(__xludf.DUMMYFUNCTION("""COMPUTED_VALUE"""),2007)</f>
        <v>2007</v>
      </c>
      <c r="R526" s="3"/>
      <c r="S526" s="3"/>
      <c r="T526" s="3"/>
      <c r="U526" s="3"/>
      <c r="V526" s="3"/>
      <c r="W526" s="3"/>
      <c r="X526" s="3"/>
    </row>
    <row r="527" spans="1:24" x14ac:dyDescent="0.2">
      <c r="A527" s="3"/>
      <c r="B527" s="3"/>
      <c r="C527" s="3"/>
      <c r="D527" s="3"/>
      <c r="E527" s="3"/>
      <c r="F527" s="3"/>
      <c r="G527" s="3"/>
      <c r="H527" s="3"/>
      <c r="I527" s="3"/>
      <c r="J527" s="3"/>
      <c r="K527" s="3"/>
      <c r="L527" s="5">
        <f ca="1">IFERROR(__xludf.DUMMYFUNCTION("""COMPUTED_VALUE"""),180)</f>
        <v>180</v>
      </c>
      <c r="M527" s="5">
        <f ca="1">IFERROR(__xludf.DUMMYFUNCTION("""COMPUTED_VALUE"""),181)</f>
        <v>181</v>
      </c>
      <c r="N527" s="3" t="str">
        <f ca="1">IFERROR(__xludf.DUMMYFUNCTION("""COMPUTED_VALUE""")," ")</f>
        <v xml:space="preserve"> </v>
      </c>
      <c r="O527" s="5">
        <f ca="1">IFERROR(__xludf.DUMMYFUNCTION("""COMPUTED_VALUE"""),911)</f>
        <v>911</v>
      </c>
      <c r="P527" s="3">
        <f ca="1">IFERROR(__xludf.DUMMYFUNCTION("""COMPUTED_VALUE"""),-44276)</f>
        <v>-44276</v>
      </c>
      <c r="Q527" s="5">
        <f ca="1">IFERROR(__xludf.DUMMYFUNCTION("""COMPUTED_VALUE"""),2007)</f>
        <v>2007</v>
      </c>
      <c r="R527" s="3"/>
      <c r="S527" s="3"/>
      <c r="T527" s="3"/>
      <c r="U527" s="3"/>
      <c r="V527" s="3"/>
      <c r="W527" s="3"/>
      <c r="X527" s="3"/>
    </row>
    <row r="528" spans="1:24" x14ac:dyDescent="0.2">
      <c r="A528" s="3"/>
      <c r="B528" s="3"/>
      <c r="C528" s="3"/>
      <c r="D528" s="3"/>
      <c r="E528" s="3"/>
      <c r="F528" s="3"/>
      <c r="G528" s="3"/>
      <c r="H528" s="3"/>
      <c r="I528" s="3"/>
      <c r="J528" s="3"/>
      <c r="K528" s="3"/>
      <c r="L528" s="5">
        <f ca="1">IFERROR(__xludf.DUMMYFUNCTION("""COMPUTED_VALUE"""),180)</f>
        <v>180</v>
      </c>
      <c r="M528" s="5">
        <f ca="1">IFERROR(__xludf.DUMMYFUNCTION("""COMPUTED_VALUE"""),181)</f>
        <v>181</v>
      </c>
      <c r="N528" s="3" t="str">
        <f ca="1">IFERROR(__xludf.DUMMYFUNCTION("""COMPUTED_VALUE""")," ")</f>
        <v xml:space="preserve"> </v>
      </c>
      <c r="O528" s="5">
        <f ca="1">IFERROR(__xludf.DUMMYFUNCTION("""COMPUTED_VALUE"""),911)</f>
        <v>911</v>
      </c>
      <c r="P528" s="3">
        <f ca="1">IFERROR(__xludf.DUMMYFUNCTION("""COMPUTED_VALUE"""),-44276)</f>
        <v>-44276</v>
      </c>
      <c r="Q528" s="5">
        <f ca="1">IFERROR(__xludf.DUMMYFUNCTION("""COMPUTED_VALUE"""),2007)</f>
        <v>2007</v>
      </c>
      <c r="R528" s="3"/>
      <c r="S528" s="3"/>
      <c r="T528" s="3"/>
      <c r="U528" s="3"/>
      <c r="V528" s="3"/>
      <c r="W528" s="3"/>
      <c r="X528" s="3"/>
    </row>
    <row r="529" spans="1:24" x14ac:dyDescent="0.2">
      <c r="A529" s="3"/>
      <c r="B529" s="3"/>
      <c r="C529" s="3"/>
      <c r="D529" s="3"/>
      <c r="E529" s="3"/>
      <c r="F529" s="3"/>
      <c r="G529" s="3"/>
      <c r="H529" s="3"/>
      <c r="I529" s="3"/>
      <c r="J529" s="3"/>
      <c r="K529" s="3"/>
      <c r="L529" s="5">
        <f ca="1">IFERROR(__xludf.DUMMYFUNCTION("""COMPUTED_VALUE"""),180)</f>
        <v>180</v>
      </c>
      <c r="M529" s="5">
        <f ca="1">IFERROR(__xludf.DUMMYFUNCTION("""COMPUTED_VALUE"""),181)</f>
        <v>181</v>
      </c>
      <c r="N529" s="3" t="str">
        <f ca="1">IFERROR(__xludf.DUMMYFUNCTION("""COMPUTED_VALUE""")," ")</f>
        <v xml:space="preserve"> </v>
      </c>
      <c r="O529" s="5">
        <f ca="1">IFERROR(__xludf.DUMMYFUNCTION("""COMPUTED_VALUE"""),911)</f>
        <v>911</v>
      </c>
      <c r="P529" s="3">
        <f ca="1">IFERROR(__xludf.DUMMYFUNCTION("""COMPUTED_VALUE"""),-44276)</f>
        <v>-44276</v>
      </c>
      <c r="Q529" s="5">
        <f ca="1">IFERROR(__xludf.DUMMYFUNCTION("""COMPUTED_VALUE"""),2007)</f>
        <v>2007</v>
      </c>
      <c r="R529" s="3"/>
      <c r="S529" s="3"/>
      <c r="T529" s="3"/>
      <c r="U529" s="3"/>
      <c r="V529" s="3"/>
      <c r="W529" s="3"/>
      <c r="X529" s="3"/>
    </row>
    <row r="530" spans="1:24" x14ac:dyDescent="0.2">
      <c r="A530" s="3"/>
      <c r="B530" s="3"/>
      <c r="C530" s="3"/>
      <c r="D530" s="3"/>
      <c r="E530" s="3"/>
      <c r="F530" s="3"/>
      <c r="G530" s="3"/>
      <c r="H530" s="3"/>
      <c r="I530" s="3"/>
      <c r="J530" s="3"/>
      <c r="K530" s="3"/>
      <c r="L530" s="5">
        <f ca="1">IFERROR(__xludf.DUMMYFUNCTION("""COMPUTED_VALUE"""),180)</f>
        <v>180</v>
      </c>
      <c r="M530" s="5">
        <f ca="1">IFERROR(__xludf.DUMMYFUNCTION("""COMPUTED_VALUE"""),181)</f>
        <v>181</v>
      </c>
      <c r="N530" s="3" t="str">
        <f ca="1">IFERROR(__xludf.DUMMYFUNCTION("""COMPUTED_VALUE""")," ")</f>
        <v xml:space="preserve"> </v>
      </c>
      <c r="O530" s="5">
        <f ca="1">IFERROR(__xludf.DUMMYFUNCTION("""COMPUTED_VALUE"""),911)</f>
        <v>911</v>
      </c>
      <c r="P530" s="3">
        <f ca="1">IFERROR(__xludf.DUMMYFUNCTION("""COMPUTED_VALUE"""),-44276)</f>
        <v>-44276</v>
      </c>
      <c r="Q530" s="5">
        <f ca="1">IFERROR(__xludf.DUMMYFUNCTION("""COMPUTED_VALUE"""),2007)</f>
        <v>2007</v>
      </c>
      <c r="R530" s="3"/>
      <c r="S530" s="3"/>
      <c r="T530" s="3"/>
      <c r="U530" s="3"/>
      <c r="V530" s="3"/>
      <c r="W530" s="3"/>
      <c r="X530" s="3"/>
    </row>
    <row r="531" spans="1:24" x14ac:dyDescent="0.2">
      <c r="A531" s="3"/>
      <c r="B531" s="3"/>
      <c r="C531" s="3"/>
      <c r="D531" s="3"/>
      <c r="E531" s="3"/>
      <c r="F531" s="3"/>
      <c r="G531" s="3"/>
      <c r="H531" s="3"/>
      <c r="I531" s="3"/>
      <c r="J531" s="3"/>
      <c r="K531" s="3"/>
      <c r="L531" s="5">
        <f ca="1">IFERROR(__xludf.DUMMYFUNCTION("""COMPUTED_VALUE"""),180)</f>
        <v>180</v>
      </c>
      <c r="M531" s="5">
        <f ca="1">IFERROR(__xludf.DUMMYFUNCTION("""COMPUTED_VALUE"""),181)</f>
        <v>181</v>
      </c>
      <c r="N531" s="3" t="str">
        <f ca="1">IFERROR(__xludf.DUMMYFUNCTION("""COMPUTED_VALUE""")," ")</f>
        <v xml:space="preserve"> </v>
      </c>
      <c r="O531" s="5">
        <f ca="1">IFERROR(__xludf.DUMMYFUNCTION("""COMPUTED_VALUE"""),911)</f>
        <v>911</v>
      </c>
      <c r="P531" s="3">
        <f ca="1">IFERROR(__xludf.DUMMYFUNCTION("""COMPUTED_VALUE"""),-44276)</f>
        <v>-44276</v>
      </c>
      <c r="Q531" s="5">
        <f ca="1">IFERROR(__xludf.DUMMYFUNCTION("""COMPUTED_VALUE"""),2007)</f>
        <v>2007</v>
      </c>
      <c r="R531" s="3"/>
      <c r="S531" s="3"/>
      <c r="T531" s="3"/>
      <c r="U531" s="3"/>
      <c r="V531" s="3"/>
      <c r="W531" s="3"/>
      <c r="X531" s="3"/>
    </row>
    <row r="532" spans="1:24" x14ac:dyDescent="0.2">
      <c r="A532" s="3"/>
      <c r="B532" s="3"/>
      <c r="C532" s="3"/>
      <c r="D532" s="3"/>
      <c r="E532" s="3"/>
      <c r="F532" s="3"/>
      <c r="G532" s="3"/>
      <c r="H532" s="3"/>
      <c r="I532" s="3"/>
      <c r="J532" s="3"/>
      <c r="K532" s="3"/>
      <c r="L532" s="5">
        <f ca="1">IFERROR(__xludf.DUMMYFUNCTION("""COMPUTED_VALUE"""),180)</f>
        <v>180</v>
      </c>
      <c r="M532" s="5">
        <f ca="1">IFERROR(__xludf.DUMMYFUNCTION("""COMPUTED_VALUE"""),181)</f>
        <v>181</v>
      </c>
      <c r="N532" s="3" t="str">
        <f ca="1">IFERROR(__xludf.DUMMYFUNCTION("""COMPUTED_VALUE""")," ")</f>
        <v xml:space="preserve"> </v>
      </c>
      <c r="O532" s="5">
        <f ca="1">IFERROR(__xludf.DUMMYFUNCTION("""COMPUTED_VALUE"""),911)</f>
        <v>911</v>
      </c>
      <c r="P532" s="3">
        <f ca="1">IFERROR(__xludf.DUMMYFUNCTION("""COMPUTED_VALUE"""),-44276)</f>
        <v>-44276</v>
      </c>
      <c r="Q532" s="5">
        <f ca="1">IFERROR(__xludf.DUMMYFUNCTION("""COMPUTED_VALUE"""),2007)</f>
        <v>2007</v>
      </c>
      <c r="R532" s="3"/>
      <c r="S532" s="3"/>
      <c r="T532" s="3"/>
      <c r="U532" s="3"/>
      <c r="V532" s="3"/>
      <c r="W532" s="3"/>
      <c r="X532" s="3"/>
    </row>
    <row r="533" spans="1:24" x14ac:dyDescent="0.2">
      <c r="A533" s="3"/>
      <c r="B533" s="3"/>
      <c r="C533" s="3"/>
      <c r="D533" s="3"/>
      <c r="E533" s="3"/>
      <c r="F533" s="3"/>
      <c r="G533" s="3"/>
      <c r="H533" s="3"/>
      <c r="I533" s="3"/>
      <c r="J533" s="3"/>
      <c r="K533" s="3"/>
      <c r="L533" s="5">
        <f ca="1">IFERROR(__xludf.DUMMYFUNCTION("""COMPUTED_VALUE"""),180)</f>
        <v>180</v>
      </c>
      <c r="M533" s="5">
        <f ca="1">IFERROR(__xludf.DUMMYFUNCTION("""COMPUTED_VALUE"""),181)</f>
        <v>181</v>
      </c>
      <c r="N533" s="3" t="str">
        <f ca="1">IFERROR(__xludf.DUMMYFUNCTION("""COMPUTED_VALUE""")," ")</f>
        <v xml:space="preserve"> </v>
      </c>
      <c r="O533" s="5">
        <f ca="1">IFERROR(__xludf.DUMMYFUNCTION("""COMPUTED_VALUE"""),911)</f>
        <v>911</v>
      </c>
      <c r="P533" s="3">
        <f ca="1">IFERROR(__xludf.DUMMYFUNCTION("""COMPUTED_VALUE"""),-44276)</f>
        <v>-44276</v>
      </c>
      <c r="Q533" s="5">
        <f ca="1">IFERROR(__xludf.DUMMYFUNCTION("""COMPUTED_VALUE"""),2007)</f>
        <v>2007</v>
      </c>
      <c r="R533" s="3"/>
      <c r="S533" s="3"/>
      <c r="T533" s="3"/>
      <c r="U533" s="3"/>
      <c r="V533" s="3"/>
      <c r="W533" s="3"/>
      <c r="X533" s="3"/>
    </row>
    <row r="534" spans="1:24" x14ac:dyDescent="0.2">
      <c r="A534" s="3"/>
      <c r="B534" s="3"/>
      <c r="C534" s="3"/>
      <c r="D534" s="3"/>
      <c r="E534" s="3"/>
      <c r="F534" s="3"/>
      <c r="G534" s="3"/>
      <c r="H534" s="3"/>
      <c r="I534" s="3"/>
      <c r="J534" s="3"/>
      <c r="K534" s="3"/>
      <c r="L534" s="5">
        <f ca="1">IFERROR(__xludf.DUMMYFUNCTION("""COMPUTED_VALUE"""),180)</f>
        <v>180</v>
      </c>
      <c r="M534" s="5">
        <f ca="1">IFERROR(__xludf.DUMMYFUNCTION("""COMPUTED_VALUE"""),181)</f>
        <v>181</v>
      </c>
      <c r="N534" s="3" t="str">
        <f ca="1">IFERROR(__xludf.DUMMYFUNCTION("""COMPUTED_VALUE""")," ")</f>
        <v xml:space="preserve"> </v>
      </c>
      <c r="O534" s="5">
        <f ca="1">IFERROR(__xludf.DUMMYFUNCTION("""COMPUTED_VALUE"""),911)</f>
        <v>911</v>
      </c>
      <c r="P534" s="3">
        <f ca="1">IFERROR(__xludf.DUMMYFUNCTION("""COMPUTED_VALUE"""),-44276)</f>
        <v>-44276</v>
      </c>
      <c r="Q534" s="5">
        <f ca="1">IFERROR(__xludf.DUMMYFUNCTION("""COMPUTED_VALUE"""),2007)</f>
        <v>2007</v>
      </c>
      <c r="R534" s="3"/>
      <c r="S534" s="3"/>
      <c r="T534" s="3"/>
      <c r="U534" s="3"/>
      <c r="V534" s="3"/>
      <c r="W534" s="3"/>
      <c r="X534" s="3"/>
    </row>
    <row r="535" spans="1:24" x14ac:dyDescent="0.2">
      <c r="A535" s="3"/>
      <c r="B535" s="3"/>
      <c r="C535" s="3"/>
      <c r="D535" s="3"/>
      <c r="E535" s="3"/>
      <c r="F535" s="3"/>
      <c r="G535" s="3"/>
      <c r="H535" s="3"/>
      <c r="I535" s="3"/>
      <c r="J535" s="3"/>
      <c r="K535" s="3"/>
      <c r="L535" s="5">
        <f ca="1">IFERROR(__xludf.DUMMYFUNCTION("""COMPUTED_VALUE"""),180)</f>
        <v>180</v>
      </c>
      <c r="M535" s="5">
        <f ca="1">IFERROR(__xludf.DUMMYFUNCTION("""COMPUTED_VALUE"""),181)</f>
        <v>181</v>
      </c>
      <c r="N535" s="3" t="str">
        <f ca="1">IFERROR(__xludf.DUMMYFUNCTION("""COMPUTED_VALUE""")," ")</f>
        <v xml:space="preserve"> </v>
      </c>
      <c r="O535" s="5">
        <f ca="1">IFERROR(__xludf.DUMMYFUNCTION("""COMPUTED_VALUE"""),911)</f>
        <v>911</v>
      </c>
      <c r="P535" s="3">
        <f ca="1">IFERROR(__xludf.DUMMYFUNCTION("""COMPUTED_VALUE"""),-44276)</f>
        <v>-44276</v>
      </c>
      <c r="Q535" s="5">
        <f ca="1">IFERROR(__xludf.DUMMYFUNCTION("""COMPUTED_VALUE"""),2007)</f>
        <v>2007</v>
      </c>
      <c r="R535" s="3"/>
      <c r="S535" s="3"/>
      <c r="T535" s="3"/>
      <c r="U535" s="3"/>
      <c r="V535" s="3"/>
      <c r="W535" s="3"/>
      <c r="X535" s="3"/>
    </row>
    <row r="536" spans="1:24" x14ac:dyDescent="0.2">
      <c r="A536" s="3"/>
      <c r="B536" s="3"/>
      <c r="C536" s="3"/>
      <c r="D536" s="3"/>
      <c r="E536" s="3"/>
      <c r="F536" s="3"/>
      <c r="G536" s="3"/>
      <c r="H536" s="3"/>
      <c r="I536" s="3"/>
      <c r="J536" s="3"/>
      <c r="K536" s="3"/>
      <c r="L536" s="5">
        <f ca="1">IFERROR(__xludf.DUMMYFUNCTION("""COMPUTED_VALUE"""),180)</f>
        <v>180</v>
      </c>
      <c r="M536" s="5">
        <f ca="1">IFERROR(__xludf.DUMMYFUNCTION("""COMPUTED_VALUE"""),181)</f>
        <v>181</v>
      </c>
      <c r="N536" s="3" t="str">
        <f ca="1">IFERROR(__xludf.DUMMYFUNCTION("""COMPUTED_VALUE""")," ")</f>
        <v xml:space="preserve"> </v>
      </c>
      <c r="O536" s="5">
        <f ca="1">IFERROR(__xludf.DUMMYFUNCTION("""COMPUTED_VALUE"""),911)</f>
        <v>911</v>
      </c>
      <c r="P536" s="3">
        <f ca="1">IFERROR(__xludf.DUMMYFUNCTION("""COMPUTED_VALUE"""),-44276)</f>
        <v>-44276</v>
      </c>
      <c r="Q536" s="5">
        <f ca="1">IFERROR(__xludf.DUMMYFUNCTION("""COMPUTED_VALUE"""),2007)</f>
        <v>2007</v>
      </c>
      <c r="R536" s="3"/>
      <c r="S536" s="3"/>
      <c r="T536" s="3"/>
      <c r="U536" s="3"/>
      <c r="V536" s="3"/>
      <c r="W536" s="3"/>
      <c r="X536" s="3"/>
    </row>
    <row r="537" spans="1:24" x14ac:dyDescent="0.2">
      <c r="A537" s="3"/>
      <c r="B537" s="3"/>
      <c r="C537" s="3"/>
      <c r="D537" s="3"/>
      <c r="E537" s="3"/>
      <c r="F537" s="3"/>
      <c r="G537" s="3"/>
      <c r="H537" s="3"/>
      <c r="I537" s="3"/>
      <c r="J537" s="3"/>
      <c r="K537" s="3"/>
      <c r="L537" s="5">
        <f ca="1">IFERROR(__xludf.DUMMYFUNCTION("""COMPUTED_VALUE"""),180)</f>
        <v>180</v>
      </c>
      <c r="M537" s="5">
        <f ca="1">IFERROR(__xludf.DUMMYFUNCTION("""COMPUTED_VALUE"""),181)</f>
        <v>181</v>
      </c>
      <c r="N537" s="3" t="str">
        <f ca="1">IFERROR(__xludf.DUMMYFUNCTION("""COMPUTED_VALUE""")," ")</f>
        <v xml:space="preserve"> </v>
      </c>
      <c r="O537" s="5">
        <f ca="1">IFERROR(__xludf.DUMMYFUNCTION("""COMPUTED_VALUE"""),911)</f>
        <v>911</v>
      </c>
      <c r="P537" s="3">
        <f ca="1">IFERROR(__xludf.DUMMYFUNCTION("""COMPUTED_VALUE"""),-44276)</f>
        <v>-44276</v>
      </c>
      <c r="Q537" s="5">
        <f ca="1">IFERROR(__xludf.DUMMYFUNCTION("""COMPUTED_VALUE"""),2007)</f>
        <v>2007</v>
      </c>
      <c r="R537" s="3"/>
      <c r="S537" s="3"/>
      <c r="T537" s="3"/>
      <c r="U537" s="3"/>
      <c r="V537" s="3"/>
      <c r="W537" s="3"/>
      <c r="X537" s="3"/>
    </row>
    <row r="538" spans="1:24" x14ac:dyDescent="0.2">
      <c r="A538" s="3"/>
      <c r="B538" s="3"/>
      <c r="C538" s="3"/>
      <c r="D538" s="3"/>
      <c r="E538" s="3"/>
      <c r="F538" s="3"/>
      <c r="G538" s="3"/>
      <c r="H538" s="3"/>
      <c r="I538" s="3"/>
      <c r="J538" s="3"/>
      <c r="K538" s="3"/>
      <c r="L538" s="5">
        <f ca="1">IFERROR(__xludf.DUMMYFUNCTION("""COMPUTED_VALUE"""),180)</f>
        <v>180</v>
      </c>
      <c r="M538" s="5">
        <f ca="1">IFERROR(__xludf.DUMMYFUNCTION("""COMPUTED_VALUE"""),181)</f>
        <v>181</v>
      </c>
      <c r="N538" s="3" t="str">
        <f ca="1">IFERROR(__xludf.DUMMYFUNCTION("""COMPUTED_VALUE""")," ")</f>
        <v xml:space="preserve"> </v>
      </c>
      <c r="O538" s="5">
        <f ca="1">IFERROR(__xludf.DUMMYFUNCTION("""COMPUTED_VALUE"""),911)</f>
        <v>911</v>
      </c>
      <c r="P538" s="3">
        <f ca="1">IFERROR(__xludf.DUMMYFUNCTION("""COMPUTED_VALUE"""),-44276)</f>
        <v>-44276</v>
      </c>
      <c r="Q538" s="5">
        <f ca="1">IFERROR(__xludf.DUMMYFUNCTION("""COMPUTED_VALUE"""),2007)</f>
        <v>2007</v>
      </c>
      <c r="R538" s="3"/>
      <c r="S538" s="3"/>
      <c r="T538" s="3"/>
      <c r="U538" s="3"/>
      <c r="V538" s="3"/>
      <c r="W538" s="3"/>
      <c r="X538" s="3"/>
    </row>
    <row r="539" spans="1:24" x14ac:dyDescent="0.2">
      <c r="A539" s="3"/>
      <c r="B539" s="3"/>
      <c r="C539" s="3"/>
      <c r="D539" s="3"/>
      <c r="E539" s="3"/>
      <c r="F539" s="3"/>
      <c r="G539" s="3"/>
      <c r="H539" s="3"/>
      <c r="I539" s="3"/>
      <c r="J539" s="3"/>
      <c r="K539" s="3"/>
      <c r="L539" s="5">
        <f ca="1">IFERROR(__xludf.DUMMYFUNCTION("""COMPUTED_VALUE"""),180)</f>
        <v>180</v>
      </c>
      <c r="M539" s="5">
        <f ca="1">IFERROR(__xludf.DUMMYFUNCTION("""COMPUTED_VALUE"""),181)</f>
        <v>181</v>
      </c>
      <c r="N539" s="3" t="str">
        <f ca="1">IFERROR(__xludf.DUMMYFUNCTION("""COMPUTED_VALUE""")," ")</f>
        <v xml:space="preserve"> </v>
      </c>
      <c r="O539" s="5">
        <f ca="1">IFERROR(__xludf.DUMMYFUNCTION("""COMPUTED_VALUE"""),911)</f>
        <v>911</v>
      </c>
      <c r="P539" s="3">
        <f ca="1">IFERROR(__xludf.DUMMYFUNCTION("""COMPUTED_VALUE"""),-44276)</f>
        <v>-44276</v>
      </c>
      <c r="Q539" s="5">
        <f ca="1">IFERROR(__xludf.DUMMYFUNCTION("""COMPUTED_VALUE"""),2007)</f>
        <v>2007</v>
      </c>
      <c r="R539" s="3"/>
      <c r="S539" s="3"/>
      <c r="T539" s="3"/>
      <c r="U539" s="3"/>
      <c r="V539" s="3"/>
      <c r="W539" s="3"/>
      <c r="X539" s="3"/>
    </row>
    <row r="540" spans="1:24" x14ac:dyDescent="0.2">
      <c r="A540" s="3"/>
      <c r="B540" s="3"/>
      <c r="C540" s="3"/>
      <c r="D540" s="3"/>
      <c r="E540" s="3"/>
      <c r="F540" s="3"/>
      <c r="G540" s="3"/>
      <c r="H540" s="3"/>
      <c r="I540" s="3"/>
      <c r="J540" s="3"/>
      <c r="K540" s="3"/>
      <c r="L540" s="5">
        <f ca="1">IFERROR(__xludf.DUMMYFUNCTION("""COMPUTED_VALUE"""),180)</f>
        <v>180</v>
      </c>
      <c r="M540" s="5">
        <f ca="1">IFERROR(__xludf.DUMMYFUNCTION("""COMPUTED_VALUE"""),181)</f>
        <v>181</v>
      </c>
      <c r="N540" s="3" t="str">
        <f ca="1">IFERROR(__xludf.DUMMYFUNCTION("""COMPUTED_VALUE""")," ")</f>
        <v xml:space="preserve"> </v>
      </c>
      <c r="O540" s="5">
        <f ca="1">IFERROR(__xludf.DUMMYFUNCTION("""COMPUTED_VALUE"""),911)</f>
        <v>911</v>
      </c>
      <c r="P540" s="3">
        <f ca="1">IFERROR(__xludf.DUMMYFUNCTION("""COMPUTED_VALUE"""),-44276)</f>
        <v>-44276</v>
      </c>
      <c r="Q540" s="5">
        <f ca="1">IFERROR(__xludf.DUMMYFUNCTION("""COMPUTED_VALUE"""),2007)</f>
        <v>2007</v>
      </c>
      <c r="R540" s="3"/>
      <c r="S540" s="3"/>
      <c r="T540" s="3"/>
      <c r="U540" s="3"/>
      <c r="V540" s="3"/>
      <c r="W540" s="3"/>
      <c r="X540" s="3"/>
    </row>
    <row r="541" spans="1:24" x14ac:dyDescent="0.2">
      <c r="A541" s="3"/>
      <c r="B541" s="3"/>
      <c r="C541" s="3"/>
      <c r="D541" s="3"/>
      <c r="E541" s="3"/>
      <c r="F541" s="3"/>
      <c r="G541" s="3"/>
      <c r="H541" s="3"/>
      <c r="I541" s="3"/>
      <c r="J541" s="3"/>
      <c r="K541" s="3"/>
      <c r="L541" s="5">
        <f ca="1">IFERROR(__xludf.DUMMYFUNCTION("""COMPUTED_VALUE"""),180)</f>
        <v>180</v>
      </c>
      <c r="M541" s="5">
        <f ca="1">IFERROR(__xludf.DUMMYFUNCTION("""COMPUTED_VALUE"""),181)</f>
        <v>181</v>
      </c>
      <c r="N541" s="3" t="str">
        <f ca="1">IFERROR(__xludf.DUMMYFUNCTION("""COMPUTED_VALUE""")," ")</f>
        <v xml:space="preserve"> </v>
      </c>
      <c r="O541" s="5">
        <f ca="1">IFERROR(__xludf.DUMMYFUNCTION("""COMPUTED_VALUE"""),911)</f>
        <v>911</v>
      </c>
      <c r="P541" s="3">
        <f ca="1">IFERROR(__xludf.DUMMYFUNCTION("""COMPUTED_VALUE"""),-44276)</f>
        <v>-44276</v>
      </c>
      <c r="Q541" s="5">
        <f ca="1">IFERROR(__xludf.DUMMYFUNCTION("""COMPUTED_VALUE"""),2007)</f>
        <v>2007</v>
      </c>
      <c r="R541" s="3"/>
      <c r="S541" s="3"/>
      <c r="T541" s="3"/>
      <c r="U541" s="3"/>
      <c r="V541" s="3"/>
      <c r="W541" s="3"/>
      <c r="X541" s="3"/>
    </row>
    <row r="542" spans="1:24" x14ac:dyDescent="0.2">
      <c r="A542" s="3"/>
      <c r="B542" s="3"/>
      <c r="C542" s="3"/>
      <c r="D542" s="3"/>
      <c r="E542" s="3"/>
      <c r="F542" s="3"/>
      <c r="G542" s="3"/>
      <c r="H542" s="3"/>
      <c r="I542" s="3"/>
      <c r="J542" s="3"/>
      <c r="K542" s="3"/>
      <c r="L542" s="5">
        <f ca="1">IFERROR(__xludf.DUMMYFUNCTION("""COMPUTED_VALUE"""),180)</f>
        <v>180</v>
      </c>
      <c r="M542" s="5">
        <f ca="1">IFERROR(__xludf.DUMMYFUNCTION("""COMPUTED_VALUE"""),181)</f>
        <v>181</v>
      </c>
      <c r="N542" s="3" t="str">
        <f ca="1">IFERROR(__xludf.DUMMYFUNCTION("""COMPUTED_VALUE""")," ")</f>
        <v xml:space="preserve"> </v>
      </c>
      <c r="O542" s="5">
        <f ca="1">IFERROR(__xludf.DUMMYFUNCTION("""COMPUTED_VALUE"""),911)</f>
        <v>911</v>
      </c>
      <c r="P542" s="3">
        <f ca="1">IFERROR(__xludf.DUMMYFUNCTION("""COMPUTED_VALUE"""),-44276)</f>
        <v>-44276</v>
      </c>
      <c r="Q542" s="5">
        <f ca="1">IFERROR(__xludf.DUMMYFUNCTION("""COMPUTED_VALUE"""),2007)</f>
        <v>2007</v>
      </c>
      <c r="R542" s="3"/>
      <c r="S542" s="3"/>
      <c r="T542" s="3"/>
      <c r="U542" s="3"/>
      <c r="V542" s="3"/>
      <c r="W542" s="3"/>
      <c r="X542" s="3"/>
    </row>
    <row r="543" spans="1:24" x14ac:dyDescent="0.2">
      <c r="A543" s="3"/>
      <c r="B543" s="3"/>
      <c r="C543" s="3"/>
      <c r="D543" s="3"/>
      <c r="E543" s="3"/>
      <c r="F543" s="3"/>
      <c r="G543" s="3"/>
      <c r="H543" s="3"/>
      <c r="I543" s="3"/>
      <c r="J543" s="3"/>
      <c r="K543" s="3"/>
      <c r="L543" s="5">
        <f ca="1">IFERROR(__xludf.DUMMYFUNCTION("""COMPUTED_VALUE"""),180)</f>
        <v>180</v>
      </c>
      <c r="M543" s="5">
        <f ca="1">IFERROR(__xludf.DUMMYFUNCTION("""COMPUTED_VALUE"""),181)</f>
        <v>181</v>
      </c>
      <c r="N543" s="3" t="str">
        <f ca="1">IFERROR(__xludf.DUMMYFUNCTION("""COMPUTED_VALUE""")," ")</f>
        <v xml:space="preserve"> </v>
      </c>
      <c r="O543" s="5">
        <f ca="1">IFERROR(__xludf.DUMMYFUNCTION("""COMPUTED_VALUE"""),911)</f>
        <v>911</v>
      </c>
      <c r="P543" s="3">
        <f ca="1">IFERROR(__xludf.DUMMYFUNCTION("""COMPUTED_VALUE"""),-44276)</f>
        <v>-44276</v>
      </c>
      <c r="Q543" s="5">
        <f ca="1">IFERROR(__xludf.DUMMYFUNCTION("""COMPUTED_VALUE"""),2007)</f>
        <v>2007</v>
      </c>
      <c r="R543" s="3"/>
      <c r="S543" s="3"/>
      <c r="T543" s="3"/>
      <c r="U543" s="3"/>
      <c r="V543" s="3"/>
      <c r="W543" s="3"/>
      <c r="X543" s="3"/>
    </row>
    <row r="544" spans="1:24" x14ac:dyDescent="0.2">
      <c r="A544" s="3"/>
      <c r="B544" s="3"/>
      <c r="C544" s="3"/>
      <c r="D544" s="3"/>
      <c r="E544" s="3"/>
      <c r="F544" s="3"/>
      <c r="G544" s="3"/>
      <c r="H544" s="3"/>
      <c r="I544" s="3"/>
      <c r="J544" s="3"/>
      <c r="K544" s="3"/>
      <c r="L544" s="5">
        <f ca="1">IFERROR(__xludf.DUMMYFUNCTION("""COMPUTED_VALUE"""),180)</f>
        <v>180</v>
      </c>
      <c r="M544" s="5">
        <f ca="1">IFERROR(__xludf.DUMMYFUNCTION("""COMPUTED_VALUE"""),181)</f>
        <v>181</v>
      </c>
      <c r="N544" s="3" t="str">
        <f ca="1">IFERROR(__xludf.DUMMYFUNCTION("""COMPUTED_VALUE""")," ")</f>
        <v xml:space="preserve"> </v>
      </c>
      <c r="O544" s="5">
        <f ca="1">IFERROR(__xludf.DUMMYFUNCTION("""COMPUTED_VALUE"""),911)</f>
        <v>911</v>
      </c>
      <c r="P544" s="3">
        <f ca="1">IFERROR(__xludf.DUMMYFUNCTION("""COMPUTED_VALUE"""),-44276)</f>
        <v>-44276</v>
      </c>
      <c r="Q544" s="5">
        <f ca="1">IFERROR(__xludf.DUMMYFUNCTION("""COMPUTED_VALUE"""),2007)</f>
        <v>2007</v>
      </c>
      <c r="R544" s="3"/>
      <c r="S544" s="3"/>
      <c r="T544" s="3"/>
      <c r="U544" s="3"/>
      <c r="V544" s="3"/>
      <c r="W544" s="3"/>
      <c r="X544" s="3"/>
    </row>
    <row r="545" spans="1:24" x14ac:dyDescent="0.2">
      <c r="A545" s="3"/>
      <c r="B545" s="3"/>
      <c r="C545" s="3"/>
      <c r="D545" s="3"/>
      <c r="E545" s="3"/>
      <c r="F545" s="3"/>
      <c r="G545" s="3"/>
      <c r="H545" s="3"/>
      <c r="I545" s="3"/>
      <c r="J545" s="3"/>
      <c r="K545" s="3"/>
      <c r="L545" s="5">
        <f ca="1">IFERROR(__xludf.DUMMYFUNCTION("""COMPUTED_VALUE"""),180)</f>
        <v>180</v>
      </c>
      <c r="M545" s="5">
        <f ca="1">IFERROR(__xludf.DUMMYFUNCTION("""COMPUTED_VALUE"""),181)</f>
        <v>181</v>
      </c>
      <c r="N545" s="3" t="str">
        <f ca="1">IFERROR(__xludf.DUMMYFUNCTION("""COMPUTED_VALUE""")," ")</f>
        <v xml:space="preserve"> </v>
      </c>
      <c r="O545" s="5">
        <f ca="1">IFERROR(__xludf.DUMMYFUNCTION("""COMPUTED_VALUE"""),911)</f>
        <v>911</v>
      </c>
      <c r="P545" s="3">
        <f ca="1">IFERROR(__xludf.DUMMYFUNCTION("""COMPUTED_VALUE"""),-44276)</f>
        <v>-44276</v>
      </c>
      <c r="Q545" s="5">
        <f ca="1">IFERROR(__xludf.DUMMYFUNCTION("""COMPUTED_VALUE"""),2007)</f>
        <v>2007</v>
      </c>
      <c r="R545" s="3"/>
      <c r="S545" s="3"/>
      <c r="T545" s="3"/>
      <c r="U545" s="3"/>
      <c r="V545" s="3"/>
      <c r="W545" s="3"/>
      <c r="X545" s="3"/>
    </row>
    <row r="546" spans="1:24" x14ac:dyDescent="0.2">
      <c r="A546" s="3"/>
      <c r="B546" s="3"/>
      <c r="C546" s="3"/>
      <c r="D546" s="3"/>
      <c r="E546" s="3"/>
      <c r="F546" s="3"/>
      <c r="G546" s="3"/>
      <c r="H546" s="3"/>
      <c r="I546" s="3"/>
      <c r="J546" s="3"/>
      <c r="K546" s="3"/>
      <c r="L546" s="5">
        <f ca="1">IFERROR(__xludf.DUMMYFUNCTION("""COMPUTED_VALUE"""),180)</f>
        <v>180</v>
      </c>
      <c r="M546" s="5">
        <f ca="1">IFERROR(__xludf.DUMMYFUNCTION("""COMPUTED_VALUE"""),181)</f>
        <v>181</v>
      </c>
      <c r="N546" s="3" t="str">
        <f ca="1">IFERROR(__xludf.DUMMYFUNCTION("""COMPUTED_VALUE""")," ")</f>
        <v xml:space="preserve"> </v>
      </c>
      <c r="O546" s="5">
        <f ca="1">IFERROR(__xludf.DUMMYFUNCTION("""COMPUTED_VALUE"""),911)</f>
        <v>911</v>
      </c>
      <c r="P546" s="3">
        <f ca="1">IFERROR(__xludf.DUMMYFUNCTION("""COMPUTED_VALUE"""),-44276)</f>
        <v>-44276</v>
      </c>
      <c r="Q546" s="5">
        <f ca="1">IFERROR(__xludf.DUMMYFUNCTION("""COMPUTED_VALUE"""),2007)</f>
        <v>2007</v>
      </c>
      <c r="R546" s="3"/>
      <c r="S546" s="3"/>
      <c r="T546" s="3"/>
      <c r="U546" s="3"/>
      <c r="V546" s="3"/>
      <c r="W546" s="3"/>
      <c r="X546" s="3"/>
    </row>
    <row r="547" spans="1:24" x14ac:dyDescent="0.2">
      <c r="A547" s="3"/>
      <c r="B547" s="3"/>
      <c r="C547" s="3"/>
      <c r="D547" s="3"/>
      <c r="E547" s="3"/>
      <c r="F547" s="3"/>
      <c r="G547" s="3"/>
      <c r="H547" s="3"/>
      <c r="I547" s="3"/>
      <c r="J547" s="3"/>
      <c r="K547" s="3"/>
      <c r="L547" s="5">
        <f ca="1">IFERROR(__xludf.DUMMYFUNCTION("""COMPUTED_VALUE"""),180)</f>
        <v>180</v>
      </c>
      <c r="M547" s="5">
        <f ca="1">IFERROR(__xludf.DUMMYFUNCTION("""COMPUTED_VALUE"""),181)</f>
        <v>181</v>
      </c>
      <c r="N547" s="3" t="str">
        <f ca="1">IFERROR(__xludf.DUMMYFUNCTION("""COMPUTED_VALUE""")," ")</f>
        <v xml:space="preserve"> </v>
      </c>
      <c r="O547" s="5">
        <f ca="1">IFERROR(__xludf.DUMMYFUNCTION("""COMPUTED_VALUE"""),911)</f>
        <v>911</v>
      </c>
      <c r="P547" s="3">
        <f ca="1">IFERROR(__xludf.DUMMYFUNCTION("""COMPUTED_VALUE"""),-44276)</f>
        <v>-44276</v>
      </c>
      <c r="Q547" s="5">
        <f ca="1">IFERROR(__xludf.DUMMYFUNCTION("""COMPUTED_VALUE"""),2007)</f>
        <v>2007</v>
      </c>
      <c r="R547" s="3"/>
      <c r="S547" s="3"/>
      <c r="T547" s="3"/>
      <c r="U547" s="3"/>
      <c r="V547" s="3"/>
      <c r="W547" s="3"/>
      <c r="X547" s="3"/>
    </row>
    <row r="548" spans="1:24" x14ac:dyDescent="0.2">
      <c r="A548" s="3"/>
      <c r="B548" s="3"/>
      <c r="C548" s="3"/>
      <c r="D548" s="3"/>
      <c r="E548" s="3"/>
      <c r="F548" s="3"/>
      <c r="G548" s="3"/>
      <c r="H548" s="3"/>
      <c r="I548" s="3"/>
      <c r="J548" s="3"/>
      <c r="K548" s="3"/>
      <c r="L548" s="5">
        <f ca="1">IFERROR(__xludf.DUMMYFUNCTION("""COMPUTED_VALUE"""),180)</f>
        <v>180</v>
      </c>
      <c r="M548" s="5">
        <f ca="1">IFERROR(__xludf.DUMMYFUNCTION("""COMPUTED_VALUE"""),181)</f>
        <v>181</v>
      </c>
      <c r="N548" s="3" t="str">
        <f ca="1">IFERROR(__xludf.DUMMYFUNCTION("""COMPUTED_VALUE""")," ")</f>
        <v xml:space="preserve"> </v>
      </c>
      <c r="O548" s="5">
        <f ca="1">IFERROR(__xludf.DUMMYFUNCTION("""COMPUTED_VALUE"""),911)</f>
        <v>911</v>
      </c>
      <c r="P548" s="3">
        <f ca="1">IFERROR(__xludf.DUMMYFUNCTION("""COMPUTED_VALUE"""),-44276)</f>
        <v>-44276</v>
      </c>
      <c r="Q548" s="5">
        <f ca="1">IFERROR(__xludf.DUMMYFUNCTION("""COMPUTED_VALUE"""),2007)</f>
        <v>2007</v>
      </c>
      <c r="R548" s="3"/>
      <c r="S548" s="3"/>
      <c r="T548" s="3"/>
      <c r="U548" s="3"/>
      <c r="V548" s="3"/>
      <c r="W548" s="3"/>
      <c r="X548" s="3"/>
    </row>
    <row r="549" spans="1:24" x14ac:dyDescent="0.2">
      <c r="A549" s="3"/>
      <c r="B549" s="3"/>
      <c r="C549" s="3"/>
      <c r="D549" s="3"/>
      <c r="E549" s="3"/>
      <c r="F549" s="3"/>
      <c r="G549" s="3"/>
      <c r="H549" s="3"/>
      <c r="I549" s="3"/>
      <c r="J549" s="3"/>
      <c r="K549" s="3"/>
      <c r="L549" s="5">
        <f ca="1">IFERROR(__xludf.DUMMYFUNCTION("""COMPUTED_VALUE"""),180)</f>
        <v>180</v>
      </c>
      <c r="M549" s="5">
        <f ca="1">IFERROR(__xludf.DUMMYFUNCTION("""COMPUTED_VALUE"""),181)</f>
        <v>181</v>
      </c>
      <c r="N549" s="3" t="str">
        <f ca="1">IFERROR(__xludf.DUMMYFUNCTION("""COMPUTED_VALUE""")," ")</f>
        <v xml:space="preserve"> </v>
      </c>
      <c r="O549" s="5">
        <f ca="1">IFERROR(__xludf.DUMMYFUNCTION("""COMPUTED_VALUE"""),911)</f>
        <v>911</v>
      </c>
      <c r="P549" s="3">
        <f ca="1">IFERROR(__xludf.DUMMYFUNCTION("""COMPUTED_VALUE"""),-44276)</f>
        <v>-44276</v>
      </c>
      <c r="Q549" s="5">
        <f ca="1">IFERROR(__xludf.DUMMYFUNCTION("""COMPUTED_VALUE"""),2007)</f>
        <v>2007</v>
      </c>
      <c r="R549" s="3"/>
      <c r="S549" s="3"/>
      <c r="T549" s="3"/>
      <c r="U549" s="3"/>
      <c r="V549" s="3"/>
      <c r="W549" s="3"/>
      <c r="X549" s="3"/>
    </row>
    <row r="550" spans="1:24" x14ac:dyDescent="0.2">
      <c r="A550" s="3"/>
      <c r="B550" s="3"/>
      <c r="C550" s="3"/>
      <c r="D550" s="3"/>
      <c r="E550" s="3"/>
      <c r="F550" s="3"/>
      <c r="G550" s="3"/>
      <c r="H550" s="3"/>
      <c r="I550" s="3"/>
      <c r="J550" s="3"/>
      <c r="K550" s="3"/>
      <c r="L550" s="5">
        <f ca="1">IFERROR(__xludf.DUMMYFUNCTION("""COMPUTED_VALUE"""),180)</f>
        <v>180</v>
      </c>
      <c r="M550" s="5">
        <f ca="1">IFERROR(__xludf.DUMMYFUNCTION("""COMPUTED_VALUE"""),181)</f>
        <v>181</v>
      </c>
      <c r="N550" s="3" t="str">
        <f ca="1">IFERROR(__xludf.DUMMYFUNCTION("""COMPUTED_VALUE""")," ")</f>
        <v xml:space="preserve"> </v>
      </c>
      <c r="O550" s="5">
        <f ca="1">IFERROR(__xludf.DUMMYFUNCTION("""COMPUTED_VALUE"""),911)</f>
        <v>911</v>
      </c>
      <c r="P550" s="3">
        <f ca="1">IFERROR(__xludf.DUMMYFUNCTION("""COMPUTED_VALUE"""),-44276)</f>
        <v>-44276</v>
      </c>
      <c r="Q550" s="5">
        <f ca="1">IFERROR(__xludf.DUMMYFUNCTION("""COMPUTED_VALUE"""),2007)</f>
        <v>2007</v>
      </c>
      <c r="R550" s="3"/>
      <c r="S550" s="3"/>
      <c r="T550" s="3"/>
      <c r="U550" s="3"/>
      <c r="V550" s="3"/>
      <c r="W550" s="3"/>
      <c r="X550" s="3"/>
    </row>
    <row r="551" spans="1:24" x14ac:dyDescent="0.2">
      <c r="A551" s="3"/>
      <c r="B551" s="3"/>
      <c r="C551" s="3"/>
      <c r="D551" s="3"/>
      <c r="E551" s="3"/>
      <c r="F551" s="3"/>
      <c r="G551" s="3"/>
      <c r="H551" s="3"/>
      <c r="I551" s="3"/>
      <c r="J551" s="3"/>
      <c r="K551" s="3"/>
      <c r="L551" s="5">
        <f ca="1">IFERROR(__xludf.DUMMYFUNCTION("""COMPUTED_VALUE"""),180)</f>
        <v>180</v>
      </c>
      <c r="M551" s="5">
        <f ca="1">IFERROR(__xludf.DUMMYFUNCTION("""COMPUTED_VALUE"""),181)</f>
        <v>181</v>
      </c>
      <c r="N551" s="3" t="str">
        <f ca="1">IFERROR(__xludf.DUMMYFUNCTION("""COMPUTED_VALUE""")," ")</f>
        <v xml:space="preserve"> </v>
      </c>
      <c r="O551" s="5">
        <f ca="1">IFERROR(__xludf.DUMMYFUNCTION("""COMPUTED_VALUE"""),911)</f>
        <v>911</v>
      </c>
      <c r="P551" s="3">
        <f ca="1">IFERROR(__xludf.DUMMYFUNCTION("""COMPUTED_VALUE"""),-44276)</f>
        <v>-44276</v>
      </c>
      <c r="Q551" s="5">
        <f ca="1">IFERROR(__xludf.DUMMYFUNCTION("""COMPUTED_VALUE"""),2007)</f>
        <v>2007</v>
      </c>
      <c r="R551" s="3"/>
      <c r="S551" s="3"/>
      <c r="T551" s="3"/>
      <c r="U551" s="3"/>
      <c r="V551" s="3"/>
      <c r="W551" s="3"/>
      <c r="X551" s="3"/>
    </row>
    <row r="552" spans="1:24" x14ac:dyDescent="0.2">
      <c r="A552" s="3"/>
      <c r="B552" s="3"/>
      <c r="C552" s="3"/>
      <c r="D552" s="3"/>
      <c r="E552" s="3"/>
      <c r="F552" s="3"/>
      <c r="G552" s="3"/>
      <c r="H552" s="3"/>
      <c r="I552" s="3"/>
      <c r="J552" s="3"/>
      <c r="K552" s="3"/>
      <c r="L552" s="5">
        <f ca="1">IFERROR(__xludf.DUMMYFUNCTION("""COMPUTED_VALUE"""),180)</f>
        <v>180</v>
      </c>
      <c r="M552" s="5">
        <f ca="1">IFERROR(__xludf.DUMMYFUNCTION("""COMPUTED_VALUE"""),181)</f>
        <v>181</v>
      </c>
      <c r="N552" s="3" t="str">
        <f ca="1">IFERROR(__xludf.DUMMYFUNCTION("""COMPUTED_VALUE""")," ")</f>
        <v xml:space="preserve"> </v>
      </c>
      <c r="O552" s="5">
        <f ca="1">IFERROR(__xludf.DUMMYFUNCTION("""COMPUTED_VALUE"""),911)</f>
        <v>911</v>
      </c>
      <c r="P552" s="3">
        <f ca="1">IFERROR(__xludf.DUMMYFUNCTION("""COMPUTED_VALUE"""),-44276)</f>
        <v>-44276</v>
      </c>
      <c r="Q552" s="5">
        <f ca="1">IFERROR(__xludf.DUMMYFUNCTION("""COMPUTED_VALUE"""),2007)</f>
        <v>2007</v>
      </c>
      <c r="R552" s="3"/>
      <c r="S552" s="3"/>
      <c r="T552" s="3"/>
      <c r="U552" s="3"/>
      <c r="V552" s="3"/>
      <c r="W552" s="3"/>
      <c r="X552" s="3"/>
    </row>
    <row r="553" spans="1:24" x14ac:dyDescent="0.2">
      <c r="A553" s="3"/>
      <c r="B553" s="3"/>
      <c r="C553" s="3"/>
      <c r="D553" s="3"/>
      <c r="E553" s="3"/>
      <c r="F553" s="3"/>
      <c r="G553" s="3"/>
      <c r="H553" s="3"/>
      <c r="I553" s="3"/>
      <c r="J553" s="3"/>
      <c r="K553" s="3"/>
      <c r="L553" s="5">
        <f ca="1">IFERROR(__xludf.DUMMYFUNCTION("""COMPUTED_VALUE"""),180)</f>
        <v>180</v>
      </c>
      <c r="M553" s="5">
        <f ca="1">IFERROR(__xludf.DUMMYFUNCTION("""COMPUTED_VALUE"""),181)</f>
        <v>181</v>
      </c>
      <c r="N553" s="3" t="str">
        <f ca="1">IFERROR(__xludf.DUMMYFUNCTION("""COMPUTED_VALUE""")," ")</f>
        <v xml:space="preserve"> </v>
      </c>
      <c r="O553" s="5">
        <f ca="1">IFERROR(__xludf.DUMMYFUNCTION("""COMPUTED_VALUE"""),911)</f>
        <v>911</v>
      </c>
      <c r="P553" s="3">
        <f ca="1">IFERROR(__xludf.DUMMYFUNCTION("""COMPUTED_VALUE"""),-44276)</f>
        <v>-44276</v>
      </c>
      <c r="Q553" s="5">
        <f ca="1">IFERROR(__xludf.DUMMYFUNCTION("""COMPUTED_VALUE"""),2007)</f>
        <v>2007</v>
      </c>
      <c r="R553" s="3"/>
      <c r="S553" s="3"/>
      <c r="T553" s="3"/>
      <c r="U553" s="3"/>
      <c r="V553" s="3"/>
      <c r="W553" s="3"/>
      <c r="X553" s="3"/>
    </row>
    <row r="554" spans="1:24" x14ac:dyDescent="0.2">
      <c r="A554" s="3"/>
      <c r="B554" s="3"/>
      <c r="C554" s="3"/>
      <c r="D554" s="3"/>
      <c r="E554" s="3"/>
      <c r="F554" s="3"/>
      <c r="G554" s="3"/>
      <c r="H554" s="3"/>
      <c r="I554" s="3"/>
      <c r="J554" s="3"/>
      <c r="K554" s="3"/>
      <c r="L554" s="5">
        <f ca="1">IFERROR(__xludf.DUMMYFUNCTION("""COMPUTED_VALUE"""),180)</f>
        <v>180</v>
      </c>
      <c r="M554" s="5">
        <f ca="1">IFERROR(__xludf.DUMMYFUNCTION("""COMPUTED_VALUE"""),181)</f>
        <v>181</v>
      </c>
      <c r="N554" s="3" t="str">
        <f ca="1">IFERROR(__xludf.DUMMYFUNCTION("""COMPUTED_VALUE""")," ")</f>
        <v xml:space="preserve"> </v>
      </c>
      <c r="O554" s="5">
        <f ca="1">IFERROR(__xludf.DUMMYFUNCTION("""COMPUTED_VALUE"""),911)</f>
        <v>911</v>
      </c>
      <c r="P554" s="3">
        <f ca="1">IFERROR(__xludf.DUMMYFUNCTION("""COMPUTED_VALUE"""),-44276)</f>
        <v>-44276</v>
      </c>
      <c r="Q554" s="5">
        <f ca="1">IFERROR(__xludf.DUMMYFUNCTION("""COMPUTED_VALUE"""),2007)</f>
        <v>2007</v>
      </c>
      <c r="R554" s="3"/>
      <c r="S554" s="3"/>
      <c r="T554" s="3"/>
      <c r="U554" s="3"/>
      <c r="V554" s="3"/>
      <c r="W554" s="3"/>
      <c r="X554" s="3"/>
    </row>
    <row r="555" spans="1:24" x14ac:dyDescent="0.2">
      <c r="A555" s="3"/>
      <c r="B555" s="3"/>
      <c r="C555" s="3"/>
      <c r="D555" s="3"/>
      <c r="E555" s="3"/>
      <c r="F555" s="3"/>
      <c r="G555" s="3"/>
      <c r="H555" s="3"/>
      <c r="I555" s="3"/>
      <c r="J555" s="3"/>
      <c r="K555" s="3"/>
      <c r="L555" s="5">
        <f ca="1">IFERROR(__xludf.DUMMYFUNCTION("""COMPUTED_VALUE"""),180)</f>
        <v>180</v>
      </c>
      <c r="M555" s="5">
        <f ca="1">IFERROR(__xludf.DUMMYFUNCTION("""COMPUTED_VALUE"""),181)</f>
        <v>181</v>
      </c>
      <c r="N555" s="3" t="str">
        <f ca="1">IFERROR(__xludf.DUMMYFUNCTION("""COMPUTED_VALUE""")," ")</f>
        <v xml:space="preserve"> </v>
      </c>
      <c r="O555" s="5">
        <f ca="1">IFERROR(__xludf.DUMMYFUNCTION("""COMPUTED_VALUE"""),911)</f>
        <v>911</v>
      </c>
      <c r="P555" s="3">
        <f ca="1">IFERROR(__xludf.DUMMYFUNCTION("""COMPUTED_VALUE"""),-44276)</f>
        <v>-44276</v>
      </c>
      <c r="Q555" s="5">
        <f ca="1">IFERROR(__xludf.DUMMYFUNCTION("""COMPUTED_VALUE"""),2007)</f>
        <v>2007</v>
      </c>
      <c r="R555" s="3"/>
      <c r="S555" s="3"/>
      <c r="T555" s="3"/>
      <c r="U555" s="3"/>
      <c r="V555" s="3"/>
      <c r="W555" s="3"/>
      <c r="X555" s="3"/>
    </row>
    <row r="556" spans="1:24" x14ac:dyDescent="0.2">
      <c r="A556" s="3"/>
      <c r="B556" s="3"/>
      <c r="C556" s="3"/>
      <c r="D556" s="3"/>
      <c r="E556" s="3"/>
      <c r="F556" s="3"/>
      <c r="G556" s="3"/>
      <c r="H556" s="3"/>
      <c r="I556" s="3"/>
      <c r="J556" s="3"/>
      <c r="K556" s="3"/>
      <c r="L556" s="5">
        <f ca="1">IFERROR(__xludf.DUMMYFUNCTION("""COMPUTED_VALUE"""),180)</f>
        <v>180</v>
      </c>
      <c r="M556" s="5">
        <f ca="1">IFERROR(__xludf.DUMMYFUNCTION("""COMPUTED_VALUE"""),181)</f>
        <v>181</v>
      </c>
      <c r="N556" s="3" t="str">
        <f ca="1">IFERROR(__xludf.DUMMYFUNCTION("""COMPUTED_VALUE""")," ")</f>
        <v xml:space="preserve"> </v>
      </c>
      <c r="O556" s="5">
        <f ca="1">IFERROR(__xludf.DUMMYFUNCTION("""COMPUTED_VALUE"""),911)</f>
        <v>911</v>
      </c>
      <c r="P556" s="3">
        <f ca="1">IFERROR(__xludf.DUMMYFUNCTION("""COMPUTED_VALUE"""),-44276)</f>
        <v>-44276</v>
      </c>
      <c r="Q556" s="5">
        <f ca="1">IFERROR(__xludf.DUMMYFUNCTION("""COMPUTED_VALUE"""),2007)</f>
        <v>2007</v>
      </c>
      <c r="R556" s="3"/>
      <c r="S556" s="3"/>
      <c r="T556" s="3"/>
      <c r="U556" s="3"/>
      <c r="V556" s="3"/>
      <c r="W556" s="3"/>
      <c r="X556" s="3"/>
    </row>
    <row r="557" spans="1:24" x14ac:dyDescent="0.2">
      <c r="A557" s="3"/>
      <c r="B557" s="3"/>
      <c r="C557" s="3"/>
      <c r="D557" s="3"/>
      <c r="E557" s="3"/>
      <c r="F557" s="3"/>
      <c r="G557" s="3"/>
      <c r="H557" s="3"/>
      <c r="I557" s="3"/>
      <c r="J557" s="3"/>
      <c r="K557" s="3"/>
      <c r="L557" s="5">
        <f ca="1">IFERROR(__xludf.DUMMYFUNCTION("""COMPUTED_VALUE"""),180)</f>
        <v>180</v>
      </c>
      <c r="M557" s="5">
        <f ca="1">IFERROR(__xludf.DUMMYFUNCTION("""COMPUTED_VALUE"""),181)</f>
        <v>181</v>
      </c>
      <c r="N557" s="3" t="str">
        <f ca="1">IFERROR(__xludf.DUMMYFUNCTION("""COMPUTED_VALUE""")," ")</f>
        <v xml:space="preserve"> </v>
      </c>
      <c r="O557" s="5">
        <f ca="1">IFERROR(__xludf.DUMMYFUNCTION("""COMPUTED_VALUE"""),911)</f>
        <v>911</v>
      </c>
      <c r="P557" s="3">
        <f ca="1">IFERROR(__xludf.DUMMYFUNCTION("""COMPUTED_VALUE"""),-44276)</f>
        <v>-44276</v>
      </c>
      <c r="Q557" s="5">
        <f ca="1">IFERROR(__xludf.DUMMYFUNCTION("""COMPUTED_VALUE"""),2007)</f>
        <v>2007</v>
      </c>
      <c r="R557" s="3"/>
      <c r="S557" s="3"/>
      <c r="T557" s="3"/>
      <c r="U557" s="3"/>
      <c r="V557" s="3"/>
      <c r="W557" s="3"/>
      <c r="X557" s="3"/>
    </row>
    <row r="558" spans="1:24" x14ac:dyDescent="0.2">
      <c r="A558" s="3"/>
      <c r="B558" s="3"/>
      <c r="C558" s="3"/>
      <c r="D558" s="3"/>
      <c r="E558" s="3"/>
      <c r="F558" s="3"/>
      <c r="G558" s="3"/>
      <c r="H558" s="3"/>
      <c r="I558" s="3"/>
      <c r="J558" s="3"/>
      <c r="K558" s="3"/>
      <c r="L558" s="5">
        <f ca="1">IFERROR(__xludf.DUMMYFUNCTION("""COMPUTED_VALUE"""),180)</f>
        <v>180</v>
      </c>
      <c r="M558" s="5">
        <f ca="1">IFERROR(__xludf.DUMMYFUNCTION("""COMPUTED_VALUE"""),181)</f>
        <v>181</v>
      </c>
      <c r="N558" s="3" t="str">
        <f ca="1">IFERROR(__xludf.DUMMYFUNCTION("""COMPUTED_VALUE""")," ")</f>
        <v xml:space="preserve"> </v>
      </c>
      <c r="O558" s="5">
        <f ca="1">IFERROR(__xludf.DUMMYFUNCTION("""COMPUTED_VALUE"""),911)</f>
        <v>911</v>
      </c>
      <c r="P558" s="3">
        <f ca="1">IFERROR(__xludf.DUMMYFUNCTION("""COMPUTED_VALUE"""),-44276)</f>
        <v>-44276</v>
      </c>
      <c r="Q558" s="5">
        <f ca="1">IFERROR(__xludf.DUMMYFUNCTION("""COMPUTED_VALUE"""),2007)</f>
        <v>2007</v>
      </c>
      <c r="R558" s="3"/>
      <c r="S558" s="3"/>
      <c r="T558" s="3"/>
      <c r="U558" s="3"/>
      <c r="V558" s="3"/>
      <c r="W558" s="3"/>
      <c r="X558" s="3"/>
    </row>
    <row r="559" spans="1:24" x14ac:dyDescent="0.2">
      <c r="A559" s="3"/>
      <c r="B559" s="3"/>
      <c r="C559" s="3"/>
      <c r="D559" s="3"/>
      <c r="E559" s="3"/>
      <c r="F559" s="3"/>
      <c r="G559" s="3"/>
      <c r="H559" s="3"/>
      <c r="I559" s="3"/>
      <c r="J559" s="3"/>
      <c r="K559" s="3"/>
      <c r="L559" s="5">
        <f ca="1">IFERROR(__xludf.DUMMYFUNCTION("""COMPUTED_VALUE"""),180)</f>
        <v>180</v>
      </c>
      <c r="M559" s="5">
        <f ca="1">IFERROR(__xludf.DUMMYFUNCTION("""COMPUTED_VALUE"""),181)</f>
        <v>181</v>
      </c>
      <c r="N559" s="3" t="str">
        <f ca="1">IFERROR(__xludf.DUMMYFUNCTION("""COMPUTED_VALUE""")," ")</f>
        <v xml:space="preserve"> </v>
      </c>
      <c r="O559" s="5">
        <f ca="1">IFERROR(__xludf.DUMMYFUNCTION("""COMPUTED_VALUE"""),911)</f>
        <v>911</v>
      </c>
      <c r="P559" s="3">
        <f ca="1">IFERROR(__xludf.DUMMYFUNCTION("""COMPUTED_VALUE"""),-44276)</f>
        <v>-44276</v>
      </c>
      <c r="Q559" s="5">
        <f ca="1">IFERROR(__xludf.DUMMYFUNCTION("""COMPUTED_VALUE"""),2007)</f>
        <v>2007</v>
      </c>
      <c r="R559" s="3"/>
      <c r="S559" s="3"/>
      <c r="T559" s="3"/>
      <c r="U559" s="3"/>
      <c r="V559" s="3"/>
      <c r="W559" s="3"/>
      <c r="X559" s="3"/>
    </row>
    <row r="560" spans="1:24" x14ac:dyDescent="0.2">
      <c r="A560" s="3"/>
      <c r="B560" s="3"/>
      <c r="C560" s="3"/>
      <c r="D560" s="3"/>
      <c r="E560" s="3"/>
      <c r="F560" s="3"/>
      <c r="G560" s="3"/>
      <c r="H560" s="3"/>
      <c r="I560" s="3"/>
      <c r="J560" s="3"/>
      <c r="K560" s="3"/>
      <c r="L560" s="5">
        <f ca="1">IFERROR(__xludf.DUMMYFUNCTION("""COMPUTED_VALUE"""),180)</f>
        <v>180</v>
      </c>
      <c r="M560" s="5">
        <f ca="1">IFERROR(__xludf.DUMMYFUNCTION("""COMPUTED_VALUE"""),181)</f>
        <v>181</v>
      </c>
      <c r="N560" s="3" t="str">
        <f ca="1">IFERROR(__xludf.DUMMYFUNCTION("""COMPUTED_VALUE""")," ")</f>
        <v xml:space="preserve"> </v>
      </c>
      <c r="O560" s="5">
        <f ca="1">IFERROR(__xludf.DUMMYFUNCTION("""COMPUTED_VALUE"""),911)</f>
        <v>911</v>
      </c>
      <c r="P560" s="3">
        <f ca="1">IFERROR(__xludf.DUMMYFUNCTION("""COMPUTED_VALUE"""),-44276)</f>
        <v>-44276</v>
      </c>
      <c r="Q560" s="5">
        <f ca="1">IFERROR(__xludf.DUMMYFUNCTION("""COMPUTED_VALUE"""),2007)</f>
        <v>2007</v>
      </c>
      <c r="R560" s="3"/>
      <c r="S560" s="3"/>
      <c r="T560" s="3"/>
      <c r="U560" s="3"/>
      <c r="V560" s="3"/>
      <c r="W560" s="3"/>
      <c r="X560" s="3"/>
    </row>
    <row r="561" spans="1:24" x14ac:dyDescent="0.2">
      <c r="A561" s="3"/>
      <c r="B561" s="3"/>
      <c r="C561" s="3"/>
      <c r="D561" s="3"/>
      <c r="E561" s="3"/>
      <c r="F561" s="3"/>
      <c r="G561" s="3"/>
      <c r="H561" s="3"/>
      <c r="I561" s="3"/>
      <c r="J561" s="3"/>
      <c r="K561" s="3"/>
      <c r="L561" s="5">
        <f ca="1">IFERROR(__xludf.DUMMYFUNCTION("""COMPUTED_VALUE"""),180)</f>
        <v>180</v>
      </c>
      <c r="M561" s="5">
        <f ca="1">IFERROR(__xludf.DUMMYFUNCTION("""COMPUTED_VALUE"""),181)</f>
        <v>181</v>
      </c>
      <c r="N561" s="3" t="str">
        <f ca="1">IFERROR(__xludf.DUMMYFUNCTION("""COMPUTED_VALUE""")," ")</f>
        <v xml:space="preserve"> </v>
      </c>
      <c r="O561" s="5">
        <f ca="1">IFERROR(__xludf.DUMMYFUNCTION("""COMPUTED_VALUE"""),911)</f>
        <v>911</v>
      </c>
      <c r="P561" s="3">
        <f ca="1">IFERROR(__xludf.DUMMYFUNCTION("""COMPUTED_VALUE"""),-44276)</f>
        <v>-44276</v>
      </c>
      <c r="Q561" s="5">
        <f ca="1">IFERROR(__xludf.DUMMYFUNCTION("""COMPUTED_VALUE"""),2007)</f>
        <v>2007</v>
      </c>
      <c r="R561" s="3"/>
      <c r="S561" s="3"/>
      <c r="T561" s="3"/>
      <c r="U561" s="3"/>
      <c r="V561" s="3"/>
      <c r="W561" s="3"/>
      <c r="X561" s="3"/>
    </row>
    <row r="562" spans="1:24" x14ac:dyDescent="0.2">
      <c r="A562" s="3"/>
      <c r="B562" s="3"/>
      <c r="C562" s="3"/>
      <c r="D562" s="3"/>
      <c r="E562" s="3"/>
      <c r="F562" s="3"/>
      <c r="G562" s="3"/>
      <c r="H562" s="3"/>
      <c r="I562" s="3"/>
      <c r="J562" s="3"/>
      <c r="K562" s="3"/>
      <c r="L562" s="5">
        <f ca="1">IFERROR(__xludf.DUMMYFUNCTION("""COMPUTED_VALUE"""),180)</f>
        <v>180</v>
      </c>
      <c r="M562" s="5">
        <f ca="1">IFERROR(__xludf.DUMMYFUNCTION("""COMPUTED_VALUE"""),181)</f>
        <v>181</v>
      </c>
      <c r="N562" s="3" t="str">
        <f ca="1">IFERROR(__xludf.DUMMYFUNCTION("""COMPUTED_VALUE""")," ")</f>
        <v xml:space="preserve"> </v>
      </c>
      <c r="O562" s="5">
        <f ca="1">IFERROR(__xludf.DUMMYFUNCTION("""COMPUTED_VALUE"""),911)</f>
        <v>911</v>
      </c>
      <c r="P562" s="3">
        <f ca="1">IFERROR(__xludf.DUMMYFUNCTION("""COMPUTED_VALUE"""),-44276)</f>
        <v>-44276</v>
      </c>
      <c r="Q562" s="5">
        <f ca="1">IFERROR(__xludf.DUMMYFUNCTION("""COMPUTED_VALUE"""),2007)</f>
        <v>2007</v>
      </c>
      <c r="R562" s="3"/>
      <c r="S562" s="3"/>
      <c r="T562" s="3"/>
      <c r="U562" s="3"/>
      <c r="V562" s="3"/>
      <c r="W562" s="3"/>
      <c r="X562" s="3"/>
    </row>
    <row r="563" spans="1:24" x14ac:dyDescent="0.2">
      <c r="A563" s="3"/>
      <c r="B563" s="3"/>
      <c r="C563" s="3"/>
      <c r="D563" s="3"/>
      <c r="E563" s="3"/>
      <c r="F563" s="3"/>
      <c r="G563" s="3"/>
      <c r="H563" s="3"/>
      <c r="I563" s="3"/>
      <c r="J563" s="3"/>
      <c r="K563" s="3"/>
      <c r="L563" s="5">
        <f ca="1">IFERROR(__xludf.DUMMYFUNCTION("""COMPUTED_VALUE"""),180)</f>
        <v>180</v>
      </c>
      <c r="M563" s="5">
        <f ca="1">IFERROR(__xludf.DUMMYFUNCTION("""COMPUTED_VALUE"""),181)</f>
        <v>181</v>
      </c>
      <c r="N563" s="3" t="str">
        <f ca="1">IFERROR(__xludf.DUMMYFUNCTION("""COMPUTED_VALUE""")," ")</f>
        <v xml:space="preserve"> </v>
      </c>
      <c r="O563" s="5">
        <f ca="1">IFERROR(__xludf.DUMMYFUNCTION("""COMPUTED_VALUE"""),911)</f>
        <v>911</v>
      </c>
      <c r="P563" s="3">
        <f ca="1">IFERROR(__xludf.DUMMYFUNCTION("""COMPUTED_VALUE"""),-44276)</f>
        <v>-44276</v>
      </c>
      <c r="Q563" s="5">
        <f ca="1">IFERROR(__xludf.DUMMYFUNCTION("""COMPUTED_VALUE"""),2007)</f>
        <v>2007</v>
      </c>
      <c r="R563" s="3"/>
      <c r="S563" s="3"/>
      <c r="T563" s="3"/>
      <c r="U563" s="3"/>
      <c r="V563" s="3"/>
      <c r="W563" s="3"/>
      <c r="X563" s="3"/>
    </row>
    <row r="564" spans="1:24" x14ac:dyDescent="0.2">
      <c r="A564" s="3"/>
      <c r="B564" s="3"/>
      <c r="C564" s="3"/>
      <c r="D564" s="3"/>
      <c r="E564" s="3"/>
      <c r="F564" s="3"/>
      <c r="G564" s="3"/>
      <c r="H564" s="3"/>
      <c r="I564" s="3"/>
      <c r="J564" s="3"/>
      <c r="K564" s="3"/>
      <c r="L564" s="5">
        <f ca="1">IFERROR(__xludf.DUMMYFUNCTION("""COMPUTED_VALUE"""),180)</f>
        <v>180</v>
      </c>
      <c r="M564" s="5">
        <f ca="1">IFERROR(__xludf.DUMMYFUNCTION("""COMPUTED_VALUE"""),181)</f>
        <v>181</v>
      </c>
      <c r="N564" s="3" t="str">
        <f ca="1">IFERROR(__xludf.DUMMYFUNCTION("""COMPUTED_VALUE""")," ")</f>
        <v xml:space="preserve"> </v>
      </c>
      <c r="O564" s="5">
        <f ca="1">IFERROR(__xludf.DUMMYFUNCTION("""COMPUTED_VALUE"""),911)</f>
        <v>911</v>
      </c>
      <c r="P564" s="3">
        <f ca="1">IFERROR(__xludf.DUMMYFUNCTION("""COMPUTED_VALUE"""),-44276)</f>
        <v>-44276</v>
      </c>
      <c r="Q564" s="5">
        <f ca="1">IFERROR(__xludf.DUMMYFUNCTION("""COMPUTED_VALUE"""),2007)</f>
        <v>2007</v>
      </c>
      <c r="R564" s="3"/>
      <c r="S564" s="3"/>
      <c r="T564" s="3"/>
      <c r="U564" s="3"/>
      <c r="V564" s="3"/>
      <c r="W564" s="3"/>
      <c r="X564" s="3"/>
    </row>
    <row r="565" spans="1:24" x14ac:dyDescent="0.2">
      <c r="A565" s="3"/>
      <c r="B565" s="3"/>
      <c r="C565" s="3"/>
      <c r="D565" s="3"/>
      <c r="E565" s="3"/>
      <c r="F565" s="3"/>
      <c r="G565" s="3"/>
      <c r="H565" s="3"/>
      <c r="I565" s="3"/>
      <c r="J565" s="3"/>
      <c r="K565" s="3"/>
      <c r="L565" s="5">
        <f ca="1">IFERROR(__xludf.DUMMYFUNCTION("""COMPUTED_VALUE"""),180)</f>
        <v>180</v>
      </c>
      <c r="M565" s="5">
        <f ca="1">IFERROR(__xludf.DUMMYFUNCTION("""COMPUTED_VALUE"""),181)</f>
        <v>181</v>
      </c>
      <c r="N565" s="3" t="str">
        <f ca="1">IFERROR(__xludf.DUMMYFUNCTION("""COMPUTED_VALUE""")," ")</f>
        <v xml:space="preserve"> </v>
      </c>
      <c r="O565" s="5">
        <f ca="1">IFERROR(__xludf.DUMMYFUNCTION("""COMPUTED_VALUE"""),911)</f>
        <v>911</v>
      </c>
      <c r="P565" s="3">
        <f ca="1">IFERROR(__xludf.DUMMYFUNCTION("""COMPUTED_VALUE"""),-44276)</f>
        <v>-44276</v>
      </c>
      <c r="Q565" s="5">
        <f ca="1">IFERROR(__xludf.DUMMYFUNCTION("""COMPUTED_VALUE"""),2007)</f>
        <v>2007</v>
      </c>
      <c r="R565" s="3"/>
      <c r="S565" s="3"/>
      <c r="T565" s="3"/>
      <c r="U565" s="3"/>
      <c r="V565" s="3"/>
      <c r="W565" s="3"/>
      <c r="X565" s="3"/>
    </row>
    <row r="566" spans="1:24" x14ac:dyDescent="0.2">
      <c r="A566" s="3"/>
      <c r="B566" s="3"/>
      <c r="C566" s="3"/>
      <c r="D566" s="3"/>
      <c r="E566" s="3"/>
      <c r="F566" s="3"/>
      <c r="G566" s="3"/>
      <c r="H566" s="3"/>
      <c r="I566" s="3"/>
      <c r="J566" s="3"/>
      <c r="K566" s="3"/>
      <c r="L566" s="5">
        <f ca="1">IFERROR(__xludf.DUMMYFUNCTION("""COMPUTED_VALUE"""),180)</f>
        <v>180</v>
      </c>
      <c r="M566" s="5">
        <f ca="1">IFERROR(__xludf.DUMMYFUNCTION("""COMPUTED_VALUE"""),181)</f>
        <v>181</v>
      </c>
      <c r="N566" s="3" t="str">
        <f ca="1">IFERROR(__xludf.DUMMYFUNCTION("""COMPUTED_VALUE""")," ")</f>
        <v xml:space="preserve"> </v>
      </c>
      <c r="O566" s="5">
        <f ca="1">IFERROR(__xludf.DUMMYFUNCTION("""COMPUTED_VALUE"""),911)</f>
        <v>911</v>
      </c>
      <c r="P566" s="3">
        <f ca="1">IFERROR(__xludf.DUMMYFUNCTION("""COMPUTED_VALUE"""),-44276)</f>
        <v>-44276</v>
      </c>
      <c r="Q566" s="5">
        <f ca="1">IFERROR(__xludf.DUMMYFUNCTION("""COMPUTED_VALUE"""),2007)</f>
        <v>2007</v>
      </c>
      <c r="R566" s="3"/>
      <c r="S566" s="3"/>
      <c r="T566" s="3"/>
      <c r="U566" s="3"/>
      <c r="V566" s="3"/>
      <c r="W566" s="3"/>
      <c r="X566" s="3"/>
    </row>
    <row r="567" spans="1:24" x14ac:dyDescent="0.2">
      <c r="A567" s="3"/>
      <c r="B567" s="3"/>
      <c r="C567" s="3"/>
      <c r="D567" s="3"/>
      <c r="E567" s="3"/>
      <c r="F567" s="3"/>
      <c r="G567" s="3"/>
      <c r="H567" s="3"/>
      <c r="I567" s="3"/>
      <c r="J567" s="3"/>
      <c r="K567" s="3"/>
      <c r="L567" s="5">
        <f ca="1">IFERROR(__xludf.DUMMYFUNCTION("""COMPUTED_VALUE"""),180)</f>
        <v>180</v>
      </c>
      <c r="M567" s="5">
        <f ca="1">IFERROR(__xludf.DUMMYFUNCTION("""COMPUTED_VALUE"""),181)</f>
        <v>181</v>
      </c>
      <c r="N567" s="3" t="str">
        <f ca="1">IFERROR(__xludf.DUMMYFUNCTION("""COMPUTED_VALUE""")," ")</f>
        <v xml:space="preserve"> </v>
      </c>
      <c r="O567" s="5">
        <f ca="1">IFERROR(__xludf.DUMMYFUNCTION("""COMPUTED_VALUE"""),911)</f>
        <v>911</v>
      </c>
      <c r="P567" s="3">
        <f ca="1">IFERROR(__xludf.DUMMYFUNCTION("""COMPUTED_VALUE"""),-44276)</f>
        <v>-44276</v>
      </c>
      <c r="Q567" s="5">
        <f ca="1">IFERROR(__xludf.DUMMYFUNCTION("""COMPUTED_VALUE"""),2007)</f>
        <v>2007</v>
      </c>
      <c r="R567" s="3"/>
      <c r="S567" s="3"/>
      <c r="T567" s="3"/>
      <c r="U567" s="3"/>
      <c r="V567" s="3"/>
      <c r="W567" s="3"/>
      <c r="X567" s="3"/>
    </row>
    <row r="568" spans="1:24" x14ac:dyDescent="0.2">
      <c r="A568" s="3"/>
      <c r="B568" s="3"/>
      <c r="C568" s="3"/>
      <c r="D568" s="3"/>
      <c r="E568" s="3"/>
      <c r="F568" s="3"/>
      <c r="G568" s="3"/>
      <c r="H568" s="3"/>
      <c r="I568" s="3"/>
      <c r="J568" s="3"/>
      <c r="K568" s="3"/>
      <c r="L568" s="5">
        <f ca="1">IFERROR(__xludf.DUMMYFUNCTION("""COMPUTED_VALUE"""),180)</f>
        <v>180</v>
      </c>
      <c r="M568" s="5">
        <f ca="1">IFERROR(__xludf.DUMMYFUNCTION("""COMPUTED_VALUE"""),181)</f>
        <v>181</v>
      </c>
      <c r="N568" s="3" t="str">
        <f ca="1">IFERROR(__xludf.DUMMYFUNCTION("""COMPUTED_VALUE""")," ")</f>
        <v xml:space="preserve"> </v>
      </c>
      <c r="O568" s="5">
        <f ca="1">IFERROR(__xludf.DUMMYFUNCTION("""COMPUTED_VALUE"""),911)</f>
        <v>911</v>
      </c>
      <c r="P568" s="3">
        <f ca="1">IFERROR(__xludf.DUMMYFUNCTION("""COMPUTED_VALUE"""),-44276)</f>
        <v>-44276</v>
      </c>
      <c r="Q568" s="5">
        <f ca="1">IFERROR(__xludf.DUMMYFUNCTION("""COMPUTED_VALUE"""),2007)</f>
        <v>2007</v>
      </c>
      <c r="R568" s="3"/>
      <c r="S568" s="3"/>
      <c r="T568" s="3"/>
      <c r="U568" s="3"/>
      <c r="V568" s="3"/>
      <c r="W568" s="3"/>
      <c r="X568" s="3"/>
    </row>
    <row r="569" spans="1:24" x14ac:dyDescent="0.2">
      <c r="A569" s="3"/>
      <c r="B569" s="3"/>
      <c r="C569" s="3"/>
      <c r="D569" s="3"/>
      <c r="E569" s="3"/>
      <c r="F569" s="3"/>
      <c r="G569" s="3"/>
      <c r="H569" s="3"/>
      <c r="I569" s="3"/>
      <c r="J569" s="3"/>
      <c r="K569" s="3"/>
      <c r="L569" s="5">
        <f ca="1">IFERROR(__xludf.DUMMYFUNCTION("""COMPUTED_VALUE"""),180)</f>
        <v>180</v>
      </c>
      <c r="M569" s="5">
        <f ca="1">IFERROR(__xludf.DUMMYFUNCTION("""COMPUTED_VALUE"""),181)</f>
        <v>181</v>
      </c>
      <c r="N569" s="3" t="str">
        <f ca="1">IFERROR(__xludf.DUMMYFUNCTION("""COMPUTED_VALUE""")," ")</f>
        <v xml:space="preserve"> </v>
      </c>
      <c r="O569" s="5">
        <f ca="1">IFERROR(__xludf.DUMMYFUNCTION("""COMPUTED_VALUE"""),911)</f>
        <v>911</v>
      </c>
      <c r="P569" s="3">
        <f ca="1">IFERROR(__xludf.DUMMYFUNCTION("""COMPUTED_VALUE"""),-44276)</f>
        <v>-44276</v>
      </c>
      <c r="Q569" s="5">
        <f ca="1">IFERROR(__xludf.DUMMYFUNCTION("""COMPUTED_VALUE"""),2007)</f>
        <v>2007</v>
      </c>
      <c r="R569" s="3"/>
      <c r="S569" s="3"/>
      <c r="T569" s="3"/>
      <c r="U569" s="3"/>
      <c r="V569" s="3"/>
      <c r="W569" s="3"/>
      <c r="X569" s="3"/>
    </row>
    <row r="570" spans="1:24" x14ac:dyDescent="0.2">
      <c r="A570" s="3"/>
      <c r="B570" s="3"/>
      <c r="C570" s="3"/>
      <c r="D570" s="3"/>
      <c r="E570" s="3"/>
      <c r="F570" s="3"/>
      <c r="G570" s="3"/>
      <c r="H570" s="3"/>
      <c r="I570" s="3"/>
      <c r="J570" s="3"/>
      <c r="K570" s="3"/>
      <c r="L570" s="5">
        <f ca="1">IFERROR(__xludf.DUMMYFUNCTION("""COMPUTED_VALUE"""),180)</f>
        <v>180</v>
      </c>
      <c r="M570" s="5">
        <f ca="1">IFERROR(__xludf.DUMMYFUNCTION("""COMPUTED_VALUE"""),181)</f>
        <v>181</v>
      </c>
      <c r="N570" s="3" t="str">
        <f ca="1">IFERROR(__xludf.DUMMYFUNCTION("""COMPUTED_VALUE""")," ")</f>
        <v xml:space="preserve"> </v>
      </c>
      <c r="O570" s="5">
        <f ca="1">IFERROR(__xludf.DUMMYFUNCTION("""COMPUTED_VALUE"""),911)</f>
        <v>911</v>
      </c>
      <c r="P570" s="3">
        <f ca="1">IFERROR(__xludf.DUMMYFUNCTION("""COMPUTED_VALUE"""),-44276)</f>
        <v>-44276</v>
      </c>
      <c r="Q570" s="5">
        <f ca="1">IFERROR(__xludf.DUMMYFUNCTION("""COMPUTED_VALUE"""),2007)</f>
        <v>2007</v>
      </c>
      <c r="R570" s="3"/>
      <c r="S570" s="3"/>
      <c r="T570" s="3"/>
      <c r="U570" s="3"/>
      <c r="V570" s="3"/>
      <c r="W570" s="3"/>
      <c r="X570" s="3"/>
    </row>
    <row r="571" spans="1:24" x14ac:dyDescent="0.2">
      <c r="A571" s="3"/>
      <c r="B571" s="3"/>
      <c r="C571" s="3"/>
      <c r="D571" s="3"/>
      <c r="E571" s="3"/>
      <c r="F571" s="3"/>
      <c r="G571" s="3"/>
      <c r="H571" s="3"/>
      <c r="I571" s="3"/>
      <c r="J571" s="3"/>
      <c r="K571" s="3"/>
      <c r="L571" s="5">
        <f ca="1">IFERROR(__xludf.DUMMYFUNCTION("""COMPUTED_VALUE"""),180)</f>
        <v>180</v>
      </c>
      <c r="M571" s="5">
        <f ca="1">IFERROR(__xludf.DUMMYFUNCTION("""COMPUTED_VALUE"""),181)</f>
        <v>181</v>
      </c>
      <c r="N571" s="3" t="str">
        <f ca="1">IFERROR(__xludf.DUMMYFUNCTION("""COMPUTED_VALUE""")," ")</f>
        <v xml:space="preserve"> </v>
      </c>
      <c r="O571" s="5">
        <f ca="1">IFERROR(__xludf.DUMMYFUNCTION("""COMPUTED_VALUE"""),911)</f>
        <v>911</v>
      </c>
      <c r="P571" s="3">
        <f ca="1">IFERROR(__xludf.DUMMYFUNCTION("""COMPUTED_VALUE"""),-44276)</f>
        <v>-44276</v>
      </c>
      <c r="Q571" s="5">
        <f ca="1">IFERROR(__xludf.DUMMYFUNCTION("""COMPUTED_VALUE"""),2007)</f>
        <v>2007</v>
      </c>
      <c r="R571" s="3"/>
      <c r="S571" s="3"/>
      <c r="T571" s="3"/>
      <c r="U571" s="3"/>
      <c r="V571" s="3"/>
      <c r="W571" s="3"/>
      <c r="X571" s="3"/>
    </row>
    <row r="572" spans="1:24" x14ac:dyDescent="0.2">
      <c r="A572" s="3"/>
      <c r="B572" s="3"/>
      <c r="C572" s="3"/>
      <c r="D572" s="3"/>
      <c r="E572" s="3"/>
      <c r="F572" s="3"/>
      <c r="G572" s="3"/>
      <c r="H572" s="3"/>
      <c r="I572" s="3"/>
      <c r="J572" s="3"/>
      <c r="K572" s="3"/>
      <c r="L572" s="5">
        <f ca="1">IFERROR(__xludf.DUMMYFUNCTION("""COMPUTED_VALUE"""),180)</f>
        <v>180</v>
      </c>
      <c r="M572" s="5">
        <f ca="1">IFERROR(__xludf.DUMMYFUNCTION("""COMPUTED_VALUE"""),181)</f>
        <v>181</v>
      </c>
      <c r="N572" s="3" t="str">
        <f ca="1">IFERROR(__xludf.DUMMYFUNCTION("""COMPUTED_VALUE""")," ")</f>
        <v xml:space="preserve"> </v>
      </c>
      <c r="O572" s="5">
        <f ca="1">IFERROR(__xludf.DUMMYFUNCTION("""COMPUTED_VALUE"""),911)</f>
        <v>911</v>
      </c>
      <c r="P572" s="3">
        <f ca="1">IFERROR(__xludf.DUMMYFUNCTION("""COMPUTED_VALUE"""),-44276)</f>
        <v>-44276</v>
      </c>
      <c r="Q572" s="5">
        <f ca="1">IFERROR(__xludf.DUMMYFUNCTION("""COMPUTED_VALUE"""),2007)</f>
        <v>2007</v>
      </c>
      <c r="R572" s="3"/>
      <c r="S572" s="3"/>
      <c r="T572" s="3"/>
      <c r="U572" s="3"/>
      <c r="V572" s="3"/>
      <c r="W572" s="3"/>
      <c r="X572" s="3"/>
    </row>
    <row r="573" spans="1:24" x14ac:dyDescent="0.2">
      <c r="A573" s="3"/>
      <c r="B573" s="3"/>
      <c r="C573" s="3"/>
      <c r="D573" s="3"/>
      <c r="E573" s="3"/>
      <c r="F573" s="3"/>
      <c r="G573" s="3"/>
      <c r="H573" s="3"/>
      <c r="I573" s="3"/>
      <c r="J573" s="3"/>
      <c r="K573" s="3"/>
      <c r="L573" s="5">
        <f ca="1">IFERROR(__xludf.DUMMYFUNCTION("""COMPUTED_VALUE"""),180)</f>
        <v>180</v>
      </c>
      <c r="M573" s="5">
        <f ca="1">IFERROR(__xludf.DUMMYFUNCTION("""COMPUTED_VALUE"""),181)</f>
        <v>181</v>
      </c>
      <c r="N573" s="3" t="str">
        <f ca="1">IFERROR(__xludf.DUMMYFUNCTION("""COMPUTED_VALUE""")," ")</f>
        <v xml:space="preserve"> </v>
      </c>
      <c r="O573" s="5">
        <f ca="1">IFERROR(__xludf.DUMMYFUNCTION("""COMPUTED_VALUE"""),911)</f>
        <v>911</v>
      </c>
      <c r="P573" s="3">
        <f ca="1">IFERROR(__xludf.DUMMYFUNCTION("""COMPUTED_VALUE"""),-44276)</f>
        <v>-44276</v>
      </c>
      <c r="Q573" s="5">
        <f ca="1">IFERROR(__xludf.DUMMYFUNCTION("""COMPUTED_VALUE"""),2007)</f>
        <v>2007</v>
      </c>
      <c r="R573" s="3"/>
      <c r="S573" s="3"/>
      <c r="T573" s="3"/>
      <c r="U573" s="3"/>
      <c r="V573" s="3"/>
      <c r="W573" s="3"/>
      <c r="X573" s="3"/>
    </row>
    <row r="574" spans="1:24" x14ac:dyDescent="0.2">
      <c r="A574" s="3"/>
      <c r="B574" s="3"/>
      <c r="C574" s="3"/>
      <c r="D574" s="3"/>
      <c r="E574" s="3"/>
      <c r="F574" s="3"/>
      <c r="G574" s="3"/>
      <c r="H574" s="3"/>
      <c r="I574" s="3"/>
      <c r="J574" s="3"/>
      <c r="K574" s="3"/>
      <c r="L574" s="5">
        <f ca="1">IFERROR(__xludf.DUMMYFUNCTION("""COMPUTED_VALUE"""),180)</f>
        <v>180</v>
      </c>
      <c r="M574" s="5">
        <f ca="1">IFERROR(__xludf.DUMMYFUNCTION("""COMPUTED_VALUE"""),181)</f>
        <v>181</v>
      </c>
      <c r="N574" s="3" t="str">
        <f ca="1">IFERROR(__xludf.DUMMYFUNCTION("""COMPUTED_VALUE""")," ")</f>
        <v xml:space="preserve"> </v>
      </c>
      <c r="O574" s="5">
        <f ca="1">IFERROR(__xludf.DUMMYFUNCTION("""COMPUTED_VALUE"""),911)</f>
        <v>911</v>
      </c>
      <c r="P574" s="3">
        <f ca="1">IFERROR(__xludf.DUMMYFUNCTION("""COMPUTED_VALUE"""),-44276)</f>
        <v>-44276</v>
      </c>
      <c r="Q574" s="5">
        <f ca="1">IFERROR(__xludf.DUMMYFUNCTION("""COMPUTED_VALUE"""),2007)</f>
        <v>2007</v>
      </c>
      <c r="R574" s="3"/>
      <c r="S574" s="3"/>
      <c r="T574" s="3"/>
      <c r="U574" s="3"/>
      <c r="V574" s="3"/>
      <c r="W574" s="3"/>
      <c r="X574" s="3"/>
    </row>
    <row r="575" spans="1:24" x14ac:dyDescent="0.2">
      <c r="A575" s="3"/>
      <c r="B575" s="3"/>
      <c r="C575" s="3"/>
      <c r="D575" s="3"/>
      <c r="E575" s="3"/>
      <c r="F575" s="3"/>
      <c r="G575" s="3"/>
      <c r="H575" s="3"/>
      <c r="I575" s="3"/>
      <c r="J575" s="3"/>
      <c r="K575" s="3"/>
      <c r="L575" s="5">
        <f ca="1">IFERROR(__xludf.DUMMYFUNCTION("""COMPUTED_VALUE"""),180)</f>
        <v>180</v>
      </c>
      <c r="M575" s="5">
        <f ca="1">IFERROR(__xludf.DUMMYFUNCTION("""COMPUTED_VALUE"""),181)</f>
        <v>181</v>
      </c>
      <c r="N575" s="3" t="str">
        <f ca="1">IFERROR(__xludf.DUMMYFUNCTION("""COMPUTED_VALUE""")," ")</f>
        <v xml:space="preserve"> </v>
      </c>
      <c r="O575" s="5">
        <f ca="1">IFERROR(__xludf.DUMMYFUNCTION("""COMPUTED_VALUE"""),911)</f>
        <v>911</v>
      </c>
      <c r="P575" s="3">
        <f ca="1">IFERROR(__xludf.DUMMYFUNCTION("""COMPUTED_VALUE"""),-44276)</f>
        <v>-44276</v>
      </c>
      <c r="Q575" s="5">
        <f ca="1">IFERROR(__xludf.DUMMYFUNCTION("""COMPUTED_VALUE"""),2007)</f>
        <v>2007</v>
      </c>
      <c r="R575" s="3"/>
      <c r="S575" s="3"/>
      <c r="T575" s="3"/>
      <c r="U575" s="3"/>
      <c r="V575" s="3"/>
      <c r="W575" s="3"/>
      <c r="X575" s="3"/>
    </row>
    <row r="576" spans="1:24" x14ac:dyDescent="0.2">
      <c r="A576" s="3"/>
      <c r="B576" s="3"/>
      <c r="C576" s="3"/>
      <c r="D576" s="3"/>
      <c r="E576" s="3"/>
      <c r="F576" s="3"/>
      <c r="G576" s="3"/>
      <c r="H576" s="3"/>
      <c r="I576" s="3"/>
      <c r="J576" s="3"/>
      <c r="K576" s="3"/>
      <c r="L576" s="5">
        <f ca="1">IFERROR(__xludf.DUMMYFUNCTION("""COMPUTED_VALUE"""),180)</f>
        <v>180</v>
      </c>
      <c r="M576" s="5">
        <f ca="1">IFERROR(__xludf.DUMMYFUNCTION("""COMPUTED_VALUE"""),181)</f>
        <v>181</v>
      </c>
      <c r="N576" s="3" t="str">
        <f ca="1">IFERROR(__xludf.DUMMYFUNCTION("""COMPUTED_VALUE""")," ")</f>
        <v xml:space="preserve"> </v>
      </c>
      <c r="O576" s="5">
        <f ca="1">IFERROR(__xludf.DUMMYFUNCTION("""COMPUTED_VALUE"""),911)</f>
        <v>911</v>
      </c>
      <c r="P576" s="3">
        <f ca="1">IFERROR(__xludf.DUMMYFUNCTION("""COMPUTED_VALUE"""),-44276)</f>
        <v>-44276</v>
      </c>
      <c r="Q576" s="5">
        <f ca="1">IFERROR(__xludf.DUMMYFUNCTION("""COMPUTED_VALUE"""),2007)</f>
        <v>2007</v>
      </c>
      <c r="R576" s="3"/>
      <c r="S576" s="3"/>
      <c r="T576" s="3"/>
      <c r="U576" s="3"/>
      <c r="V576" s="3"/>
      <c r="W576" s="3"/>
      <c r="X576" s="3"/>
    </row>
    <row r="577" spans="1:24" x14ac:dyDescent="0.2">
      <c r="A577" s="3"/>
      <c r="B577" s="3"/>
      <c r="C577" s="3"/>
      <c r="D577" s="3"/>
      <c r="E577" s="3"/>
      <c r="F577" s="3"/>
      <c r="G577" s="3"/>
      <c r="H577" s="3"/>
      <c r="I577" s="3"/>
      <c r="J577" s="3"/>
      <c r="K577" s="3"/>
      <c r="L577" s="5">
        <f ca="1">IFERROR(__xludf.DUMMYFUNCTION("""COMPUTED_VALUE"""),180)</f>
        <v>180</v>
      </c>
      <c r="M577" s="5">
        <f ca="1">IFERROR(__xludf.DUMMYFUNCTION("""COMPUTED_VALUE"""),181)</f>
        <v>181</v>
      </c>
      <c r="N577" s="3" t="str">
        <f ca="1">IFERROR(__xludf.DUMMYFUNCTION("""COMPUTED_VALUE""")," ")</f>
        <v xml:space="preserve"> </v>
      </c>
      <c r="O577" s="5">
        <f ca="1">IFERROR(__xludf.DUMMYFUNCTION("""COMPUTED_VALUE"""),911)</f>
        <v>911</v>
      </c>
      <c r="P577" s="3">
        <f ca="1">IFERROR(__xludf.DUMMYFUNCTION("""COMPUTED_VALUE"""),-44276)</f>
        <v>-44276</v>
      </c>
      <c r="Q577" s="5">
        <f ca="1">IFERROR(__xludf.DUMMYFUNCTION("""COMPUTED_VALUE"""),2007)</f>
        <v>2007</v>
      </c>
      <c r="R577" s="3"/>
      <c r="S577" s="3"/>
      <c r="T577" s="3"/>
      <c r="U577" s="3"/>
      <c r="V577" s="3"/>
      <c r="W577" s="3"/>
      <c r="X577" s="3"/>
    </row>
    <row r="578" spans="1:24" x14ac:dyDescent="0.2">
      <c r="A578" s="3"/>
      <c r="B578" s="3"/>
      <c r="C578" s="3"/>
      <c r="D578" s="3"/>
      <c r="E578" s="3"/>
      <c r="F578" s="3"/>
      <c r="G578" s="3"/>
      <c r="H578" s="3"/>
      <c r="I578" s="3"/>
      <c r="J578" s="3"/>
      <c r="K578" s="3"/>
      <c r="L578" s="5">
        <f ca="1">IFERROR(__xludf.DUMMYFUNCTION("""COMPUTED_VALUE"""),180)</f>
        <v>180</v>
      </c>
      <c r="M578" s="5">
        <f ca="1">IFERROR(__xludf.DUMMYFUNCTION("""COMPUTED_VALUE"""),181)</f>
        <v>181</v>
      </c>
      <c r="N578" s="3" t="str">
        <f ca="1">IFERROR(__xludf.DUMMYFUNCTION("""COMPUTED_VALUE""")," ")</f>
        <v xml:space="preserve"> </v>
      </c>
      <c r="O578" s="5">
        <f ca="1">IFERROR(__xludf.DUMMYFUNCTION("""COMPUTED_VALUE"""),911)</f>
        <v>911</v>
      </c>
      <c r="P578" s="3">
        <f ca="1">IFERROR(__xludf.DUMMYFUNCTION("""COMPUTED_VALUE"""),-44276)</f>
        <v>-44276</v>
      </c>
      <c r="Q578" s="5">
        <f ca="1">IFERROR(__xludf.DUMMYFUNCTION("""COMPUTED_VALUE"""),2007)</f>
        <v>2007</v>
      </c>
      <c r="R578" s="3"/>
      <c r="S578" s="3"/>
      <c r="T578" s="3"/>
      <c r="U578" s="3"/>
      <c r="V578" s="3"/>
      <c r="W578" s="3"/>
      <c r="X578" s="3"/>
    </row>
    <row r="579" spans="1:24" x14ac:dyDescent="0.2">
      <c r="A579" s="3"/>
      <c r="B579" s="3"/>
      <c r="C579" s="3"/>
      <c r="D579" s="3"/>
      <c r="E579" s="3"/>
      <c r="F579" s="3"/>
      <c r="G579" s="3"/>
      <c r="H579" s="3"/>
      <c r="I579" s="3"/>
      <c r="J579" s="3"/>
      <c r="K579" s="3"/>
      <c r="L579" s="5">
        <f ca="1">IFERROR(__xludf.DUMMYFUNCTION("""COMPUTED_VALUE"""),180)</f>
        <v>180</v>
      </c>
      <c r="M579" s="5">
        <f ca="1">IFERROR(__xludf.DUMMYFUNCTION("""COMPUTED_VALUE"""),181)</f>
        <v>181</v>
      </c>
      <c r="N579" s="3" t="str">
        <f ca="1">IFERROR(__xludf.DUMMYFUNCTION("""COMPUTED_VALUE""")," ")</f>
        <v xml:space="preserve"> </v>
      </c>
      <c r="O579" s="5">
        <f ca="1">IFERROR(__xludf.DUMMYFUNCTION("""COMPUTED_VALUE"""),911)</f>
        <v>911</v>
      </c>
      <c r="P579" s="3">
        <f ca="1">IFERROR(__xludf.DUMMYFUNCTION("""COMPUTED_VALUE"""),-44276)</f>
        <v>-44276</v>
      </c>
      <c r="Q579" s="5">
        <f ca="1">IFERROR(__xludf.DUMMYFUNCTION("""COMPUTED_VALUE"""),2007)</f>
        <v>2007</v>
      </c>
      <c r="R579" s="3"/>
      <c r="S579" s="3"/>
      <c r="T579" s="3"/>
      <c r="U579" s="3"/>
      <c r="V579" s="3"/>
      <c r="W579" s="3"/>
      <c r="X579" s="3"/>
    </row>
    <row r="580" spans="1:24" x14ac:dyDescent="0.2">
      <c r="A580" s="3"/>
      <c r="B580" s="3"/>
      <c r="C580" s="3"/>
      <c r="D580" s="3"/>
      <c r="E580" s="3"/>
      <c r="F580" s="3"/>
      <c r="G580" s="3"/>
      <c r="H580" s="3"/>
      <c r="I580" s="3"/>
      <c r="J580" s="3"/>
      <c r="K580" s="3"/>
      <c r="L580" s="5">
        <f ca="1">IFERROR(__xludf.DUMMYFUNCTION("""COMPUTED_VALUE"""),180)</f>
        <v>180</v>
      </c>
      <c r="M580" s="5">
        <f ca="1">IFERROR(__xludf.DUMMYFUNCTION("""COMPUTED_VALUE"""),181)</f>
        <v>181</v>
      </c>
      <c r="N580" s="3" t="str">
        <f ca="1">IFERROR(__xludf.DUMMYFUNCTION("""COMPUTED_VALUE""")," ")</f>
        <v xml:space="preserve"> </v>
      </c>
      <c r="O580" s="5">
        <f ca="1">IFERROR(__xludf.DUMMYFUNCTION("""COMPUTED_VALUE"""),911)</f>
        <v>911</v>
      </c>
      <c r="P580" s="3">
        <f ca="1">IFERROR(__xludf.DUMMYFUNCTION("""COMPUTED_VALUE"""),-44276)</f>
        <v>-44276</v>
      </c>
      <c r="Q580" s="5">
        <f ca="1">IFERROR(__xludf.DUMMYFUNCTION("""COMPUTED_VALUE"""),2007)</f>
        <v>2007</v>
      </c>
      <c r="R580" s="3"/>
      <c r="S580" s="3"/>
      <c r="T580" s="3"/>
      <c r="U580" s="3"/>
      <c r="V580" s="3"/>
      <c r="W580" s="3"/>
      <c r="X580" s="3"/>
    </row>
    <row r="581" spans="1:24" x14ac:dyDescent="0.2">
      <c r="A581" s="3"/>
      <c r="B581" s="3"/>
      <c r="C581" s="3"/>
      <c r="D581" s="3"/>
      <c r="E581" s="3"/>
      <c r="F581" s="3"/>
      <c r="G581" s="3"/>
      <c r="H581" s="3"/>
      <c r="I581" s="3"/>
      <c r="J581" s="3"/>
      <c r="K581" s="3"/>
      <c r="L581" s="5">
        <f ca="1">IFERROR(__xludf.DUMMYFUNCTION("""COMPUTED_VALUE"""),180)</f>
        <v>180</v>
      </c>
      <c r="M581" s="5">
        <f ca="1">IFERROR(__xludf.DUMMYFUNCTION("""COMPUTED_VALUE"""),181)</f>
        <v>181</v>
      </c>
      <c r="N581" s="3" t="str">
        <f ca="1">IFERROR(__xludf.DUMMYFUNCTION("""COMPUTED_VALUE""")," ")</f>
        <v xml:space="preserve"> </v>
      </c>
      <c r="O581" s="5">
        <f ca="1">IFERROR(__xludf.DUMMYFUNCTION("""COMPUTED_VALUE"""),911)</f>
        <v>911</v>
      </c>
      <c r="P581" s="3">
        <f ca="1">IFERROR(__xludf.DUMMYFUNCTION("""COMPUTED_VALUE"""),-44276)</f>
        <v>-44276</v>
      </c>
      <c r="Q581" s="5">
        <f ca="1">IFERROR(__xludf.DUMMYFUNCTION("""COMPUTED_VALUE"""),2007)</f>
        <v>2007</v>
      </c>
      <c r="R581" s="3"/>
      <c r="S581" s="3"/>
      <c r="T581" s="3"/>
      <c r="U581" s="3"/>
      <c r="V581" s="3"/>
      <c r="W581" s="3"/>
      <c r="X581" s="3"/>
    </row>
    <row r="582" spans="1:24" x14ac:dyDescent="0.2">
      <c r="A582" s="3"/>
      <c r="B582" s="3"/>
      <c r="C582" s="3"/>
      <c r="D582" s="3"/>
      <c r="E582" s="3"/>
      <c r="F582" s="3"/>
      <c r="G582" s="3"/>
      <c r="H582" s="3"/>
      <c r="I582" s="3"/>
      <c r="J582" s="3"/>
      <c r="K582" s="3"/>
      <c r="L582" s="5">
        <f ca="1">IFERROR(__xludf.DUMMYFUNCTION("""COMPUTED_VALUE"""),180)</f>
        <v>180</v>
      </c>
      <c r="M582" s="5">
        <f ca="1">IFERROR(__xludf.DUMMYFUNCTION("""COMPUTED_VALUE"""),181)</f>
        <v>181</v>
      </c>
      <c r="N582" s="3" t="str">
        <f ca="1">IFERROR(__xludf.DUMMYFUNCTION("""COMPUTED_VALUE""")," ")</f>
        <v xml:space="preserve"> </v>
      </c>
      <c r="O582" s="5">
        <f ca="1">IFERROR(__xludf.DUMMYFUNCTION("""COMPUTED_VALUE"""),911)</f>
        <v>911</v>
      </c>
      <c r="P582" s="3">
        <f ca="1">IFERROR(__xludf.DUMMYFUNCTION("""COMPUTED_VALUE"""),-44276)</f>
        <v>-44276</v>
      </c>
      <c r="Q582" s="5">
        <f ca="1">IFERROR(__xludf.DUMMYFUNCTION("""COMPUTED_VALUE"""),2007)</f>
        <v>2007</v>
      </c>
      <c r="R582" s="3"/>
      <c r="S582" s="3"/>
      <c r="T582" s="3"/>
      <c r="U582" s="3"/>
      <c r="V582" s="3"/>
      <c r="W582" s="3"/>
      <c r="X582" s="3"/>
    </row>
    <row r="583" spans="1:24" x14ac:dyDescent="0.2">
      <c r="A583" s="3"/>
      <c r="B583" s="3"/>
      <c r="C583" s="3"/>
      <c r="D583" s="3"/>
      <c r="E583" s="3"/>
      <c r="F583" s="3"/>
      <c r="G583" s="3"/>
      <c r="H583" s="3"/>
      <c r="I583" s="3"/>
      <c r="J583" s="3"/>
      <c r="K583" s="3"/>
      <c r="L583" s="5">
        <f ca="1">IFERROR(__xludf.DUMMYFUNCTION("""COMPUTED_VALUE"""),180)</f>
        <v>180</v>
      </c>
      <c r="M583" s="5">
        <f ca="1">IFERROR(__xludf.DUMMYFUNCTION("""COMPUTED_VALUE"""),181)</f>
        <v>181</v>
      </c>
      <c r="N583" s="3" t="str">
        <f ca="1">IFERROR(__xludf.DUMMYFUNCTION("""COMPUTED_VALUE""")," ")</f>
        <v xml:space="preserve"> </v>
      </c>
      <c r="O583" s="5">
        <f ca="1">IFERROR(__xludf.DUMMYFUNCTION("""COMPUTED_VALUE"""),911)</f>
        <v>911</v>
      </c>
      <c r="P583" s="3">
        <f ca="1">IFERROR(__xludf.DUMMYFUNCTION("""COMPUTED_VALUE"""),-44276)</f>
        <v>-44276</v>
      </c>
      <c r="Q583" s="5">
        <f ca="1">IFERROR(__xludf.DUMMYFUNCTION("""COMPUTED_VALUE"""),2007)</f>
        <v>2007</v>
      </c>
      <c r="R583" s="3"/>
      <c r="S583" s="3"/>
      <c r="T583" s="3"/>
      <c r="U583" s="3"/>
      <c r="V583" s="3"/>
      <c r="W583" s="3"/>
      <c r="X583" s="3"/>
    </row>
    <row r="584" spans="1:24" x14ac:dyDescent="0.2">
      <c r="A584" s="3"/>
      <c r="B584" s="3"/>
      <c r="C584" s="3"/>
      <c r="D584" s="3"/>
      <c r="E584" s="3"/>
      <c r="F584" s="3"/>
      <c r="G584" s="3"/>
      <c r="H584" s="3"/>
      <c r="I584" s="3"/>
      <c r="J584" s="3"/>
      <c r="K584" s="3"/>
      <c r="L584" s="5">
        <f ca="1">IFERROR(__xludf.DUMMYFUNCTION("""COMPUTED_VALUE"""),180)</f>
        <v>180</v>
      </c>
      <c r="M584" s="5">
        <f ca="1">IFERROR(__xludf.DUMMYFUNCTION("""COMPUTED_VALUE"""),181)</f>
        <v>181</v>
      </c>
      <c r="N584" s="3" t="str">
        <f ca="1">IFERROR(__xludf.DUMMYFUNCTION("""COMPUTED_VALUE""")," ")</f>
        <v xml:space="preserve"> </v>
      </c>
      <c r="O584" s="5">
        <f ca="1">IFERROR(__xludf.DUMMYFUNCTION("""COMPUTED_VALUE"""),911)</f>
        <v>911</v>
      </c>
      <c r="P584" s="3">
        <f ca="1">IFERROR(__xludf.DUMMYFUNCTION("""COMPUTED_VALUE"""),-44276)</f>
        <v>-44276</v>
      </c>
      <c r="Q584" s="5">
        <f ca="1">IFERROR(__xludf.DUMMYFUNCTION("""COMPUTED_VALUE"""),2007)</f>
        <v>2007</v>
      </c>
      <c r="R584" s="3"/>
      <c r="S584" s="3"/>
      <c r="T584" s="3"/>
      <c r="U584" s="3"/>
      <c r="V584" s="3"/>
      <c r="W584" s="3"/>
      <c r="X584" s="3"/>
    </row>
    <row r="585" spans="1:24" x14ac:dyDescent="0.2">
      <c r="A585" s="3"/>
      <c r="B585" s="3"/>
      <c r="C585" s="3"/>
      <c r="D585" s="3"/>
      <c r="E585" s="3"/>
      <c r="F585" s="3"/>
      <c r="G585" s="3"/>
      <c r="H585" s="3"/>
      <c r="I585" s="3"/>
      <c r="J585" s="3"/>
      <c r="K585" s="3"/>
      <c r="L585" s="5">
        <f ca="1">IFERROR(__xludf.DUMMYFUNCTION("""COMPUTED_VALUE"""),180)</f>
        <v>180</v>
      </c>
      <c r="M585" s="5">
        <f ca="1">IFERROR(__xludf.DUMMYFUNCTION("""COMPUTED_VALUE"""),181)</f>
        <v>181</v>
      </c>
      <c r="N585" s="3" t="str">
        <f ca="1">IFERROR(__xludf.DUMMYFUNCTION("""COMPUTED_VALUE""")," ")</f>
        <v xml:space="preserve"> </v>
      </c>
      <c r="O585" s="5">
        <f ca="1">IFERROR(__xludf.DUMMYFUNCTION("""COMPUTED_VALUE"""),911)</f>
        <v>911</v>
      </c>
      <c r="P585" s="3">
        <f ca="1">IFERROR(__xludf.DUMMYFUNCTION("""COMPUTED_VALUE"""),-44276)</f>
        <v>-44276</v>
      </c>
      <c r="Q585" s="5">
        <f ca="1">IFERROR(__xludf.DUMMYFUNCTION("""COMPUTED_VALUE"""),2007)</f>
        <v>2007</v>
      </c>
      <c r="R585" s="3"/>
      <c r="S585" s="3"/>
      <c r="T585" s="3"/>
      <c r="U585" s="3"/>
      <c r="V585" s="3"/>
      <c r="W585" s="3"/>
      <c r="X585" s="3"/>
    </row>
  </sheetData>
  <autoFilter ref="A1:X357" xr:uid="{00000000-0009-0000-0000-000002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1000"/>
  <sheetViews>
    <sheetView workbookViewId="0"/>
  </sheetViews>
  <sheetFormatPr defaultColWidth="12.5703125" defaultRowHeight="15.75" customHeight="1" x14ac:dyDescent="0.2"/>
  <cols>
    <col min="1" max="1" width="20" customWidth="1"/>
    <col min="2" max="2" width="12.85546875" customWidth="1"/>
    <col min="4" max="4" width="21.42578125" customWidth="1"/>
    <col min="11" max="11" width="12.42578125" customWidth="1"/>
    <col min="19" max="19" width="13.5703125" customWidth="1"/>
    <col min="20" max="20" width="14.5703125" customWidth="1"/>
    <col min="21" max="21" width="16.85546875" customWidth="1"/>
    <col min="23" max="23" width="18.5703125" customWidth="1"/>
    <col min="24" max="24" width="25" customWidth="1"/>
  </cols>
  <sheetData>
    <row r="1" spans="1:28" x14ac:dyDescent="0.2">
      <c r="A1" s="1" t="s">
        <v>0</v>
      </c>
      <c r="B1" s="1"/>
      <c r="C1" s="1" t="str">
        <f ca="1">IFERROR(__xludf.DUMMYFUNCTION("IMPORTRANGE(""https://docs.google.com/spreadsheets/d/1JfVDYOq9Wcf4NrwW-4rUtkdhDanQsPL_IG5MbvxjjDA/edit?gid=620685855#gid=620685855"",""Sind.CINQA!A2:x586"")"),"Portaria")</f>
        <v>Portaria</v>
      </c>
      <c r="D1" s="1" t="str">
        <f ca="1">IFERROR(__xludf.DUMMYFUNCTION("""COMPUTED_VALUE"""),"Processo")</f>
        <v>Processo</v>
      </c>
      <c r="E1" s="1" t="str">
        <f ca="1">IFERROR(__xludf.DUMMYFUNCTION("""COMPUTED_VALUE"""),"Denunciados / Interessados")</f>
        <v>Denunciados / Interessados</v>
      </c>
      <c r="F1" s="1" t="str">
        <f ca="1">IFERROR(__xludf.DUMMYFUNCTION("""COMPUTED_VALUE"""),"Temas de Integridade")</f>
        <v>Temas de Integridade</v>
      </c>
      <c r="G1" s="1" t="str">
        <f ca="1">IFERROR(__xludf.DUMMYFUNCTION("""COMPUTED_VALUE"""),"Opções2")</f>
        <v>Opções2</v>
      </c>
      <c r="H1" s="1" t="str">
        <f ca="1">IFERROR(__xludf.DUMMYFUNCTION("""COMPUTED_VALUE"""),"Classificação 
dos Objetos
")</f>
        <v xml:space="preserve">Classificação 
dos Objetos
</v>
      </c>
      <c r="I1" s="1" t="str">
        <f ca="1">IFERROR(__xludf.DUMMYFUNCTION("""COMPUTED_VALUE"""),"Objeto")</f>
        <v>Objeto</v>
      </c>
      <c r="J1" s="1" t="str">
        <f ca="1">IFERROR(__xludf.DUMMYFUNCTION("""COMPUTED_VALUE"""),"Portaria 
(conteúdo publicado no DOERJ)")</f>
        <v>Portaria 
(conteúdo publicado no DOERJ)</v>
      </c>
      <c r="K1" s="1" t="str">
        <f ca="1">IFERROR(__xludf.DUMMYFUNCTION("""COMPUTED_VALUE"""),"Suspensão preventiva?")</f>
        <v>Suspensão preventiva?</v>
      </c>
      <c r="L1" s="1" t="str">
        <f ca="1">IFERROR(__xludf.DUMMYFUNCTION("""COMPUTED_VALUE"""),"Data  despacho do Reitor (autorizando a abertura)")</f>
        <v>Data  despacho do Reitor (autorizando a abertura)</v>
      </c>
      <c r="M1" s="1" t="str">
        <f ca="1">IFERROR(__xludf.DUMMYFUNCTION("""COMPUTED_VALUE"""),"Publicação em
 DOERJ")</f>
        <v>Publicação em
 DOERJ</v>
      </c>
      <c r="N1" s="1" t="str">
        <f ca="1">IFERROR(__xludf.DUMMYFUNCTION("""COMPUTED_VALUE"""),"Prazo máximo para conclusão da sindicância.
(38 dias)")</f>
        <v>Prazo máximo para conclusão da sindicância.
(38 dias)</v>
      </c>
      <c r="O1" s="1" t="str">
        <f ca="1">IFERROR(__xludf.DUMMYFUNCTION("""COMPUTED_VALUE"""),"Início contagem dos 2 a 5 anos.")</f>
        <v>Início contagem dos 2 a 5 anos.</v>
      </c>
      <c r="P1" s="1" t="str">
        <f ca="1">IFERROR(__xludf.DUMMYFUNCTION("""COMPUTED_VALUE"""),"Dias que faltam para 2 anos")</f>
        <v>Dias que faltam para 2 anos</v>
      </c>
      <c r="Q1" s="1" t="str">
        <f ca="1">IFERROR(__xludf.DUMMYFUNCTION("""COMPUTED_VALUE"""),"2 anos ")</f>
        <v xml:space="preserve">2 anos </v>
      </c>
      <c r="R1" s="1" t="str">
        <f ca="1">IFERROR(__xludf.DUMMYFUNCTION("""COMPUTED_VALUE"""),"Dias que faltam para 5 anos")</f>
        <v>Dias que faltam para 5 anos</v>
      </c>
      <c r="S1" s="1" t="str">
        <f ca="1">IFERROR(__xludf.DUMMYFUNCTION("""COMPUTED_VALUE"""),"5 anos ")</f>
        <v xml:space="preserve">5 anos </v>
      </c>
      <c r="T1" s="1" t="str">
        <f ca="1">IFERROR(__xludf.DUMMYFUNCTION("""COMPUTED_VALUE"""),"Presidente")</f>
        <v>Presidente</v>
      </c>
      <c r="U1" s="1" t="str">
        <f ca="1">IFERROR(__xludf.DUMMYFUNCTION("""COMPUTED_VALUE"""),"Sindicante")</f>
        <v>Sindicante</v>
      </c>
      <c r="V1" s="1" t="str">
        <f ca="1">IFERROR(__xludf.DUMMYFUNCTION("""COMPUTED_VALUE"""),"Sindicante")</f>
        <v>Sindicante</v>
      </c>
      <c r="W1" s="1" t="str">
        <f ca="1">IFERROR(__xludf.DUMMYFUNCTION("""COMPUTED_VALUE"""),"Secretário")</f>
        <v>Secretário</v>
      </c>
      <c r="X1" s="1" t="str">
        <f ca="1">IFERROR(__xludf.DUMMYFUNCTION("""COMPUTED_VALUE"""),"Houve participação de defensor dativo em algum momento?")</f>
        <v>Houve participação de defensor dativo em algum momento?</v>
      </c>
      <c r="Y1" s="1" t="str">
        <f ca="1">IFERROR(__xludf.DUMMYFUNCTION("""COMPUTED_VALUE"""),"Processo origem")</f>
        <v>Processo origem</v>
      </c>
      <c r="Z1" s="1" t="str">
        <f ca="1">IFERROR(__xludf.DUMMYFUNCTION("""COMPUTED_VALUE"""),"Fase atual do Processo")</f>
        <v>Fase atual do Processo</v>
      </c>
      <c r="AA1" s="1"/>
      <c r="AB1" s="1"/>
    </row>
    <row r="2" spans="1:28" x14ac:dyDescent="0.2">
      <c r="A2" s="4" t="str">
        <f t="shared" ref="A2:A256" ca="1" si="0">LEFT(D2,22)</f>
        <v>SEI-260007/001416/2024</v>
      </c>
      <c r="B2" s="4" t="str">
        <f t="shared" ref="B2:B256" ca="1" si="1">RIGHT(D2,13)</f>
        <v>Investigativa</v>
      </c>
      <c r="C2" s="4" t="str">
        <f ca="1">IFERROR(__xludf.DUMMYFUNCTION("""COMPUTED_VALUE"""),"1262/2023")</f>
        <v>1262/2023</v>
      </c>
      <c r="D2" s="4" t="str">
        <f ca="1">IFERROR(__xludf.DUMMYFUNCTION("""COMPUTED_VALUE"""),"SEI-260007/001416/2024
Investigativa")</f>
        <v>SEI-260007/001416/2024
Investigativa</v>
      </c>
      <c r="E2" s="4"/>
      <c r="F2" s="4" t="str">
        <f ca="1">IFERROR(__xludf.DUMMYFUNCTION("""COMPUTED_VALUE"""),"Assédio moral/sexual/discriminação.")</f>
        <v>Assédio moral/sexual/discriminação.</v>
      </c>
      <c r="G2" s="4" t="str">
        <f ca="1">IFERROR(__xludf.DUMMYFUNCTION("""COMPUTED_VALUE"""),"Assédio moral/sexual/discriminação.")</f>
        <v>Assédio moral/sexual/discriminação.</v>
      </c>
      <c r="H2" s="4" t="str">
        <f ca="1">IFERROR(__xludf.DUMMYFUNCTION("""COMPUTED_VALUE"""),"Outros., Assédio moral/sexual/discriminação.")</f>
        <v>Outros., Assédio moral/sexual/discriminação.</v>
      </c>
      <c r="I2" s="4" t="str">
        <f ca="1">IFERROR(__xludf.DUMMYFUNCTION("""COMPUTED_VALUE"""),"Denúncia apresentada pelo Sr. Sergio da Silva Castro, Médico Residente do Programa de Residência Médica em Medicina de Família e Comunidade do Hospital Universitário Pedro Ernesto (PRMFC/HUPE), apontando supostas condutas irregulares praticadas, em tese, "&amp;"pelos Srs. Maria Inez Padula Anderson, Rafael Cangemi Reis, García Alejandro Vergara Figueroa, Thiago Vieites e Flávia Miranda Gomes Constantino Bandeira.")</f>
        <v>Denúncia apresentada pelo Sr. Sergio da Silva Castro, Médico Residente do Programa de Residência Médica em Medicina de Família e Comunidade do Hospital Universitário Pedro Ernesto (PRMFC/HUPE), apontando supostas condutas irregulares praticadas, em tese, pelos Srs. Maria Inez Padula Anderson, Rafael Cangemi Reis, García Alejandro Vergara Figueroa, Thiago Vieites e Flávia Miranda Gomes Constantino Bandeira.</v>
      </c>
      <c r="J2" s="4" t="str">
        <f ca="1">IFERROR(__xludf.DUMMYFUNCTION("""COMPUTED_VALUE"""),"PORTARIA Nº 1262/2023 - I N S TA U R A , Sindicância Investigativa para, no prazo de 30 dias, contados da data da publicação, apurar eventual irregularidade objeto do processo nº SEI-260007/021704/2023, bem como os fatos conexos que emergirem no decorrer "&amp;"dos trabalhos, designando para procedê-la, THAÍS MAYHÉ MUCI, matr. nº 35.794-7, como Sindicante Único. Processo nº SEI-260007/021704/2023.")</f>
        <v>PORTARIA Nº 1262/2023 - I N S TA U R A , Sindicância Investigativa para, no prazo de 30 dias, contados da data da publicação, apurar eventual irregularidade objeto do processo nº SEI-260007/021704/2023, bem como os fatos conexos que emergirem no decorrer dos trabalhos, designando para procedê-la, THAÍS MAYHÉ MUCI, matr. nº 35.794-7, como Sindicante Único. Processo nº SEI-260007/021704/2023.</v>
      </c>
      <c r="K2" s="4"/>
      <c r="L2" s="6">
        <f ca="1">IFERROR(__xludf.DUMMYFUNCTION("""COMPUTED_VALUE"""),45286)</f>
        <v>45286</v>
      </c>
      <c r="M2" s="6">
        <f ca="1">IFERROR(__xludf.DUMMYFUNCTION("""COMPUTED_VALUE"""),44934)</f>
        <v>44934</v>
      </c>
      <c r="N2" s="6">
        <f ca="1">IFERROR(__xludf.DUMMYFUNCTION("""COMPUTED_VALUE"""),44972)</f>
        <v>44972</v>
      </c>
      <c r="O2" s="6">
        <f ca="1">IFERROR(__xludf.DUMMYFUNCTION("""COMPUTED_VALUE"""),44973)</f>
        <v>44973</v>
      </c>
      <c r="P2" s="4" t="str">
        <f ca="1">IFERROR(__xludf.DUMMYFUNCTION("""COMPUTED_VALUE"""),"Prazo expirado")</f>
        <v>Prazo expirado</v>
      </c>
      <c r="Q2" s="6">
        <f ca="1">IFERROR(__xludf.DUMMYFUNCTION("""COMPUTED_VALUE"""),45704)</f>
        <v>45704</v>
      </c>
      <c r="R2" s="4">
        <f ca="1">IFERROR(__xludf.DUMMYFUNCTION("""COMPUTED_VALUE"""),516)</f>
        <v>516</v>
      </c>
      <c r="S2" s="6">
        <f ca="1">IFERROR(__xludf.DUMMYFUNCTION("""COMPUTED_VALUE"""),46799)</f>
        <v>46799</v>
      </c>
      <c r="T2" s="4" t="str">
        <f ca="1">IFERROR(__xludf.DUMMYFUNCTION("""COMPUTED_VALUE"""),"Thaís Muci")</f>
        <v>Thaís Muci</v>
      </c>
      <c r="U2" s="4"/>
      <c r="V2" s="4"/>
      <c r="W2" s="4" t="str">
        <f ca="1">IFERROR(__xludf.DUMMYFUNCTION("""COMPUTED_VALUE"""),"Patrícia")</f>
        <v>Patrícia</v>
      </c>
      <c r="X2" s="4"/>
      <c r="Y2" s="4" t="str">
        <f ca="1">IFERROR(__xludf.DUMMYFUNCTION("""COMPUTED_VALUE"""),"SEI-260007/021704/2023
Com base na Manifestação CGUERJ 2851 (65475005)")</f>
        <v>SEI-260007/021704/2023
Com base na Manifestação CGUERJ 2851 (65475005)</v>
      </c>
      <c r="Z2" s="4" t="str">
        <f ca="1">IFERROR(__xludf.DUMMYFUNCTION("""COMPUTED_VALUE"""),"C-Relatório final")</f>
        <v>C-Relatório final</v>
      </c>
      <c r="AA2" s="4"/>
      <c r="AB2" s="4"/>
    </row>
    <row r="3" spans="1:28" x14ac:dyDescent="0.2">
      <c r="A3" s="4" t="str">
        <f t="shared" ca="1" si="0"/>
        <v>SEI-260008/003455/2021</v>
      </c>
      <c r="B3" s="4" t="str">
        <f t="shared" ca="1" si="1"/>
        <v>Contraditória</v>
      </c>
      <c r="C3" s="4" t="str">
        <f ca="1">IFERROR(__xludf.DUMMYFUNCTION("""COMPUTED_VALUE"""),"0840/2023")</f>
        <v>0840/2023</v>
      </c>
      <c r="D3" s="4" t="str">
        <f ca="1">IFERROR(__xludf.DUMMYFUNCTION("""COMPUTED_VALUE"""),"SEI-260008/003455/2021
Contraditória")</f>
        <v>SEI-260008/003455/2021
Contraditória</v>
      </c>
      <c r="E3" s="4" t="str">
        <f ca="1">IFERROR(__xludf.DUMMYFUNCTION("""COMPUTED_VALUE"""),"Orlando Lima de Saboya Barros, matrícula nº 7233-0.")</f>
        <v>Orlando Lima de Saboya Barros, matrícula nº 7233-0.</v>
      </c>
      <c r="F3" s="4" t="str">
        <f ca="1">IFERROR(__xludf.DUMMYFUNCTION("""COMPUTED_VALUE"""),"Desvio de conduta")</f>
        <v>Desvio de conduta</v>
      </c>
      <c r="G3" s="4" t="str">
        <f ca="1">IFERROR(__xludf.DUMMYFUNCTION("""COMPUTED_VALUE"""),"Termo de Ajustamento de Contas - Nova sindicância pela CINQA, conduzida no mesmo processo")</f>
        <v>Termo de Ajustamento de Contas - Nova sindicância pela CINQA, conduzida no mesmo processo</v>
      </c>
      <c r="H3" s="4" t="str">
        <f ca="1">IFERROR(__xludf.DUMMYFUNCTION("""COMPUTED_VALUE"""),"Outros.")</f>
        <v>Outros.</v>
      </c>
      <c r="I3" s="4" t="str">
        <f ca="1">IFERROR(__xludf.DUMMYFUNCTION("""COMPUTED_VALUE"""),"Termo de Ajuste de Contas celebrado com a empresa Engeclinic, referente ao período de 24/04 e 23/10/2020.
A PGUERJ, em sua manifestação 30934408, entendeu que o Relatório Conclusivo da Sindicante não está regular e a CGUERJ, em sua manifestação 42080309,"&amp;" recomendou a instauração de novo processo de sindicância de natureza contraditória pela Reitoria.")</f>
        <v>Termo de Ajuste de Contas celebrado com a empresa Engeclinic, referente ao período de 24/04 e 23/10/2020.
A PGUERJ, em sua manifestação 30934408, entendeu que o Relatório Conclusivo da Sindicante não está regular e a CGUERJ, em sua manifestação 42080309, recomendou a instauração de novo processo de sindicância de natureza contraditória pela Reitoria.</v>
      </c>
      <c r="J3" s="4" t="str">
        <f ca="1">IFERROR(__xludf.DUMMYFUNCTION("""COMPUTED_VALUE"""),"Portaria - NI 840/REITORIA/2023 (60411036) - INSTAURA sindicância Contraditória, para apurar eventual irregularidade objeto do Processo nº SEI-260008/003455/2021, bem como os fatos conexos que emergirem no decorrer dos trabalhos, designando para procedê-l"&amp;"a, no prazo de 30 dias, contados da data de publicação, Comissão, integrada por MARCELO BENTO - matr. nº 33.897-0, JEANNY CORRÊA DE ALMEIDA PASSIGATTE - matr. nº 36.183-2, MARCELO FERREIRA DE OLIVEIRA - matr. nº 31.161-2, sob a presidência do primeiro. Es"&amp;"ta portaria entra em vigor na data da publicação, revogadas as disposições em contrário. Processo n° SEI-260008/003455/2021")</f>
        <v>Portaria - NI 840/REITORIA/2023 (60411036) - INSTAURA sindicância Contraditória, para apurar eventual irregularidade objeto do Processo nº SEI-260008/003455/2021, bem como os fatos conexos que emergirem no decorrer dos trabalhos, designando para procedê-la, no prazo de 30 dias, contados da data de publicação, Comissão, integrada por MARCELO BENTO - matr. nº 33.897-0, JEANNY CORRÊA DE ALMEIDA PASSIGATTE - matr. nº 36.183-2, MARCELO FERREIRA DE OLIVEIRA - matr. nº 31.161-2, sob a presidência do primeiro. Esta portaria entra em vigor na data da publicação, revogadas as disposições em contrário. Processo n° SEI-260008/003455/2021</v>
      </c>
      <c r="K3" s="4"/>
      <c r="L3" s="6">
        <f ca="1">IFERROR(__xludf.DUMMYFUNCTION("""COMPUTED_VALUE"""),45201)</f>
        <v>45201</v>
      </c>
      <c r="M3" s="6">
        <f ca="1">IFERROR(__xludf.DUMMYFUNCTION("""COMPUTED_VALUE"""),45203)</f>
        <v>45203</v>
      </c>
      <c r="N3" s="6">
        <f ca="1">IFERROR(__xludf.DUMMYFUNCTION("""COMPUTED_VALUE"""),45241)</f>
        <v>45241</v>
      </c>
      <c r="O3" s="6">
        <f ca="1">IFERROR(__xludf.DUMMYFUNCTION("""COMPUTED_VALUE"""),45242)</f>
        <v>45242</v>
      </c>
      <c r="P3" s="4" t="str">
        <f ca="1">IFERROR(__xludf.DUMMYFUNCTION("""COMPUTED_VALUE"""),"Enviado para a PGUERJ em 08/04/2026")</f>
        <v>Enviado para a PGUERJ em 08/04/2026</v>
      </c>
      <c r="Q3" s="6">
        <f ca="1">IFERROR(__xludf.DUMMYFUNCTION("""COMPUTED_VALUE"""),45973)</f>
        <v>45973</v>
      </c>
      <c r="R3" s="4" t="str">
        <f ca="1">IFERROR(__xludf.DUMMYFUNCTION("""COMPUTED_VALUE"""),"Enviado para a PGUERJ em 08/04/2026")</f>
        <v>Enviado para a PGUERJ em 08/04/2026</v>
      </c>
      <c r="S3" s="6">
        <f ca="1">IFERROR(__xludf.DUMMYFUNCTION("""COMPUTED_VALUE"""),47069)</f>
        <v>47069</v>
      </c>
      <c r="T3" s="4" t="str">
        <f ca="1">IFERROR(__xludf.DUMMYFUNCTION("""COMPUTED_VALUE"""),"Marcelo Bento")</f>
        <v>Marcelo Bento</v>
      </c>
      <c r="U3" s="4" t="str">
        <f ca="1">IFERROR(__xludf.DUMMYFUNCTION("""COMPUTED_VALUE"""),"Jeanny Passigatte")</f>
        <v>Jeanny Passigatte</v>
      </c>
      <c r="V3" s="4" t="str">
        <f ca="1">IFERROR(__xludf.DUMMYFUNCTION("""COMPUTED_VALUE"""),"Marcelo Ferreira")</f>
        <v>Marcelo Ferreira</v>
      </c>
      <c r="W3" s="4" t="str">
        <f ca="1">IFERROR(__xludf.DUMMYFUNCTION("""COMPUTED_VALUE"""),"Franciane")</f>
        <v>Franciane</v>
      </c>
      <c r="X3" s="4" t="str">
        <f ca="1">IFERROR(__xludf.DUMMYFUNCTION("""COMPUTED_VALUE"""),"Não")</f>
        <v>Não</v>
      </c>
      <c r="Y3" s="4" t="str">
        <f ca="1">IFERROR(__xludf.DUMMYFUNCTION("""COMPUTED_VALUE"""),"SEI-260008/003455/2021
Com base no Parecer 24/2022/ELP/UERJ/PGUERJ06 (30934408) e no DR (47077709)")</f>
        <v>SEI-260008/003455/2021
Com base no Parecer 24/2022/ELP/UERJ/PGUERJ06 (30934408) e no DR (47077709)</v>
      </c>
      <c r="Z3" s="4" t="str">
        <f ca="1">IFERROR(__xludf.DUMMYFUNCTION("""COMPUTED_VALUE"""),"C-Envio à PG/ Encerrado.")</f>
        <v>C-Envio à PG/ Encerrado.</v>
      </c>
      <c r="AA3" s="4"/>
      <c r="AB3" s="4"/>
    </row>
    <row r="4" spans="1:28" x14ac:dyDescent="0.2">
      <c r="A4" s="4" t="str">
        <f t="shared" ca="1" si="0"/>
        <v>SEI-260007/002671/2024</v>
      </c>
      <c r="B4" s="4" t="str">
        <f t="shared" ca="1" si="1"/>
        <v>Investigativa</v>
      </c>
      <c r="C4" s="4" t="str">
        <f ca="1">IFERROR(__xludf.DUMMYFUNCTION("""COMPUTED_VALUE"""),"0729/2023")</f>
        <v>0729/2023</v>
      </c>
      <c r="D4" s="4" t="str">
        <f ca="1">IFERROR(__xludf.DUMMYFUNCTION("""COMPUTED_VALUE"""),"SEI-260007/002671/2024
Investigativa")</f>
        <v>SEI-260007/002671/2024
Investigativa</v>
      </c>
      <c r="E4" s="4"/>
      <c r="F4" s="4" t="str">
        <f ca="1">IFERROR(__xludf.DUMMYFUNCTION("""COMPUTED_VALUE"""),"Desvio de conduta")</f>
        <v>Desvio de conduta</v>
      </c>
      <c r="G4" s="4" t="str">
        <f ca="1">IFERROR(__xludf.DUMMYFUNCTION("""COMPUTED_VALUE"""),"Outros.")</f>
        <v>Outros.</v>
      </c>
      <c r="H4" s="4" t="str">
        <f ca="1">IFERROR(__xludf.DUMMYFUNCTION("""COMPUTED_VALUE"""),"Outros.")</f>
        <v>Outros.</v>
      </c>
      <c r="I4" s="4" t="str">
        <f ca="1">IFERROR(__xludf.DUMMYFUNCTION("""COMPUTED_VALUE"""),"Trata-se de processo de sindicância investigativa em razão da paralização irregular do processo por 09 e 05 anos, dando causa à prescrição.  A PGUERJ 58016860 entendeu por constituir nova sindicância com comissão de formação originária diferente. ")</f>
        <v xml:space="preserve">Trata-se de processo de sindicância investigativa em razão da paralização irregular do processo por 09 e 05 anos, dando causa à prescrição.  A PGUERJ 58016860 entendeu por constituir nova sindicância com comissão de formação originária diferente. </v>
      </c>
      <c r="J4" s="4" t="str">
        <f ca="1">IFERROR(__xludf.DUMMYFUNCTION("""COMPUTED_VALUE"""),"PORTARIA UERJ Nº SEI-729/2023 - INSTAURA sindicância para apurar irregularidade objeto do processo SEI nº 26/007/10740/2015, designando para procedê-la, no prazo de 30 dias, contados da data da publicação, a servID:ora THAÍS MAYHÉ MUCI, matr. nº 35.794-7 "&amp;"- Processo nº E-26/007/10740/2015.")</f>
        <v>PORTARIA UERJ Nº SEI-729/2023 - INSTAURA sindicância para apurar irregularidade objeto do processo SEI nº 26/007/10740/2015, designando para procedê-la, no prazo de 30 dias, contados da data da publicação, a servID:ora THAÍS MAYHÉ MUCI, matr. nº 35.794-7 - Processo nº E-26/007/10740/2015.</v>
      </c>
      <c r="K4" s="4"/>
      <c r="L4" s="6">
        <f ca="1">IFERROR(__xludf.DUMMYFUNCTION("""COMPUTED_VALUE"""),45166)</f>
        <v>45166</v>
      </c>
      <c r="M4" s="6">
        <f ca="1">IFERROR(__xludf.DUMMYFUNCTION("""COMPUTED_VALUE"""),45173)</f>
        <v>45173</v>
      </c>
      <c r="N4" s="6">
        <f ca="1">IFERROR(__xludf.DUMMYFUNCTION("""COMPUTED_VALUE"""),45211)</f>
        <v>45211</v>
      </c>
      <c r="O4" s="6">
        <f ca="1">IFERROR(__xludf.DUMMYFUNCTION("""COMPUTED_VALUE"""),45212)</f>
        <v>45212</v>
      </c>
      <c r="P4" s="4" t="str">
        <f ca="1">IFERROR(__xludf.DUMMYFUNCTION("""COMPUTED_VALUE"""),"Prazo expirado")</f>
        <v>Prazo expirado</v>
      </c>
      <c r="Q4" s="6">
        <f ca="1">IFERROR(__xludf.DUMMYFUNCTION("""COMPUTED_VALUE"""),45943)</f>
        <v>45943</v>
      </c>
      <c r="R4" s="4">
        <f ca="1">IFERROR(__xludf.DUMMYFUNCTION("""COMPUTED_VALUE"""),756)</f>
        <v>756</v>
      </c>
      <c r="S4" s="6">
        <f ca="1">IFERROR(__xludf.DUMMYFUNCTION("""COMPUTED_VALUE"""),47039)</f>
        <v>47039</v>
      </c>
      <c r="T4" s="4" t="str">
        <f ca="1">IFERROR(__xludf.DUMMYFUNCTION("""COMPUTED_VALUE"""),"Thaís Muci")</f>
        <v>Thaís Muci</v>
      </c>
      <c r="U4" s="4"/>
      <c r="V4" s="4"/>
      <c r="W4" s="4" t="str">
        <f ca="1">IFERROR(__xludf.DUMMYFUNCTION("""COMPUTED_VALUE"""),"Patrícia")</f>
        <v>Patrícia</v>
      </c>
      <c r="X4" s="4" t="str">
        <f ca="1">IFERROR(__xludf.DUMMYFUNCTION("""COMPUTED_VALUE"""),"Não")</f>
        <v>Não</v>
      </c>
      <c r="Y4" s="4" t="str">
        <f ca="1">IFERROR(__xludf.DUMMYFUNCTION("""COMPUTED_VALUE"""),"E-26/007/10740/2015
com base no Parecer 46/2022/ELP/UERJ/PGUERJ-06 (35917915)
* Não passou pela SCG")</f>
        <v>E-26/007/10740/2015
com base no Parecer 46/2022/ELP/UERJ/PGUERJ-06 (35917915)
* Não passou pela SCG</v>
      </c>
      <c r="Z4" s="4" t="str">
        <f ca="1">IFERROR(__xludf.DUMMYFUNCTION("""COMPUTED_VALUE"""),"C-Relatório final")</f>
        <v>C-Relatório final</v>
      </c>
      <c r="AA4" s="4"/>
      <c r="AB4" s="4"/>
    </row>
    <row r="5" spans="1:28" x14ac:dyDescent="0.2">
      <c r="A5" s="4" t="str">
        <f t="shared" ca="1" si="0"/>
        <v>SEI-260007/001875/2024</v>
      </c>
      <c r="B5" s="4" t="str">
        <f t="shared" ca="1" si="1"/>
        <v>Contraditória</v>
      </c>
      <c r="C5" s="4" t="str">
        <f ca="1">IFERROR(__xludf.DUMMYFUNCTION("""COMPUTED_VALUE"""),"1201/2023")</f>
        <v>1201/2023</v>
      </c>
      <c r="D5" s="4" t="str">
        <f ca="1">IFERROR(__xludf.DUMMYFUNCTION("""COMPUTED_VALUE"""),"SEI-260007/001875/2024
Contraditória")</f>
        <v>SEI-260007/001875/2024
Contraditória</v>
      </c>
      <c r="E5" s="4" t="str">
        <f ca="1">IFERROR(__xludf.DUMMYFUNCTION("""COMPUTED_VALUE"""),"Félix Mascarenhas Milesi, matr. 394114")</f>
        <v>Félix Mascarenhas Milesi, matr. 394114</v>
      </c>
      <c r="F5" s="4" t="str">
        <f ca="1">IFERROR(__xludf.DUMMYFUNCTION("""COMPUTED_VALUE"""),"Assédio moral/sexual/discriminação.")</f>
        <v>Assédio moral/sexual/discriminação.</v>
      </c>
      <c r="G5" s="4" t="str">
        <f ca="1">IFERROR(__xludf.DUMMYFUNCTION("""COMPUTED_VALUE"""),"Assédio moral/sexual/discriminação.")</f>
        <v>Assédio moral/sexual/discriminação.</v>
      </c>
      <c r="H5" s="4" t="str">
        <f ca="1">IFERROR(__xludf.DUMMYFUNCTION("""COMPUTED_VALUE"""),"Assédio moral/sexual/discriminação.")</f>
        <v>Assédio moral/sexual/discriminação.</v>
      </c>
      <c r="I5" s="4" t="str">
        <f ca="1">IFERROR(__xludf.DUMMYFUNCTION("""COMPUTED_VALUE"""),"Denúncia recebida na Ouvidoria em 31/05/2023, protocolada internamente sob o no 477.2023 (53641946) e no sistema Fala.BR sob o nº 02685.2023.000573-75 relatando suposto caso de assédio sexual, moral e importunação sexual praticados pelo servidor Félix Mas"&amp;"carenhas Milesi, lotado na COMUNS.Trata-se o presente processo de denúncia de assédio sexual e moral formulada pela servidora Amanda Fernandes Domingues, nos autos do processo SEI-260007/029527/2023 (66848339) perante a Ouvidoria-Geral, em face do servido"&amp;"r Felix Mascarenhas Milesi, Técnico de Audiovisual, lotado na COMUNS/CTE.")</f>
        <v>Denúncia recebida na Ouvidoria em 31/05/2023, protocolada internamente sob o no 477.2023 (53641946) e no sistema Fala.BR sob o nº 02685.2023.000573-75 relatando suposto caso de assédio sexual, moral e importunação sexual praticados pelo servidor Félix Mascarenhas Milesi, lotado na COMUNS.Trata-se o presente processo de denúncia de assédio sexual e moral formulada pela servidora Amanda Fernandes Domingues, nos autos do processo SEI-260007/029527/2023 (66848339) perante a Ouvidoria-Geral, em face do servidor Felix Mascarenhas Milesi, Técnico de Audiovisual, lotado na COMUNS/CTE.</v>
      </c>
      <c r="J5" s="4" t="str">
        <f ca="1">IFERROR(__xludf.DUMMYFUNCTION("""COMPUTED_VALUE"""),"PORTARIA Nº 1201/2023 - INSTAURA Sindicância Contraditória para, no prazo de 30 dias, contados da data da publicação, apurar eventual irregularidade objeto do Processo nº SEI- 260007/029527/2023, bem como os fatos conexos que emergirem no decorrer dos tra"&amp;"balhos, designando para procedê-la comissão integrada pelos servidores VANESSA OLIVEIRA DE QUEIROZ, matr.nº 39.914-7, FELIPE PERDIGÃO CORRÊA, matr.nº 37.977-6, DÉBORA VIEIRA RIBEIRO, matr.nº 36.200-4, sob a presidência da primeira. Esta portaria entrará e"&amp;"m vigor na data de sua publicação - Processo nº SEI260007/029527/2023.")</f>
        <v>PORTARIA Nº 1201/2023 - INSTAURA Sindicância Contraditória para, no prazo de 30 dias, contados da data da publicação, apurar eventual irregularidade objeto do Processo nº SEI- 260007/029527/2023, bem como os fatos conexos que emergirem no decorrer dos trabalhos, designando para procedê-la comissão integrada pelos servidores VANESSA OLIVEIRA DE QUEIROZ, matr.nº 39.914-7, FELIPE PERDIGÃO CORRÊA, matr.nº 37.977-6, DÉBORA VIEIRA RIBEIRO, matr.nº 36.200-4, sob a presidência da primeira. Esta portaria entrará em vigor na data de sua publicação - Processo nº SEI260007/029527/2023.</v>
      </c>
      <c r="K5" s="4"/>
      <c r="L5" s="6">
        <f ca="1">IFERROR(__xludf.DUMMYFUNCTION("""COMPUTED_VALUE"""),45280)</f>
        <v>45280</v>
      </c>
      <c r="M5" s="6">
        <f ca="1">IFERROR(__xludf.DUMMYFUNCTION("""COMPUTED_VALUE"""),45282)</f>
        <v>45282</v>
      </c>
      <c r="N5" s="6">
        <f ca="1">IFERROR(__xludf.DUMMYFUNCTION("""COMPUTED_VALUE"""),45320)</f>
        <v>45320</v>
      </c>
      <c r="O5" s="6">
        <f ca="1">IFERROR(__xludf.DUMMYFUNCTION("""COMPUTED_VALUE"""),45321)</f>
        <v>45321</v>
      </c>
      <c r="P5" s="4" t="str">
        <f ca="1">IFERROR(__xludf.DUMMYFUNCTION("""COMPUTED_VALUE"""),"Processo finalizado. Decisão da Reitoria em 29/09/2025")</f>
        <v>Processo finalizado. Decisão da Reitoria em 29/09/2025</v>
      </c>
      <c r="Q5" s="6">
        <f ca="1">IFERROR(__xludf.DUMMYFUNCTION("""COMPUTED_VALUE"""),46052)</f>
        <v>46052</v>
      </c>
      <c r="R5" s="4" t="str">
        <f ca="1">IFERROR(__xludf.DUMMYFUNCTION("""COMPUTED_VALUE"""),"O processo durou 649 dias entre a assinatura do despacho de autorização de abertura do PAD pelo Reitor e a assinatura do despacho de concordância/divergência pelo mesmo.")</f>
        <v>O processo durou 649 dias entre a assinatura do despacho de autorização de abertura do PAD pelo Reitor e a assinatura do despacho de concordância/divergência pelo mesmo.</v>
      </c>
      <c r="S5" s="6">
        <f ca="1">IFERROR(__xludf.DUMMYFUNCTION("""COMPUTED_VALUE"""),47148)</f>
        <v>47148</v>
      </c>
      <c r="T5" s="4" t="str">
        <f ca="1">IFERROR(__xludf.DUMMYFUNCTION("""COMPUTED_VALUE"""),"Vanessa Queiroz")</f>
        <v>Vanessa Queiroz</v>
      </c>
      <c r="U5" s="4" t="str">
        <f ca="1">IFERROR(__xludf.DUMMYFUNCTION("""COMPUTED_VALUE"""),"Felipe Perdigão")</f>
        <v>Felipe Perdigão</v>
      </c>
      <c r="V5" s="4" t="str">
        <f ca="1">IFERROR(__xludf.DUMMYFUNCTION("""COMPUTED_VALUE"""),"Hannah Oliveira")</f>
        <v>Hannah Oliveira</v>
      </c>
      <c r="W5" s="4" t="str">
        <f ca="1">IFERROR(__xludf.DUMMYFUNCTION("""COMPUTED_VALUE"""),"Isadora")</f>
        <v>Isadora</v>
      </c>
      <c r="X5" s="4" t="str">
        <f ca="1">IFERROR(__xludf.DUMMYFUNCTION("""COMPUTED_VALUE"""),"Não")</f>
        <v>Não</v>
      </c>
      <c r="Y5" s="4" t="str">
        <f ca="1">IFERROR(__xludf.DUMMYFUNCTION("""COMPUTED_VALUE"""),"SEI-260007/029527/2023
Com base na Manifestação 1519 (55415883)")</f>
        <v>SEI-260007/029527/2023
Com base na Manifestação 1519 (55415883)</v>
      </c>
      <c r="Z5" s="4" t="str">
        <f ca="1">IFERROR(__xludf.DUMMYFUNCTION("""COMPUTED_VALUE"""),"S-Resposta do Reitor/Anotado.")</f>
        <v>S-Resposta do Reitor/Anotado.</v>
      </c>
      <c r="AA5" s="4"/>
      <c r="AB5" s="4"/>
    </row>
    <row r="6" spans="1:28" x14ac:dyDescent="0.2">
      <c r="A6" s="4" t="str">
        <f t="shared" ca="1" si="0"/>
        <v>SEI-260007/002657/2024</v>
      </c>
      <c r="B6" s="4" t="str">
        <f t="shared" ca="1" si="1"/>
        <v>Contraditória</v>
      </c>
      <c r="C6" s="4" t="str">
        <f ca="1">IFERROR(__xludf.DUMMYFUNCTION("""COMPUTED_VALUE"""),"1182/2023")</f>
        <v>1182/2023</v>
      </c>
      <c r="D6" s="4" t="str">
        <f ca="1">IFERROR(__xludf.DUMMYFUNCTION("""COMPUTED_VALUE"""),"SEI-260007/002657/2024
Contraditória")</f>
        <v>SEI-260007/002657/2024
Contraditória</v>
      </c>
      <c r="E6" s="4" t="str">
        <f ca="1">IFERROR(__xludf.DUMMYFUNCTION("""COMPUTED_VALUE"""),"Iranildo Marinho Silva, mat 332395")</f>
        <v>Iranildo Marinho Silva, mat 332395</v>
      </c>
      <c r="F6" s="4" t="str">
        <f ca="1">IFERROR(__xludf.DUMMYFUNCTION("""COMPUTED_VALUE"""),"Assédio moral/sexual/discriminação.")</f>
        <v>Assédio moral/sexual/discriminação.</v>
      </c>
      <c r="G6" s="4" t="str">
        <f ca="1">IFERROR(__xludf.DUMMYFUNCTION("""COMPUTED_VALUE"""),"Assédio moral/sexual/discriminação.")</f>
        <v>Assédio moral/sexual/discriminação.</v>
      </c>
      <c r="H6" s="4" t="str">
        <f ca="1">IFERROR(__xludf.DUMMYFUNCTION("""COMPUTED_VALUE"""),"Assédio moral/sexual/discriminação.")</f>
        <v>Assédio moral/sexual/discriminação.</v>
      </c>
      <c r="I6" s="4" t="str">
        <f ca="1">IFERROR(__xludf.DUMMYFUNCTION("""COMPUTED_VALUE"""),"Apurar a denúncia apresentada por servidora lotada na Superintendência de Gestão de Pessoas (SGP) em face do servidor Iranildo Marinho Silva, também lotado no mesmo setor, noticiando a ocorrência de supostos atos desrespeitosos e de conotação sexual em de"&amp;"trimento da denunciante e de uma terceira servidora, Fernanda Maria Gomes Villa Verde, também lotada na SGP, podendo a conduta do denunciante até mesmo configurar a prática de crime de importunação sexual (art. 215-A do Código Penal brasileiro);")</f>
        <v>Apurar a denúncia apresentada por servidora lotada na Superintendência de Gestão de Pessoas (SGP) em face do servidor Iranildo Marinho Silva, também lotado no mesmo setor, noticiando a ocorrência de supostos atos desrespeitosos e de conotação sexual em detrimento da denunciante e de uma terceira servidora, Fernanda Maria Gomes Villa Verde, também lotada na SGP, podendo a conduta do denunciante até mesmo configurar a prática de crime de importunação sexual (art. 215-A do Código Penal brasileiro);</v>
      </c>
      <c r="J6" s="4" t="str">
        <f ca="1">IFERROR(__xludf.DUMMYFUNCTION("""COMPUTED_VALUE"""),"PORTARIA Nº 1182/2023 - INSTAURA Sindicância Contraditória para, no prazo de 30 dias, contados da data da publicação, apurar eventual irregularidade objeto do Processo nº SEI-260007/003279/2023, designando para procedê-la THAÍS MUCI, matr. nº 35.794-7, co"&amp;"mo sindicante único, bem como os fatos conexos que emergirem no decorrer dos trabalhos. Processo nº SEI-260007/003279/2023.")</f>
        <v>PORTARIA Nº 1182/2023 - INSTAURA Sindicância Contraditória para, no prazo de 30 dias, contados da data da publicação, apurar eventual irregularidade objeto do Processo nº SEI-260007/003279/2023, designando para procedê-la THAÍS MUCI, matr. nº 35.794-7, como sindicante único, bem como os fatos conexos que emergirem no decorrer dos trabalhos. Processo nº SEI-260007/003279/2023.</v>
      </c>
      <c r="K6" s="4"/>
      <c r="L6" s="8">
        <f ca="1">IFERROR(__xludf.DUMMYFUNCTION("""COMPUTED_VALUE"""),45272)</f>
        <v>45272</v>
      </c>
      <c r="M6" s="6">
        <f ca="1">IFERROR(__xludf.DUMMYFUNCTION("""COMPUTED_VALUE"""),45274)</f>
        <v>45274</v>
      </c>
      <c r="N6" s="6">
        <f ca="1">IFERROR(__xludf.DUMMYFUNCTION("""COMPUTED_VALUE"""),45312)</f>
        <v>45312</v>
      </c>
      <c r="O6" s="6">
        <f ca="1">IFERROR(__xludf.DUMMYFUNCTION("""COMPUTED_VALUE"""),45313)</f>
        <v>45313</v>
      </c>
      <c r="P6" s="4" t="str">
        <f ca="1">IFERROR(__xludf.DUMMYFUNCTION("""COMPUTED_VALUE"""),"Prazo expirado")</f>
        <v>Prazo expirado</v>
      </c>
      <c r="Q6" s="6">
        <f ca="1">IFERROR(__xludf.DUMMYFUNCTION("""COMPUTED_VALUE"""),46044)</f>
        <v>46044</v>
      </c>
      <c r="R6" s="4">
        <f ca="1">IFERROR(__xludf.DUMMYFUNCTION("""COMPUTED_VALUE"""),857)</f>
        <v>857</v>
      </c>
      <c r="S6" s="6">
        <f ca="1">IFERROR(__xludf.DUMMYFUNCTION("""COMPUTED_VALUE"""),47140)</f>
        <v>47140</v>
      </c>
      <c r="T6" s="4" t="str">
        <f ca="1">IFERROR(__xludf.DUMMYFUNCTION("""COMPUTED_VALUE"""),"Thaís Muci")</f>
        <v>Thaís Muci</v>
      </c>
      <c r="U6" s="4"/>
      <c r="V6" s="4"/>
      <c r="W6" s="4" t="str">
        <f ca="1">IFERROR(__xludf.DUMMYFUNCTION("""COMPUTED_VALUE"""),"Débora")</f>
        <v>Débora</v>
      </c>
      <c r="X6" s="4" t="str">
        <f ca="1">IFERROR(__xludf.DUMMYFUNCTION("""COMPUTED_VALUE"""),"Não")</f>
        <v>Não</v>
      </c>
      <c r="Y6" s="4" t="str">
        <f ca="1">IFERROR(__xludf.DUMMYFUNCTION("""COMPUTED_VALUE"""),"SEI-260007/003279/2023
com base na Manifestação CGUERJ 484/2023 (48206136)
")</f>
        <v xml:space="preserve">SEI-260007/003279/2023
com base na Manifestação CGUERJ 484/2023 (48206136)
</v>
      </c>
      <c r="Z6" s="4" t="str">
        <f ca="1">IFERROR(__xludf.DUMMYFUNCTION("""COMPUTED_VALUE"""),"C-Relatório final")</f>
        <v>C-Relatório final</v>
      </c>
      <c r="AA6" s="4"/>
      <c r="AB6" s="4"/>
    </row>
    <row r="7" spans="1:28" x14ac:dyDescent="0.2">
      <c r="A7" s="4" t="str">
        <f t="shared" ca="1" si="0"/>
        <v>SEI-260007/002000/2024</v>
      </c>
      <c r="B7" s="4" t="str">
        <f t="shared" ca="1" si="1"/>
        <v>Contraditória</v>
      </c>
      <c r="C7" s="4" t="str">
        <f ca="1">IFERROR(__xludf.DUMMYFUNCTION("""COMPUTED_VALUE"""),"1218/2023")</f>
        <v>1218/2023</v>
      </c>
      <c r="D7" s="4" t="str">
        <f ca="1">IFERROR(__xludf.DUMMYFUNCTION("""COMPUTED_VALUE"""),"SEI-260007/002000/2024
Contraditória")</f>
        <v>SEI-260007/002000/2024
Contraditória</v>
      </c>
      <c r="E7" s="4" t="str">
        <f ca="1">IFERROR(__xludf.DUMMYFUNCTION("""COMPUTED_VALUE"""),"Estefano Moraes de Abreu; mat 379750.")</f>
        <v>Estefano Moraes de Abreu; mat 379750.</v>
      </c>
      <c r="F7" s="4" t="str">
        <f ca="1">IFERROR(__xludf.DUMMYFUNCTION("""COMPUTED_VALUE"""),"Desvio de conduta")</f>
        <v>Desvio de conduta</v>
      </c>
      <c r="G7" s="4" t="str">
        <f ca="1">IFERROR(__xludf.DUMMYFUNCTION("""COMPUTED_VALUE"""),"Outros.")</f>
        <v>Outros.</v>
      </c>
      <c r="H7" s="4" t="str">
        <f ca="1">IFERROR(__xludf.DUMMYFUNCTION("""COMPUTED_VALUE"""),"Outros.")</f>
        <v>Outros.</v>
      </c>
      <c r="I7" s="4" t="str">
        <f ca="1">IFERROR(__xludf.DUMMYFUNCTION("""COMPUTED_VALUE"""),"Apurar eventual irregularidade no ressarcimento de inscrição para as Oficinas; contidas no documento  34000055 encaminhado pela Prof. Mônica de L. Bolsoni, Coordenadora COART/DECULT/PR3, relatando a suposta prática, em tese, de atos irregulares pelo servi"&amp;"dor Estefano Moraes de Abreu;")</f>
        <v>Apurar eventual irregularidade no ressarcimento de inscrição para as Oficinas; contidas no documento  34000055 encaminhado pela Prof. Mônica de L. Bolsoni, Coordenadora COART/DECULT/PR3, relatando a suposta prática, em tese, de atos irregulares pelo servidor Estefano Moraes de Abreu;</v>
      </c>
      <c r="J7" s="4" t="str">
        <f ca="1">IFERROR(__xludf.DUMMYFUNCTION("""COMPUTED_VALUE"""),"PORTARIA Nº 1218/2023 - I N S TA U R A Sindicância Contraditória para, no prazo de 30 dias, contados da data da publicação, apurar eventual irregularidade objeto do processo nº SEI-260007/024883/2022, bem como os fatos conexos que emergirem no decorrer do"&amp;"s trabalhos, designando para procedê-la, Comissão, integrada por MARCELO DOS SANTOS BENTO, matr. 33.897-0, JEANNY CORRÊA DE ALMEIDA PA S S I G AT T E , matr. nº 36.183-2, MARCELO FERREIRA DE OLIVEIRA, matr. 31.161-3, sob a presidência do primeiro. Process"&amp;"o nº SEI-260007/024883/2022.")</f>
        <v>PORTARIA Nº 1218/2023 - I N S TA U R A Sindicância Contraditória para, no prazo de 30 dias, contados da data da publicação, apurar eventual irregularidade objeto do processo nº SEI-260007/024883/2022, bem como os fatos conexos que emergirem no decorrer dos trabalhos, designando para procedê-la, Comissão, integrada por MARCELO DOS SANTOS BENTO, matr. 33.897-0, JEANNY CORRÊA DE ALMEIDA PA S S I G AT T E , matr. nº 36.183-2, MARCELO FERREIRA DE OLIVEIRA, matr. 31.161-3, sob a presidência do primeiro. Processo nº SEI-260007/024883/2022.</v>
      </c>
      <c r="K7" s="4"/>
      <c r="L7" s="6">
        <f ca="1">IFERROR(__xludf.DUMMYFUNCTION("""COMPUTED_VALUE"""),45282)</f>
        <v>45282</v>
      </c>
      <c r="M7" s="6">
        <f ca="1">IFERROR(__xludf.DUMMYFUNCTION("""COMPUTED_VALUE"""),45299)</f>
        <v>45299</v>
      </c>
      <c r="N7" s="6">
        <f ca="1">IFERROR(__xludf.DUMMYFUNCTION("""COMPUTED_VALUE"""),45337)</f>
        <v>45337</v>
      </c>
      <c r="O7" s="6">
        <f ca="1">IFERROR(__xludf.DUMMYFUNCTION("""COMPUTED_VALUE"""),45338)</f>
        <v>45338</v>
      </c>
      <c r="P7" s="4" t="str">
        <f ca="1">IFERROR(__xludf.DUMMYFUNCTION("""COMPUTED_VALUE"""),"Processo finalizado. Decisão da Reitoria em 12/03/2026")</f>
        <v>Processo finalizado. Decisão da Reitoria em 12/03/2026</v>
      </c>
      <c r="Q7" s="6">
        <f ca="1">IFERROR(__xludf.DUMMYFUNCTION("""COMPUTED_VALUE"""),46069)</f>
        <v>46069</v>
      </c>
      <c r="R7" s="4" t="str">
        <f ca="1">IFERROR(__xludf.DUMMYFUNCTION("""COMPUTED_VALUE"""),"O processo durou 811 dias entre a assinatura do despacho de autorização de abertura do PAD pelo Reitor e a assinatura do despacho de concordância/divergência pelo mesmo.")</f>
        <v>O processo durou 811 dias entre a assinatura do despacho de autorização de abertura do PAD pelo Reitor e a assinatura do despacho de concordância/divergência pelo mesmo.</v>
      </c>
      <c r="S7" s="6">
        <f ca="1">IFERROR(__xludf.DUMMYFUNCTION("""COMPUTED_VALUE"""),47165)</f>
        <v>47165</v>
      </c>
      <c r="T7" s="4" t="str">
        <f ca="1">IFERROR(__xludf.DUMMYFUNCTION("""COMPUTED_VALUE"""),"Marcelo Bento")</f>
        <v>Marcelo Bento</v>
      </c>
      <c r="U7" s="4" t="str">
        <f ca="1">IFERROR(__xludf.DUMMYFUNCTION("""COMPUTED_VALUE"""),"Jeanny Passigatte")</f>
        <v>Jeanny Passigatte</v>
      </c>
      <c r="V7" s="4" t="str">
        <f ca="1">IFERROR(__xludf.DUMMYFUNCTION("""COMPUTED_VALUE"""),"Marcelo Ferreira")</f>
        <v>Marcelo Ferreira</v>
      </c>
      <c r="W7" s="4" t="str">
        <f ca="1">IFERROR(__xludf.DUMMYFUNCTION("""COMPUTED_VALUE"""),"Felipe")</f>
        <v>Felipe</v>
      </c>
      <c r="X7" s="4" t="str">
        <f ca="1">IFERROR(__xludf.DUMMYFUNCTION("""COMPUTED_VALUE"""),"Não")</f>
        <v>Não</v>
      </c>
      <c r="Y7" s="4" t="str">
        <f ca="1">IFERROR(__xludf.DUMMYFUNCTION("""COMPUTED_VALUE"""),"SEI-260007/024883/2022
com base na Manifestação  CGUERJ 741/2023 (49957404)")</f>
        <v>SEI-260007/024883/2022
com base na Manifestação  CGUERJ 741/2023 (49957404)</v>
      </c>
      <c r="Z7" s="4" t="str">
        <f ca="1">IFERROR(__xludf.DUMMYFUNCTION("""COMPUTED_VALUE"""),"S-Resposta do Reitor/Anotado.")</f>
        <v>S-Resposta do Reitor/Anotado.</v>
      </c>
      <c r="AA7" s="4"/>
      <c r="AB7" s="4"/>
    </row>
    <row r="8" spans="1:28" x14ac:dyDescent="0.2">
      <c r="A8" s="4" t="str">
        <f t="shared" ca="1" si="0"/>
        <v>SEI-260007/001849/2024</v>
      </c>
      <c r="B8" s="4" t="str">
        <f t="shared" ca="1" si="1"/>
        <v>Contraditória</v>
      </c>
      <c r="C8" s="4" t="str">
        <f ca="1">IFERROR(__xludf.DUMMYFUNCTION("""COMPUTED_VALUE"""),"1206/2023")</f>
        <v>1206/2023</v>
      </c>
      <c r="D8" s="4" t="str">
        <f ca="1">IFERROR(__xludf.DUMMYFUNCTION("""COMPUTED_VALUE"""),"SEI-260007/001849/2024
Contraditória")</f>
        <v>SEI-260007/001849/2024
Contraditória</v>
      </c>
      <c r="E8" s="4" t="str">
        <f ca="1">IFERROR(__xludf.DUMMYFUNCTION("""COMPUTED_VALUE"""),"Simone da Fonseca Rutz, 37.284-7,")</f>
        <v>Simone da Fonseca Rutz, 37.284-7,</v>
      </c>
      <c r="F8" s="4" t="str">
        <f ca="1">IFERROR(__xludf.DUMMYFUNCTION("""COMPUTED_VALUE"""),"Desvio de conduta")</f>
        <v>Desvio de conduta</v>
      </c>
      <c r="G8" s="4" t="str">
        <f ca="1">IFERROR(__xludf.DUMMYFUNCTION("""COMPUTED_VALUE"""),"Assédio moral/sexual/discriminação.")</f>
        <v>Assédio moral/sexual/discriminação.</v>
      </c>
      <c r="H8" s="4" t="str">
        <f ca="1">IFERROR(__xludf.DUMMYFUNCTION("""COMPUTED_VALUE"""),"Insubordinação., Outros., Assédio moral/sexual/discriminação.")</f>
        <v>Insubordinação., Outros., Assédio moral/sexual/discriminação.</v>
      </c>
      <c r="I8" s="4" t="str">
        <f ca="1">IFERROR(__xludf.DUMMYFUNCTION("""COMPUTED_VALUE"""),"Indícios de violação dos seguintes deveres funcionais: Urbanidade, boa conduta, obediência às ordens superiores, exceto quando manifestamente ilegais;")</f>
        <v>Indícios de violação dos seguintes deveres funcionais: Urbanidade, boa conduta, obediência às ordens superiores, exceto quando manifestamente ilegais;</v>
      </c>
      <c r="J8" s="4" t="str">
        <f ca="1">IFERROR(__xludf.DUMMYFUNCTION("""COMPUTED_VALUE"""),"PORTARIA Nº 1206/2023 (65608409) - INSTAURA Sindicância Contraditória para apurar eventual irregularidade objeto do Processo nº SEI-260007/014118/2023, bem como os fatos conexos que emergirem no decorrer dos trabalhos, designando para procedê-la, no prazo"&amp;" de 30 dias, contados da data da publicação, como sindicante único PATRÍCIA GLIOCHE, matr. nº 33.968-9. Esta portaria entra em vigor na data de publicação. Processo nº SEI-260007/014118/2023")</f>
        <v>PORTARIA Nº 1206/2023 (65608409) - INSTAURA Sindicância Contraditória para apurar eventual irregularidade objeto do Processo nº SEI-260007/014118/2023, bem como os fatos conexos que emergirem no decorrer dos trabalhos, designando para procedê-la, no prazo de 30 dias, contados da data da publicação, como sindicante único PATRÍCIA GLIOCHE, matr. nº 33.968-9. Esta portaria entra em vigor na data de publicação. Processo nº SEI-260007/014118/2023</v>
      </c>
      <c r="K8" s="4"/>
      <c r="L8" s="6">
        <f ca="1">IFERROR(__xludf.DUMMYFUNCTION("""COMPUTED_VALUE"""),45280)</f>
        <v>45280</v>
      </c>
      <c r="M8" s="6">
        <f ca="1">IFERROR(__xludf.DUMMYFUNCTION("""COMPUTED_VALUE"""),45282)</f>
        <v>45282</v>
      </c>
      <c r="N8" s="6">
        <f ca="1">IFERROR(__xludf.DUMMYFUNCTION("""COMPUTED_VALUE"""),45320)</f>
        <v>45320</v>
      </c>
      <c r="O8" s="6">
        <f ca="1">IFERROR(__xludf.DUMMYFUNCTION("""COMPUTED_VALUE"""),45321)</f>
        <v>45321</v>
      </c>
      <c r="P8" s="4" t="str">
        <f ca="1">IFERROR(__xludf.DUMMYFUNCTION("""COMPUTED_VALUE"""),"Prazo expirado")</f>
        <v>Prazo expirado</v>
      </c>
      <c r="Q8" s="6">
        <f ca="1">IFERROR(__xludf.DUMMYFUNCTION("""COMPUTED_VALUE"""),46052)</f>
        <v>46052</v>
      </c>
      <c r="R8" s="4">
        <f ca="1">IFERROR(__xludf.DUMMYFUNCTION("""COMPUTED_VALUE"""),865)</f>
        <v>865</v>
      </c>
      <c r="S8" s="6">
        <f ca="1">IFERROR(__xludf.DUMMYFUNCTION("""COMPUTED_VALUE"""),47148)</f>
        <v>47148</v>
      </c>
      <c r="T8" s="4" t="str">
        <f ca="1">IFERROR(__xludf.DUMMYFUNCTION("""COMPUTED_VALUE"""),"Patrícia Glioche")</f>
        <v>Patrícia Glioche</v>
      </c>
      <c r="U8" s="4"/>
      <c r="V8" s="4"/>
      <c r="W8" s="4" t="str">
        <f ca="1">IFERROR(__xludf.DUMMYFUNCTION("""COMPUTED_VALUE"""),"Isadora")</f>
        <v>Isadora</v>
      </c>
      <c r="X8" s="4" t="str">
        <f ca="1">IFERROR(__xludf.DUMMYFUNCTION("""COMPUTED_VALUE"""),"Não")</f>
        <v>Não</v>
      </c>
      <c r="Y8" s="4" t="str">
        <f ca="1">IFERROR(__xludf.DUMMYFUNCTION("""COMPUTED_VALUE"""),"SEI-260007/014118/2023
Com base no Parecer 143/2023/ELP/UERJ/PGUERJ-06 (61458897) e no DR 65608409")</f>
        <v>SEI-260007/014118/2023
Com base no Parecer 143/2023/ELP/UERJ/PGUERJ-06 (61458897) e no DR 65608409</v>
      </c>
      <c r="Z8" s="4" t="str">
        <f ca="1">IFERROR(__xludf.DUMMYFUNCTION("""COMPUTED_VALUE"""),"C-Em apuração")</f>
        <v>C-Em apuração</v>
      </c>
      <c r="AA8" s="4"/>
      <c r="AB8" s="4"/>
    </row>
    <row r="9" spans="1:28" x14ac:dyDescent="0.2">
      <c r="A9" s="4" t="str">
        <f t="shared" ca="1" si="0"/>
        <v>SEI-260007/002527/2024</v>
      </c>
      <c r="B9" s="4" t="str">
        <f t="shared" ca="1" si="1"/>
        <v>Contraditória</v>
      </c>
      <c r="C9" s="4" t="str">
        <f ca="1">IFERROR(__xludf.DUMMYFUNCTION("""COMPUTED_VALUE"""),"1212/2023")</f>
        <v>1212/2023</v>
      </c>
      <c r="D9" s="4" t="str">
        <f ca="1">IFERROR(__xludf.DUMMYFUNCTION("""COMPUTED_VALUE"""),"SEI-260007/002527/2024
Contraditória")</f>
        <v>SEI-260007/002527/2024
Contraditória</v>
      </c>
      <c r="E9" s="4" t="str">
        <f ca="1">IFERROR(__xludf.DUMMYFUNCTION("""COMPUTED_VALUE"""),"Jessusa Perez Estevez, matrícula 7090-4, Chefe do AA-PEBIT, e o servidor Sergio Marques, matrícula 343046, Coordenador Técnico I do DRTC")</f>
        <v>Jessusa Perez Estevez, matrícula 7090-4, Chefe do AA-PEBIT, e o servidor Sergio Marques, matrícula 343046, Coordenador Técnico I do DRTC</v>
      </c>
      <c r="F9" s="4" t="str">
        <f ca="1">IFERROR(__xludf.DUMMYFUNCTION("""COMPUTED_VALUE"""),"Desvio de conduta")</f>
        <v>Desvio de conduta</v>
      </c>
      <c r="G9" s="4" t="str">
        <f ca="1">IFERROR(__xludf.DUMMYFUNCTION("""COMPUTED_VALUE"""),"Outros.")</f>
        <v>Outros.</v>
      </c>
      <c r="H9" s="4" t="str">
        <f ca="1">IFERROR(__xludf.DUMMYFUNCTION("""COMPUTED_VALUE"""),"Outros.")</f>
        <v>Outros.</v>
      </c>
      <c r="I9" s="4" t="str">
        <f ca="1">IFERROR(__xludf.DUMMYFUNCTION("""COMPUTED_VALUE"""),"Apurar  permissão de exercício de função pública de pretenso estagiário sem a observância prévia dos requisitos necessários para tanto, sobretudo a formalização do vínculo através de instrumento de Termo de Compromisso, ocasionando, ainda, risco para a se"&amp;"gurança das informações que são tratadas no âmbito do DRTC")</f>
        <v>Apurar  permissão de exercício de função pública de pretenso estagiário sem a observância prévia dos requisitos necessários para tanto, sobretudo a formalização do vínculo através de instrumento de Termo de Compromisso, ocasionando, ainda, risco para a segurança das informações que são tratadas no âmbito do DRTC</v>
      </c>
      <c r="J9" s="4" t="str">
        <f ca="1">IFERROR(__xludf.DUMMYFUNCTION("""COMPUTED_VALUE"""),"PORTARIA Nº 1212/2023 - INSTAURA Sindicância Punitiva para, no prazo de 30 dias, contados da data da publicação, apurar eventual irregularidade objeto do processo nº SEI-260007/031995/2023, bem como os fatos conexos que emergirem no decorrer dos trabalhos"&amp;", designando para procedê-la, Comissão integrada por LEONARDO ROCHA ALMEIDA, matr. nº 35.097-5, JEANNY CORRÊA DE ALMEIDA PASSIGATTE, matr. nº 36.183-2, DÉBORA VIEIRA RIBEIRO, matr. nº 36.200-4, sob a presidência do primeiro. Processo nº SEI-260007/031995/"&amp;"2023")</f>
        <v>PORTARIA Nº 1212/2023 - INSTAURA Sindicância Punitiva para, no prazo de 30 dias, contados da data da publicação, apurar eventual irregularidade objeto do processo nº SEI-260007/031995/2023, bem como os fatos conexos que emergirem no decorrer dos trabalhos, designando para procedê-la, Comissão integrada por LEONARDO ROCHA ALMEIDA, matr. nº 35.097-5, JEANNY CORRÊA DE ALMEIDA PASSIGATTE, matr. nº 36.183-2, DÉBORA VIEIRA RIBEIRO, matr. nº 36.200-4, sob a presidência do primeiro. Processo nº SEI-260007/031995/2023</v>
      </c>
      <c r="K9" s="4"/>
      <c r="L9" s="6">
        <f ca="1">IFERROR(__xludf.DUMMYFUNCTION("""COMPUTED_VALUE"""),45282)</f>
        <v>45282</v>
      </c>
      <c r="M9" s="6">
        <f ca="1">IFERROR(__xludf.DUMMYFUNCTION("""COMPUTED_VALUE"""),45299)</f>
        <v>45299</v>
      </c>
      <c r="N9" s="6">
        <f ca="1">IFERROR(__xludf.DUMMYFUNCTION("""COMPUTED_VALUE"""),45337)</f>
        <v>45337</v>
      </c>
      <c r="O9" s="6">
        <f ca="1">IFERROR(__xludf.DUMMYFUNCTION("""COMPUTED_VALUE"""),45338)</f>
        <v>45338</v>
      </c>
      <c r="P9" s="4" t="str">
        <f ca="1">IFERROR(__xludf.DUMMYFUNCTION("""COMPUTED_VALUE"""),"Prazo expirado")</f>
        <v>Prazo expirado</v>
      </c>
      <c r="Q9" s="6">
        <f ca="1">IFERROR(__xludf.DUMMYFUNCTION("""COMPUTED_VALUE"""),46069)</f>
        <v>46069</v>
      </c>
      <c r="R9" s="4">
        <f ca="1">IFERROR(__xludf.DUMMYFUNCTION("""COMPUTED_VALUE"""),882)</f>
        <v>882</v>
      </c>
      <c r="S9" s="6">
        <f ca="1">IFERROR(__xludf.DUMMYFUNCTION("""COMPUTED_VALUE"""),47165)</f>
        <v>47165</v>
      </c>
      <c r="T9" s="4" t="str">
        <f ca="1">IFERROR(__xludf.DUMMYFUNCTION("""COMPUTED_VALUE"""),"Leonardo Rocha")</f>
        <v>Leonardo Rocha</v>
      </c>
      <c r="U9" s="4" t="str">
        <f ca="1">IFERROR(__xludf.DUMMYFUNCTION("""COMPUTED_VALUE"""),"Jeanny Passigatte")</f>
        <v>Jeanny Passigatte</v>
      </c>
      <c r="V9" s="4" t="str">
        <f ca="1">IFERROR(__xludf.DUMMYFUNCTION("""COMPUTED_VALUE"""),"Ariane Serpa")</f>
        <v>Ariane Serpa</v>
      </c>
      <c r="W9" s="4" t="str">
        <f ca="1">IFERROR(__xludf.DUMMYFUNCTION("""COMPUTED_VALUE"""),"Débora")</f>
        <v>Débora</v>
      </c>
      <c r="X9" s="4" t="str">
        <f ca="1">IFERROR(__xludf.DUMMYFUNCTION("""COMPUTED_VALUE"""),"Não")</f>
        <v>Não</v>
      </c>
      <c r="Y9" s="4" t="str">
        <f ca="1">IFERROR(__xludf.DUMMYFUNCTION("""COMPUTED_VALUE"""),"SEI-260007/031995/2023
Com base na Manifestação CGUERJ 2529 (63413417)")</f>
        <v>SEI-260007/031995/2023
Com base na Manifestação CGUERJ 2529 (63413417)</v>
      </c>
      <c r="Z9" s="4" t="str">
        <f ca="1">IFERROR(__xludf.DUMMYFUNCTION("""COMPUTED_VALUE"""),"C-Relatório final")</f>
        <v>C-Relatório final</v>
      </c>
      <c r="AA9" s="4"/>
      <c r="AB9" s="4"/>
    </row>
    <row r="10" spans="1:28" x14ac:dyDescent="0.2">
      <c r="A10" s="4" t="str">
        <f t="shared" ca="1" si="0"/>
        <v>SEI-260007/002517/2024</v>
      </c>
      <c r="B10" s="4" t="str">
        <f t="shared" ca="1" si="1"/>
        <v>Investigativa</v>
      </c>
      <c r="C10" s="4" t="str">
        <f ca="1">IFERROR(__xludf.DUMMYFUNCTION("""COMPUTED_VALUE"""),"0158/2024")</f>
        <v>0158/2024</v>
      </c>
      <c r="D10" s="4" t="str">
        <f ca="1">IFERROR(__xludf.DUMMYFUNCTION("""COMPUTED_VALUE"""),"SEI-260007/002517/2024
Investigativa")</f>
        <v>SEI-260007/002517/2024
Investigativa</v>
      </c>
      <c r="E10" s="4"/>
      <c r="F10" s="4" t="str">
        <f ca="1">IFERROR(__xludf.DUMMYFUNCTION("""COMPUTED_VALUE"""),"Desvio de conduta")</f>
        <v>Desvio de conduta</v>
      </c>
      <c r="G10" s="4" t="str">
        <f ca="1">IFERROR(__xludf.DUMMYFUNCTION("""COMPUTED_VALUE"""),"Outros.")</f>
        <v>Outros.</v>
      </c>
      <c r="H10" s="4" t="str">
        <f ca="1">IFERROR(__xludf.DUMMYFUNCTION("""COMPUTED_VALUE"""),"Outros.")</f>
        <v>Outros.</v>
      </c>
      <c r="I10" s="4" t="str">
        <f ca="1">IFERROR(__xludf.DUMMYFUNCTION("""COMPUTED_VALUE"""),"Apurar o objeto inicial destes autos (Denúncia e pedido de providências encaminhados pela 3ª Promotoria de Justiça de Tutela Coletiva de Defesa da Cidadania da Capital do Ministério Público do Rio de Janeiro, noticiando a suposta prática de irregularidade"&amp;" funcional pela servidora docente PATRÍCIA PEREIRA BÉRTOLI (matr. 367037) no que tange à alegada divulgação antecipada do resultado da prova escrita do concurso para o cargo de Professor Adjunto de Língua Inglesa e Metodologia de Ensino de Língua Inglesa "&amp;"do Departamento de Letras dessa Faculdade de Formação de Professores da UERJ) como também a possível omissão por parte da autoridade originariamente competente.
 ")</f>
        <v xml:space="preserve">Apurar o objeto inicial destes autos (Denúncia e pedido de providências encaminhados pela 3ª Promotoria de Justiça de Tutela Coletiva de Defesa da Cidadania da Capital do Ministério Público do Rio de Janeiro, noticiando a suposta prática de irregularidade funcional pela servidora docente PATRÍCIA PEREIRA BÉRTOLI (matr. 367037) no que tange à alegada divulgação antecipada do resultado da prova escrita do concurso para o cargo de Professor Adjunto de Língua Inglesa e Metodologia de Ensino de Língua Inglesa do Departamento de Letras dessa Faculdade de Formação de Professores da UERJ) como também a possível omissão por parte da autoridade originariamente competente.
 </v>
      </c>
      <c r="J10" s="4" t="str">
        <f ca="1">IFERROR(__xludf.DUMMYFUNCTION("""COMPUTED_VALUE"""),"PORTARIA Nº 158/2024 - INSTAURA Sindicância Investigativa, para, no prazo de 30 dias, contados da data da publicação, apurar eventual irregularidade objeto do processo SEI-260007/043858/2022, bem como os fatos conexos que emergirem no decorrer dos trabalh"&amp;"os, designando para procedê-la FELIPE PERDIGÃO CORREA, matr. nº 37.977-6, como Sindicante Único. Processo nº SEI-260007/043858/2022")</f>
        <v>PORTARIA Nº 158/2024 - INSTAURA Sindicância Investigativa, para, no prazo de 30 dias, contados da data da publicação, apurar eventual irregularidade objeto do processo SEI-260007/043858/2022, bem como os fatos conexos que emergirem no decorrer dos trabalhos, designando para procedê-la FELIPE PERDIGÃO CORREA, matr. nº 37.977-6, como Sindicante Único. Processo nº SEI-260007/043858/2022</v>
      </c>
      <c r="K10" s="4"/>
      <c r="L10" s="6">
        <f ca="1">IFERROR(__xludf.DUMMYFUNCTION("""COMPUTED_VALUE"""),45307)</f>
        <v>45307</v>
      </c>
      <c r="M10" s="6">
        <f ca="1">IFERROR(__xludf.DUMMYFUNCTION("""COMPUTED_VALUE"""),45309)</f>
        <v>45309</v>
      </c>
      <c r="N10" s="6">
        <f ca="1">IFERROR(__xludf.DUMMYFUNCTION("""COMPUTED_VALUE"""),45347)</f>
        <v>45347</v>
      </c>
      <c r="O10" s="6">
        <f ca="1">IFERROR(__xludf.DUMMYFUNCTION("""COMPUTED_VALUE"""),45348)</f>
        <v>45348</v>
      </c>
      <c r="P10" s="4" t="str">
        <f ca="1">IFERROR(__xludf.DUMMYFUNCTION("""COMPUTED_VALUE"""),"Enviado para a PGUERJ em 11/09/2024")</f>
        <v>Enviado para a PGUERJ em 11/09/2024</v>
      </c>
      <c r="Q10" s="6">
        <f ca="1">IFERROR(__xludf.DUMMYFUNCTION("""COMPUTED_VALUE"""),46079)</f>
        <v>46079</v>
      </c>
      <c r="R10" s="4" t="str">
        <f ca="1">IFERROR(__xludf.DUMMYFUNCTION("""COMPUTED_VALUE"""),"Enviado para a PGUERJ em 11/09/2024")</f>
        <v>Enviado para a PGUERJ em 11/09/2024</v>
      </c>
      <c r="S10" s="6">
        <f ca="1">IFERROR(__xludf.DUMMYFUNCTION("""COMPUTED_VALUE"""),47175)</f>
        <v>47175</v>
      </c>
      <c r="T10" s="4" t="str">
        <f ca="1">IFERROR(__xludf.DUMMYFUNCTION("""COMPUTED_VALUE"""),"Felipe Perdigão")</f>
        <v>Felipe Perdigão</v>
      </c>
      <c r="U10" s="4"/>
      <c r="V10" s="4"/>
      <c r="W10" s="4" t="str">
        <f ca="1">IFERROR(__xludf.DUMMYFUNCTION("""COMPUTED_VALUE"""),"Débora")</f>
        <v>Débora</v>
      </c>
      <c r="X10" s="4" t="str">
        <f ca="1">IFERROR(__xludf.DUMMYFUNCTION("""COMPUTED_VALUE"""),"Não")</f>
        <v>Não</v>
      </c>
      <c r="Y10" s="4" t="str">
        <f ca="1">IFERROR(__xludf.DUMMYFUNCTION("""COMPUTED_VALUE"""),"SEI-260007/043858/2022
Com base na Manifestação CGUERJ 2085 (41217449)
e no documento CGUERJ 64277869")</f>
        <v>SEI-260007/043858/2022
Com base na Manifestação CGUERJ 2085 (41217449)
e no documento CGUERJ 64277869</v>
      </c>
      <c r="Z10" s="4" t="str">
        <f ca="1">IFERROR(__xludf.DUMMYFUNCTION("""COMPUTED_VALUE"""),"C-Envio à PG/ Encerrado.")</f>
        <v>C-Envio à PG/ Encerrado.</v>
      </c>
      <c r="AA10" s="4"/>
      <c r="AB10" s="4"/>
    </row>
    <row r="11" spans="1:28" x14ac:dyDescent="0.2">
      <c r="A11" s="4" t="str">
        <f t="shared" ca="1" si="0"/>
        <v>SEI-260006/013794/2024</v>
      </c>
      <c r="B11" s="4" t="str">
        <f t="shared" ca="1" si="1"/>
        <v>Investigativa</v>
      </c>
      <c r="C11" s="4" t="str">
        <f ca="1">IFERROR(__xludf.DUMMYFUNCTION("""COMPUTED_VALUE"""),"0742/2024")</f>
        <v>0742/2024</v>
      </c>
      <c r="D11" s="4" t="str">
        <f ca="1">IFERROR(__xludf.DUMMYFUNCTION("""COMPUTED_VALUE"""),"SEI-260006/013794/2024
Investigativa")</f>
        <v>SEI-260006/013794/2024
Investigativa</v>
      </c>
      <c r="E11" s="4"/>
      <c r="F11" s="4" t="str">
        <f ca="1">IFERROR(__xludf.DUMMYFUNCTION("""COMPUTED_VALUE"""),"Atos de corrupção")</f>
        <v>Atos de corrupção</v>
      </c>
      <c r="G11" s="4" t="str">
        <f ca="1">IFERROR(__xludf.DUMMYFUNCTION("""COMPUTED_VALUE"""),"Outros.")</f>
        <v>Outros.</v>
      </c>
      <c r="H11" s="4" t="str">
        <f ca="1">IFERROR(__xludf.DUMMYFUNCTION("""COMPUTED_VALUE"""),"Outros.")</f>
        <v>Outros.</v>
      </c>
      <c r="I11" s="4" t="str">
        <f ca="1">IFERROR(__xludf.DUMMYFUNCTION("""COMPUTED_VALUE"""),"Apuração dos fatos referentes aos bens não encontrados no patrimônio do CEPED, sob responsabilidade do Agente Patrimonial JOSÉ MARIA MACHADO GOMES para instruir processo de Tomada de Contas")</f>
        <v>Apuração dos fatos referentes aos bens não encontrados no patrimônio do CEPED, sob responsabilidade do Agente Patrimonial JOSÉ MARIA MACHADO GOMES para instruir processo de Tomada de Contas</v>
      </c>
      <c r="J11" s="4" t="str">
        <f ca="1">IFERROR(__xludf.DUMMYFUNCTION("""COMPUTED_VALUE"""),"PORTARIA Nº 742/2024 - I N S TA U R A sindicância para apurar eventual irregularidade objeto do Processo nº SEI-260007/044251/2022, designando para procedê-la, no prazo de 30 dias, contados da data de publicação, MARCELO FERREIRA DE OLIVEIRA, matr. nº 31."&amp;"161-3, como sindicante único - Processo nº SEI-260007/044251/2022.")</f>
        <v>PORTARIA Nº 742/2024 - I N S TA U R A sindicância para apurar eventual irregularidade objeto do Processo nº SEI-260007/044251/2022, designando para procedê-la, no prazo de 30 dias, contados da data de publicação, MARCELO FERREIRA DE OLIVEIRA, matr. nº 31.161-3, como sindicante único - Processo nº SEI-260007/044251/2022.</v>
      </c>
      <c r="K11" s="4"/>
      <c r="L11" s="6">
        <f ca="1">IFERROR(__xludf.DUMMYFUNCTION("""COMPUTED_VALUE"""),45385)</f>
        <v>45385</v>
      </c>
      <c r="M11" s="6">
        <f ca="1">IFERROR(__xludf.DUMMYFUNCTION("""COMPUTED_VALUE"""),45390)</f>
        <v>45390</v>
      </c>
      <c r="N11" s="6">
        <f ca="1">IFERROR(__xludf.DUMMYFUNCTION("""COMPUTED_VALUE"""),45428)</f>
        <v>45428</v>
      </c>
      <c r="O11" s="6">
        <f ca="1">IFERROR(__xludf.DUMMYFUNCTION("""COMPUTED_VALUE"""),45429)</f>
        <v>45429</v>
      </c>
      <c r="P11" s="4" t="str">
        <f ca="1">IFERROR(__xludf.DUMMYFUNCTION("""COMPUTED_VALUE"""),"Complete os campos destacados em vermelho")</f>
        <v>Complete os campos destacados em vermelho</v>
      </c>
      <c r="Q11" s="6">
        <f ca="1">IFERROR(__xludf.DUMMYFUNCTION("""COMPUTED_VALUE"""),46159)</f>
        <v>46159</v>
      </c>
      <c r="R11" s="4" t="str">
        <f ca="1">IFERROR(__xludf.DUMMYFUNCTION("""COMPUTED_VALUE"""),"Complete os campos destacados em vermelho")</f>
        <v>Complete os campos destacados em vermelho</v>
      </c>
      <c r="S11" s="6">
        <f ca="1">IFERROR(__xludf.DUMMYFUNCTION("""COMPUTED_VALUE"""),47255)</f>
        <v>47255</v>
      </c>
      <c r="T11" s="4" t="str">
        <f ca="1">IFERROR(__xludf.DUMMYFUNCTION("""COMPUTED_VALUE"""),"Marcelo Ferreira")</f>
        <v>Marcelo Ferreira</v>
      </c>
      <c r="U11" s="4"/>
      <c r="V11" s="4"/>
      <c r="W11" s="4" t="str">
        <f ca="1">IFERROR(__xludf.DUMMYFUNCTION("""COMPUTED_VALUE"""),"Felipe")</f>
        <v>Felipe</v>
      </c>
      <c r="X11" s="4" t="str">
        <f ca="1">IFERROR(__xludf.DUMMYFUNCTION("""COMPUTED_VALUE"""),"Não")</f>
        <v>Não</v>
      </c>
      <c r="Y11" s="4" t="str">
        <f ca="1">IFERROR(__xludf.DUMMYFUNCTION("""COMPUTED_VALUE"""),"SEI-260007/044251/2022 com base no despacho 51680966")</f>
        <v>SEI-260007/044251/2022 com base no despacho 51680966</v>
      </c>
      <c r="Z11" s="4" t="str">
        <f ca="1">IFERROR(__xludf.DUMMYFUNCTION("""COMPUTED_VALUE"""),"C-Envio à PG/ Encerrado.")</f>
        <v>C-Envio à PG/ Encerrado.</v>
      </c>
      <c r="AA11" s="4"/>
      <c r="AB11" s="4"/>
    </row>
    <row r="12" spans="1:28" x14ac:dyDescent="0.2">
      <c r="A12" s="4" t="str">
        <f t="shared" ca="1" si="0"/>
        <v>SEI-260006/018104/2024</v>
      </c>
      <c r="B12" s="4" t="str">
        <f t="shared" ca="1" si="1"/>
        <v>Investigativa</v>
      </c>
      <c r="C12" s="4" t="str">
        <f ca="1">IFERROR(__xludf.DUMMYFUNCTION("""COMPUTED_VALUE"""),"0896/2024")</f>
        <v>0896/2024</v>
      </c>
      <c r="D12" s="4" t="str">
        <f ca="1">IFERROR(__xludf.DUMMYFUNCTION("""COMPUTED_VALUE"""),"SEI-260006/018104/2024
Investigativa")</f>
        <v>SEI-260006/018104/2024
Investigativa</v>
      </c>
      <c r="E12" s="4"/>
      <c r="F12" s="4" t="str">
        <f ca="1">IFERROR(__xludf.DUMMYFUNCTION("""COMPUTED_VALUE"""),"Assédio moral/sexual/discriminação.")</f>
        <v>Assédio moral/sexual/discriminação.</v>
      </c>
      <c r="G12" s="4" t="str">
        <f ca="1">IFERROR(__xludf.DUMMYFUNCTION("""COMPUTED_VALUE"""),"Outros., Assédio moral/sexual/discriminação.")</f>
        <v>Outros., Assédio moral/sexual/discriminação.</v>
      </c>
      <c r="H12" s="4" t="str">
        <f ca="1">IFERROR(__xludf.DUMMYFUNCTION("""COMPUTED_VALUE"""),"Denúncia, Assédio moral/sexual/discriminação., Outros.")</f>
        <v>Denúncia, Assédio moral/sexual/discriminação., Outros.</v>
      </c>
      <c r="I12" s="4" t="str">
        <f ca="1">IFERROR(__xludf.DUMMYFUNCTION("""COMPUTED_VALUE"""),"Denúncia sobre suposto capacitismo, racismo estrutural, assédio moral, violação de privacidade em  desfavor de aluna  por servidores de mais de uma unidade do complexo universitário (Faculdade de Direito e PR4)")</f>
        <v>Denúncia sobre suposto capacitismo, racismo estrutural, assédio moral, violação de privacidade em  desfavor de aluna  por servidores de mais de uma unidade do complexo universitário (Faculdade de Direito e PR4)</v>
      </c>
      <c r="J12" s="4" t="str">
        <f ca="1">IFERROR(__xludf.DUMMYFUNCTION("""COMPUTED_VALUE"""),"PORTARIA Nº 896/2024 - I N S TA U R A sindicância para apuração de eventual irregularidade objeto do Processo nº SEI260007/045992/2023, bem como os fatos conexos que emergirem no decorrer dos trabalhos, designando para procedê-la, no prazo de 30 dias, con"&amp;"tados da data da publicação, Comissão integrada pelos servidores THAÍS MUCI - matr. nº 35.794-7, KAROLYNNE ROCHA - matr. nº 35.698-0 e MARCELO FERREIRA DE OLIVEIRA - matr. nº 31.161-3, sob a presidência da primeira. Esta portaria entra em vigor na data da"&amp;" publicação. Processo nº SEI-260007/045992/202")</f>
        <v>PORTARIA Nº 896/2024 - I N S TA U R A sindicância para apuração de eventual irregularidade objeto do Processo nº SEI260007/045992/2023, bem como os fatos conexos que emergirem no decorrer dos trabalhos, designando para procedê-la, no prazo de 30 dias, contados da data da publicação, Comissão integrada pelos servidores THAÍS MUCI - matr. nº 35.794-7, KAROLYNNE ROCHA - matr. nº 35.698-0 e MARCELO FERREIRA DE OLIVEIRA - matr. nº 31.161-3, sob a presidência da primeira. Esta portaria entra em vigor na data da publicação. Processo nº SEI-260007/045992/202</v>
      </c>
      <c r="K12" s="4"/>
      <c r="L12" s="6">
        <f ca="1">IFERROR(__xludf.DUMMYFUNCTION("""COMPUTED_VALUE"""),45407)</f>
        <v>45407</v>
      </c>
      <c r="M12" s="6">
        <f ca="1">IFERROR(__xludf.DUMMYFUNCTION("""COMPUTED_VALUE"""),45411)</f>
        <v>45411</v>
      </c>
      <c r="N12" s="6">
        <f ca="1">IFERROR(__xludf.DUMMYFUNCTION("""COMPUTED_VALUE"""),45449)</f>
        <v>45449</v>
      </c>
      <c r="O12" s="6">
        <f ca="1">IFERROR(__xludf.DUMMYFUNCTION("""COMPUTED_VALUE"""),45450)</f>
        <v>45450</v>
      </c>
      <c r="P12" s="4" t="str">
        <f ca="1">IFERROR(__xludf.DUMMYFUNCTION("""COMPUTED_VALUE"""),"Prazo expirado")</f>
        <v>Prazo expirado</v>
      </c>
      <c r="Q12" s="6">
        <f ca="1">IFERROR(__xludf.DUMMYFUNCTION("""COMPUTED_VALUE"""),46180)</f>
        <v>46180</v>
      </c>
      <c r="R12" s="4">
        <f ca="1">IFERROR(__xludf.DUMMYFUNCTION("""COMPUTED_VALUE"""),993)</f>
        <v>993</v>
      </c>
      <c r="S12" s="6">
        <f ca="1">IFERROR(__xludf.DUMMYFUNCTION("""COMPUTED_VALUE"""),47276)</f>
        <v>47276</v>
      </c>
      <c r="T12" s="4" t="str">
        <f ca="1">IFERROR(__xludf.DUMMYFUNCTION("""COMPUTED_VALUE"""),"Thaís Muci")</f>
        <v>Thaís Muci</v>
      </c>
      <c r="U12" s="4" t="str">
        <f ca="1">IFERROR(__xludf.DUMMYFUNCTION("""COMPUTED_VALUE"""),"Karolynne Rocha")</f>
        <v>Karolynne Rocha</v>
      </c>
      <c r="V12" s="4" t="str">
        <f ca="1">IFERROR(__xludf.DUMMYFUNCTION("""COMPUTED_VALUE"""),"Marcelo Ferreira")</f>
        <v>Marcelo Ferreira</v>
      </c>
      <c r="W12" s="4" t="str">
        <f ca="1">IFERROR(__xludf.DUMMYFUNCTION("""COMPUTED_VALUE"""),"Franciane")</f>
        <v>Franciane</v>
      </c>
      <c r="X12" s="4" t="str">
        <f ca="1">IFERROR(__xludf.DUMMYFUNCTION("""COMPUTED_VALUE"""),"Não")</f>
        <v>Não</v>
      </c>
      <c r="Y12" s="4" t="str">
        <f ca="1">IFERROR(__xludf.DUMMYFUNCTION("""COMPUTED_VALUE"""),"SEI-260007/045992/2023 ")</f>
        <v xml:space="preserve">SEI-260007/045992/2023 </v>
      </c>
      <c r="Z12" s="4" t="str">
        <f ca="1">IFERROR(__xludf.DUMMYFUNCTION("""COMPUTED_VALUE"""),"C-Relatório final")</f>
        <v>C-Relatório final</v>
      </c>
      <c r="AA12" s="4"/>
      <c r="AB12" s="4"/>
    </row>
    <row r="13" spans="1:28" x14ac:dyDescent="0.2">
      <c r="A13" s="4" t="str">
        <f t="shared" ca="1" si="0"/>
        <v>SEI-260006/018863/2024</v>
      </c>
      <c r="B13" s="4" t="str">
        <f t="shared" ca="1" si="1"/>
        <v>Investigativa</v>
      </c>
      <c r="C13" s="4" t="str">
        <f ca="1">IFERROR(__xludf.DUMMYFUNCTION("""COMPUTED_VALUE"""),"0923/2024")</f>
        <v>0923/2024</v>
      </c>
      <c r="D13" s="4" t="str">
        <f ca="1">IFERROR(__xludf.DUMMYFUNCTION("""COMPUTED_VALUE"""),"SEI-260006/018863/2024
Investigativa")</f>
        <v>SEI-260006/018863/2024
Investigativa</v>
      </c>
      <c r="E13" s="4" t="str">
        <f ca="1">IFERROR(__xludf.DUMMYFUNCTION("""COMPUTED_VALUE"""),"PPC")</f>
        <v>PPC</v>
      </c>
      <c r="F13" s="4" t="str">
        <f ca="1">IFERROR(__xludf.DUMMYFUNCTION("""COMPUTED_VALUE"""),"Crimes contra a Administração Pública")</f>
        <v>Crimes contra a Administração Pública</v>
      </c>
      <c r="G13" s="4" t="str">
        <f ca="1">IFERROR(__xludf.DUMMYFUNCTION("""COMPUTED_VALUE"""),"Contratação irregular")</f>
        <v>Contratação irregular</v>
      </c>
      <c r="H13" s="4" t="str">
        <f ca="1">IFERROR(__xludf.DUMMYFUNCTION("""COMPUTED_VALUE"""),"Denúncia, Contratação irregular")</f>
        <v>Denúncia, Contratação irregular</v>
      </c>
      <c r="I13" s="4" t="str">
        <f ca="1">IFERROR(__xludf.DUMMYFUNCTION("""COMPUTED_VALUE"""),"Denúncia anônima a respeito de contratações supostamente irregulares ou ilegais, de firma de reforma cujos serviços são pagos por várias contas Sides e sempre em valor que dispensa licitação, que poderia resultar em uma possibilidade de favorecimento de e"&amp;"mpresa contratada pela Administração Pública. Possível ciência da Direção Geral da PPC/UERJ e da Prefeitura dos Campi sobre todas as intervenções custeadas com aqueles recursos 
")</f>
        <v xml:space="preserve">Denúncia anônima a respeito de contratações supostamente irregulares ou ilegais, de firma de reforma cujos serviços são pagos por várias contas Sides e sempre em valor que dispensa licitação, que poderia resultar em uma possibilidade de favorecimento de empresa contratada pela Administração Pública. Possível ciência da Direção Geral da PPC/UERJ e da Prefeitura dos Campi sobre todas as intervenções custeadas com aqueles recursos 
</v>
      </c>
      <c r="J13" s="4" t="str">
        <f ca="1">IFERROR(__xludf.DUMMYFUNCTION("""COMPUTED_VALUE"""),"PORTARIA Nº 923/2024 - INSTAURA sindicância para apurar eventual irregularidade objeto do Processo nº SEI-260007/037122/2023, no prazo de 30 dias, contados da data da publicação, Comissão integrada por MARCELO DOS SANTOS BENTO, matr. 33.897-0, MARCELO FE"&amp;"RREIRA DE OLIVEIRA, matr. 31.161-3, KAROLYNNE DE A. MARINS JOSÉ ROCHA, matr. 35.698-0, sob a presidência do primeiro. Processo nº SEI-260007/037122/2023.")</f>
        <v>PORTARIA Nº 923/2024 - INSTAURA sindicância para apurar eventual irregularidade objeto do Processo nº SEI-260007/037122/2023, no prazo de 30 dias, contados da data da publicação, Comissão integrada por MARCELO DOS SANTOS BENTO, matr. 33.897-0, MARCELO FERREIRA DE OLIVEIRA, matr. 31.161-3, KAROLYNNE DE A. MARINS JOSÉ ROCHA, matr. 35.698-0, sob a presidência do primeiro. Processo nº SEI-260007/037122/2023.</v>
      </c>
      <c r="K13" s="4"/>
      <c r="L13" s="6">
        <f ca="1">IFERROR(__xludf.DUMMYFUNCTION("""COMPUTED_VALUE"""),45412)</f>
        <v>45412</v>
      </c>
      <c r="M13" s="6">
        <f ca="1">IFERROR(__xludf.DUMMYFUNCTION("""COMPUTED_VALUE"""),45415)</f>
        <v>45415</v>
      </c>
      <c r="N13" s="6">
        <f ca="1">IFERROR(__xludf.DUMMYFUNCTION("""COMPUTED_VALUE"""),45453)</f>
        <v>45453</v>
      </c>
      <c r="O13" s="6">
        <f ca="1">IFERROR(__xludf.DUMMYFUNCTION("""COMPUTED_VALUE"""),45454)</f>
        <v>45454</v>
      </c>
      <c r="P13" s="4" t="str">
        <f ca="1">IFERROR(__xludf.DUMMYFUNCTION("""COMPUTED_VALUE"""),"Processo finalizado. Decisão da Reitoria em 05/05/2026")</f>
        <v>Processo finalizado. Decisão da Reitoria em 05/05/2026</v>
      </c>
      <c r="Q13" s="6">
        <f ca="1">IFERROR(__xludf.DUMMYFUNCTION("""COMPUTED_VALUE"""),46184)</f>
        <v>46184</v>
      </c>
      <c r="R13" s="4" t="str">
        <f ca="1">IFERROR(__xludf.DUMMYFUNCTION("""COMPUTED_VALUE"""),"O processo durou 735 dias entre a assinatura do despacho de autorização de abertura do PAD pelo Reitor e a assinatura do despacho de concordância/divergência pelo mesmo.")</f>
        <v>O processo durou 735 dias entre a assinatura do despacho de autorização de abertura do PAD pelo Reitor e a assinatura do despacho de concordância/divergência pelo mesmo.</v>
      </c>
      <c r="S13" s="6">
        <f ca="1">IFERROR(__xludf.DUMMYFUNCTION("""COMPUTED_VALUE"""),47280)</f>
        <v>47280</v>
      </c>
      <c r="T13" s="4" t="str">
        <f ca="1">IFERROR(__xludf.DUMMYFUNCTION("""COMPUTED_VALUE"""),"Marcelo Bento")</f>
        <v>Marcelo Bento</v>
      </c>
      <c r="U13" s="4" t="str">
        <f ca="1">IFERROR(__xludf.DUMMYFUNCTION("""COMPUTED_VALUE"""),"Marcelo Ferreira")</f>
        <v>Marcelo Ferreira</v>
      </c>
      <c r="V13" s="4" t="str">
        <f ca="1">IFERROR(__xludf.DUMMYFUNCTION("""COMPUTED_VALUE"""),"Karolynne Rocha")</f>
        <v>Karolynne Rocha</v>
      </c>
      <c r="W13" s="4" t="str">
        <f ca="1">IFERROR(__xludf.DUMMYFUNCTION("""COMPUTED_VALUE"""),"Isadora")</f>
        <v>Isadora</v>
      </c>
      <c r="X13" s="4" t="str">
        <f ca="1">IFERROR(__xludf.DUMMYFUNCTION("""COMPUTED_VALUE"""),"Não")</f>
        <v>Não</v>
      </c>
      <c r="Y13" s="4" t="str">
        <f ca="1">IFERROR(__xludf.DUMMYFUNCTION("""COMPUTED_VALUE"""),"SEI-260007/037122/2023")</f>
        <v>SEI-260007/037122/2023</v>
      </c>
      <c r="Z13" s="4" t="str">
        <f ca="1">IFERROR(__xludf.DUMMYFUNCTION("""COMPUTED_VALUE"""),"S-Resposta do Reitor/Anotado.")</f>
        <v>S-Resposta do Reitor/Anotado.</v>
      </c>
      <c r="AA13" s="4"/>
      <c r="AB13" s="4"/>
    </row>
    <row r="14" spans="1:28" x14ac:dyDescent="0.2">
      <c r="A14" s="4" t="str">
        <f t="shared" ca="1" si="0"/>
        <v>SEI-260006/022206/2024</v>
      </c>
      <c r="B14" s="4" t="str">
        <f t="shared" ca="1" si="1"/>
        <v>Contraditória</v>
      </c>
      <c r="C14" s="4" t="str">
        <f ca="1">IFERROR(__xludf.DUMMYFUNCTION("""COMPUTED_VALUE"""),"0963/2024")</f>
        <v>0963/2024</v>
      </c>
      <c r="D14" s="4" t="str">
        <f ca="1">IFERROR(__xludf.DUMMYFUNCTION("""COMPUTED_VALUE"""),"SEI-260006/022206/2024
Contraditória")</f>
        <v>SEI-260006/022206/2024
Contraditória</v>
      </c>
      <c r="E14" s="4" t="str">
        <f ca="1">IFERROR(__xludf.DUMMYFUNCTION("""COMPUTED_VALUE"""),"Jhonny Oswaldo Huertas Flores,  392019")</f>
        <v>Jhonny Oswaldo Huertas Flores,  392019</v>
      </c>
      <c r="F14" s="4" t="str">
        <f ca="1">IFERROR(__xludf.DUMMYFUNCTION("""COMPUTED_VALUE"""),"Assédio moral/sexual/discriminação.")</f>
        <v>Assédio moral/sexual/discriminação.</v>
      </c>
      <c r="G14" s="4" t="str">
        <f ca="1">IFERROR(__xludf.DUMMYFUNCTION("""COMPUTED_VALUE"""),"Insubordinação.")</f>
        <v>Insubordinação.</v>
      </c>
      <c r="H14" s="4" t="str">
        <f ca="1">IFERROR(__xludf.DUMMYFUNCTION("""COMPUTED_VALUE"""),"Assédio moral/sexual/discriminação., Outros., Insubordinação.")</f>
        <v>Assédio moral/sexual/discriminação., Outros., Insubordinação.</v>
      </c>
      <c r="I14" s="4" t="str">
        <f ca="1">IFERROR(__xludf.DUMMYFUNCTION("""COMPUTED_VALUE"""),"Infraçoes (Decreto-lei no 220/1975, arts. 39, 40 e 52) e em seu regulamento (Decreto no 2.479/1979, arts. 285, 286 e 298), inclusive a configuração de assédio moral vertical ascendente.")</f>
        <v>Infraçoes (Decreto-lei no 220/1975, arts. 39, 40 e 52) e em seu regulamento (Decreto no 2.479/1979, arts. 285, 286 e 298), inclusive a configuração de assédio moral vertical ascendente.</v>
      </c>
      <c r="J14" s="4" t="str">
        <f ca="1">IFERROR(__xludf.DUMMYFUNCTION("""COMPUTED_VALUE"""),"PORTARIA Nº 963/2024 - INSTAURA sindicância para apuração de eventual irregularidade objeto do Processo nº SEI260007/038422/2023, bem como os fatos conexos que emergirem no decorrer dos trabalhos, designando para procedê-la no prazo de 30 dias, contados "&amp;"da data da publicação no DOERJ, Comissão integrada pelos servidores LEONARDO ROCHA ALMEIDA - matr. nº 35.097-5, GABRIEL MORAES DE OLIVEIRA - matr. nº 40.015-0, PAT R Í C I A MOTHÉ GLIOCHE BEZE - matr. nº 33.968-9, sob a presidência do primeiro - Processo "&amp;"nº SEI-260007/038422/2023.")</f>
        <v>PORTARIA Nº 963/2024 - INSTAURA sindicância para apuração de eventual irregularidade objeto do Processo nº SEI260007/038422/2023, bem como os fatos conexos que emergirem no decorrer dos trabalhos, designando para procedê-la no prazo de 30 dias, contados da data da publicação no DOERJ, Comissão integrada pelos servidores LEONARDO ROCHA ALMEIDA - matr. nº 35.097-5, GABRIEL MORAES DE OLIVEIRA - matr. nº 40.015-0, PAT R Í C I A MOTHÉ GLIOCHE BEZE - matr. nº 33.968-9, sob a presidência do primeiro - Processo nº SEI-260007/038422/2023.</v>
      </c>
      <c r="K14" s="4"/>
      <c r="L14" s="6">
        <f ca="1">IFERROR(__xludf.DUMMYFUNCTION("""COMPUTED_VALUE"""),45428)</f>
        <v>45428</v>
      </c>
      <c r="M14" s="6">
        <f ca="1">IFERROR(__xludf.DUMMYFUNCTION("""COMPUTED_VALUE"""),45432)</f>
        <v>45432</v>
      </c>
      <c r="N14" s="6">
        <f ca="1">IFERROR(__xludf.DUMMYFUNCTION("""COMPUTED_VALUE"""),45470)</f>
        <v>45470</v>
      </c>
      <c r="O14" s="6">
        <f ca="1">IFERROR(__xludf.DUMMYFUNCTION("""COMPUTED_VALUE"""),45471)</f>
        <v>45471</v>
      </c>
      <c r="P14" s="4" t="str">
        <f ca="1">IFERROR(__xludf.DUMMYFUNCTION("""COMPUTED_VALUE"""),"Processo finalizado. Decisão da Reitoria em 06/04/2026")</f>
        <v>Processo finalizado. Decisão da Reitoria em 06/04/2026</v>
      </c>
      <c r="Q14" s="6">
        <f ca="1">IFERROR(__xludf.DUMMYFUNCTION("""COMPUTED_VALUE"""),46201)</f>
        <v>46201</v>
      </c>
      <c r="R14" s="4" t="str">
        <f ca="1">IFERROR(__xludf.DUMMYFUNCTION("""COMPUTED_VALUE"""),"O processo durou 690 dias entre a assinatura do despacho de autorização de abertura do PAD pelo Reitor e a assinatura do despacho de concordância/divergência pelo mesmo.")</f>
        <v>O processo durou 690 dias entre a assinatura do despacho de autorização de abertura do PAD pelo Reitor e a assinatura do despacho de concordância/divergência pelo mesmo.</v>
      </c>
      <c r="S14" s="6">
        <f ca="1">IFERROR(__xludf.DUMMYFUNCTION("""COMPUTED_VALUE"""),47297)</f>
        <v>47297</v>
      </c>
      <c r="T14" s="4" t="str">
        <f ca="1">IFERROR(__xludf.DUMMYFUNCTION("""COMPUTED_VALUE"""),"Leonardo Rocha")</f>
        <v>Leonardo Rocha</v>
      </c>
      <c r="U14" s="4" t="str">
        <f ca="1">IFERROR(__xludf.DUMMYFUNCTION("""COMPUTED_VALUE"""),"Thiago Rocha")</f>
        <v>Thiago Rocha</v>
      </c>
      <c r="V14" s="4" t="str">
        <f ca="1">IFERROR(__xludf.DUMMYFUNCTION("""COMPUTED_VALUE"""),"Patrícia Glioche")</f>
        <v>Patrícia Glioche</v>
      </c>
      <c r="W14" s="4" t="str">
        <f ca="1">IFERROR(__xludf.DUMMYFUNCTION("""COMPUTED_VALUE"""),"Franciane")</f>
        <v>Franciane</v>
      </c>
      <c r="X14" s="4" t="str">
        <f ca="1">IFERROR(__xludf.DUMMYFUNCTION("""COMPUTED_VALUE"""),"Não")</f>
        <v>Não</v>
      </c>
      <c r="Y14" s="4" t="str">
        <f ca="1">IFERROR(__xludf.DUMMYFUNCTION("""COMPUTED_VALUE"""),"SEI-260007/038422/2023")</f>
        <v>SEI-260007/038422/2023</v>
      </c>
      <c r="Z14" s="4" t="str">
        <f ca="1">IFERROR(__xludf.DUMMYFUNCTION("""COMPUTED_VALUE"""),"S-Resposta do Reitor/Anotado.")</f>
        <v>S-Resposta do Reitor/Anotado.</v>
      </c>
      <c r="AA14" s="4"/>
      <c r="AB14" s="4"/>
    </row>
    <row r="15" spans="1:28" x14ac:dyDescent="0.2">
      <c r="A15" s="4" t="str">
        <f t="shared" ca="1" si="0"/>
        <v>SEI-260006/022214/2024</v>
      </c>
      <c r="B15" s="4" t="str">
        <f t="shared" ca="1" si="1"/>
        <v>Contraditória</v>
      </c>
      <c r="C15" s="4" t="str">
        <f ca="1">IFERROR(__xludf.DUMMYFUNCTION("""COMPUTED_VALUE"""),"0962/2024")</f>
        <v>0962/2024</v>
      </c>
      <c r="D15" s="4" t="str">
        <f ca="1">IFERROR(__xludf.DUMMYFUNCTION("""COMPUTED_VALUE"""),"SEI-260006/022214/2024 Contraditória")</f>
        <v>SEI-260006/022214/2024 Contraditória</v>
      </c>
      <c r="E15" s="4" t="str">
        <f ca="1">IFERROR(__xludf.DUMMYFUNCTION("""COMPUTED_VALUE"""),"Marisa Cristina Guimarães Rocha, matr. 33061-3")</f>
        <v>Marisa Cristina Guimarães Rocha, matr. 33061-3</v>
      </c>
      <c r="F15" s="4" t="str">
        <f ca="1">IFERROR(__xludf.DUMMYFUNCTION("""COMPUTED_VALUE"""),"Desvio de conduta")</f>
        <v>Desvio de conduta</v>
      </c>
      <c r="G15" s="4" t="str">
        <f ca="1">IFERROR(__xludf.DUMMYFUNCTION("""COMPUTED_VALUE"""),"Desvio de conduta")</f>
        <v>Desvio de conduta</v>
      </c>
      <c r="H15" s="4" t="str">
        <f ca="1">IFERROR(__xludf.DUMMYFUNCTION("""COMPUTED_VALUE"""),"Outros.Violação de boa conduta, discrição e urbanidade")</f>
        <v>Outros.Violação de boa conduta, discrição e urbanidade</v>
      </c>
      <c r="I15" s="4" t="str">
        <f ca="1">IFERROR(__xludf.DUMMYFUNCTION("""COMPUTED_VALUE"""),"Suposta conduta irregular durante reuniões da Comissão Acadêmica do Programa de Pós-graduação em Ciência e Tecnologia dos Materiais (CPGCTM).")</f>
        <v>Suposta conduta irregular durante reuniões da Comissão Acadêmica do Programa de Pós-graduação em Ciência e Tecnologia dos Materiais (CPGCTM).</v>
      </c>
      <c r="J15" s="4" t="str">
        <f ca="1">IFERROR(__xludf.DUMMYFUNCTION("""COMPUTED_VALUE"""),"PORTARIA Nº 962/2024 - INSTAURA sindicância para apuração de eventual irregularidade objeto do Processo nº SEI260007/053390/2023, bem como os fatos conexos que emergirem no decorrer dos trabalhos, designando para procedê-la no prazo de 30 dias, contados "&amp;"da data da publicação no DOERJ, Comissão integrada pelos servidores THAÍS MAYHÉ MUCI - matr. nº 35.794-7, PAT R Í C I A MOTHÉ GLIOCHE BEZE - matr. nº 33.968-9, BIANCA FA E R T E S
NASCIMENTO BARBOSA - matr. nº 36.194-9, sob a presidência da primeira - Pr"&amp;"ocesso nº SEI-260007/053390/2023.")</f>
        <v>PORTARIA Nº 962/2024 - INSTAURA sindicância para apuração de eventual irregularidade objeto do Processo nº SEI260007/053390/2023, bem como os fatos conexos que emergirem no decorrer dos trabalhos, designando para procedê-la no prazo de 30 dias, contados da data da publicação no DOERJ, Comissão integrada pelos servidores THAÍS MAYHÉ MUCI - matr. nº 35.794-7, PAT R Í C I A MOTHÉ GLIOCHE BEZE - matr. nº 33.968-9, BIANCA FA E R T E S
NASCIMENTO BARBOSA - matr. nº 36.194-9, sob a presidência da primeira - Processo nº SEI-260007/053390/2023.</v>
      </c>
      <c r="K15" s="4"/>
      <c r="L15" s="6">
        <f ca="1">IFERROR(__xludf.DUMMYFUNCTION("""COMPUTED_VALUE"""),45428)</f>
        <v>45428</v>
      </c>
      <c r="M15" s="6">
        <f ca="1">IFERROR(__xludf.DUMMYFUNCTION("""COMPUTED_VALUE"""),45432)</f>
        <v>45432</v>
      </c>
      <c r="N15" s="6">
        <f ca="1">IFERROR(__xludf.DUMMYFUNCTION("""COMPUTED_VALUE"""),45470)</f>
        <v>45470</v>
      </c>
      <c r="O15" s="6">
        <f ca="1">IFERROR(__xludf.DUMMYFUNCTION("""COMPUTED_VALUE"""),45471)</f>
        <v>45471</v>
      </c>
      <c r="P15" s="4" t="str">
        <f ca="1">IFERROR(__xludf.DUMMYFUNCTION("""COMPUTED_VALUE"""),"Processo finalizado. Decisão da Reitoria em 06/03/2026")</f>
        <v>Processo finalizado. Decisão da Reitoria em 06/03/2026</v>
      </c>
      <c r="Q15" s="6">
        <f ca="1">IFERROR(__xludf.DUMMYFUNCTION("""COMPUTED_VALUE"""),46201)</f>
        <v>46201</v>
      </c>
      <c r="R15" s="4" t="str">
        <f ca="1">IFERROR(__xludf.DUMMYFUNCTION("""COMPUTED_VALUE"""),"O processo durou 659 dias entre a assinatura do despacho de autorização de abertura do PAD pelo Reitor e a assinatura do despacho de concordância/divergência pelo mesmo.")</f>
        <v>O processo durou 659 dias entre a assinatura do despacho de autorização de abertura do PAD pelo Reitor e a assinatura do despacho de concordância/divergência pelo mesmo.</v>
      </c>
      <c r="S15" s="6">
        <f ca="1">IFERROR(__xludf.DUMMYFUNCTION("""COMPUTED_VALUE"""),47297)</f>
        <v>47297</v>
      </c>
      <c r="T15" s="4" t="str">
        <f ca="1">IFERROR(__xludf.DUMMYFUNCTION("""COMPUTED_VALUE"""),"Thaís Muci")</f>
        <v>Thaís Muci</v>
      </c>
      <c r="U15" s="4" t="str">
        <f ca="1">IFERROR(__xludf.DUMMYFUNCTION("""COMPUTED_VALUE"""),"Bianca Faertes")</f>
        <v>Bianca Faertes</v>
      </c>
      <c r="V15" s="4" t="str">
        <f ca="1">IFERROR(__xludf.DUMMYFUNCTION("""COMPUTED_VALUE"""),"Patrícia Glioche")</f>
        <v>Patrícia Glioche</v>
      </c>
      <c r="W15" s="4" t="str">
        <f ca="1">IFERROR(__xludf.DUMMYFUNCTION("""COMPUTED_VALUE"""),"Isadora")</f>
        <v>Isadora</v>
      </c>
      <c r="X15" s="4" t="str">
        <f ca="1">IFERROR(__xludf.DUMMYFUNCTION("""COMPUTED_VALUE"""),"Não")</f>
        <v>Não</v>
      </c>
      <c r="Y15" s="4" t="str">
        <f ca="1">IFERROR(__xludf.DUMMYFUNCTION("""COMPUTED_VALUE"""),"SEI-260007/053390/2023")</f>
        <v>SEI-260007/053390/2023</v>
      </c>
      <c r="Z15" s="4" t="str">
        <f ca="1">IFERROR(__xludf.DUMMYFUNCTION("""COMPUTED_VALUE"""),"S-Resposta do Reitor/Anotado.")</f>
        <v>S-Resposta do Reitor/Anotado.</v>
      </c>
      <c r="AA15" s="4"/>
      <c r="AB15" s="4"/>
    </row>
    <row r="16" spans="1:28" x14ac:dyDescent="0.2">
      <c r="A16" s="4" t="str">
        <f t="shared" ca="1" si="0"/>
        <v>SEI-260006/024577/2024</v>
      </c>
      <c r="B16" s="4" t="str">
        <f t="shared" ca="1" si="1"/>
        <v>Investigativa</v>
      </c>
      <c r="C16" s="4" t="str">
        <f ca="1">IFERROR(__xludf.DUMMYFUNCTION("""COMPUTED_VALUE"""),"0961/2024")</f>
        <v>0961/2024</v>
      </c>
      <c r="D16" s="4" t="str">
        <f ca="1">IFERROR(__xludf.DUMMYFUNCTION("""COMPUTED_VALUE"""),"SEI-260006/024577/2024
Investigativa")</f>
        <v>SEI-260006/024577/2024
Investigativa</v>
      </c>
      <c r="E16" s="4"/>
      <c r="F16" s="4" t="str">
        <f ca="1">IFERROR(__xludf.DUMMYFUNCTION("""COMPUTED_VALUE"""),"Desvio de conduta")</f>
        <v>Desvio de conduta</v>
      </c>
      <c r="G16" s="4" t="str">
        <f ca="1">IFERROR(__xludf.DUMMYFUNCTION("""COMPUTED_VALUE"""),"Outros.")</f>
        <v>Outros.</v>
      </c>
      <c r="H16" s="4" t="str">
        <f ca="1">IFERROR(__xludf.DUMMYFUNCTION("""COMPUTED_VALUE"""),"Outros.")</f>
        <v>Outros.</v>
      </c>
      <c r="I16" s="4" t="str">
        <f ca="1">IFERROR(__xludf.DUMMYFUNCTION("""COMPUTED_VALUE"""),"indícios de irregularidades apontados na denúncia de bolsista PROATEC com a finalidade específica de assessoria na preparação de laboratório de aulas, sobretudo quanto ao suposto desvio de função (49807803).")</f>
        <v>indícios de irregularidades apontados na denúncia de bolsista PROATEC com a finalidade específica de assessoria na preparação de laboratório de aulas, sobretudo quanto ao suposto desvio de função (49807803).</v>
      </c>
      <c r="J16" s="4" t="str">
        <f ca="1">IFERROR(__xludf.DUMMYFUNCTION("""COMPUTED_VALUE"""),"PORTARIA Nº 961/2024 - INSTAURA sindicância para apurar eventual irregularidade objeto do Processo nº SEI- 260007/015302/2023, bem como os fatos conexos que emergirem no decorrer dos trabalhos, designandopara procedê-la, no prazo de30 dias, contados da da"&amp;"ta de publicação no DOERJ, Comissão integrada por MARCELO DOS SANTOS BENTO- matr. nº 33.897-0, GABRIEL MORAES DE OLIVEIRA, -matr. nº 40.015-0, KAROLYNNE DEARAUJO MARINS JOSÉ ROCHA-matr. nº 35.698-0, sob a presidência do primeiro Processo nº SEI-260007/015"&amp;"302/2023.
-----------------------------------------------------------------------
PORTARIA Nº 1036/2025 - DESIGNA CELSO LUIZ MOREIRA PIERONI,matr. nº 39.595-4 para integrar a Comissão de Sindicância Investigativa, em substituição a Gabriel Moraes deOlivei"&amp;"ra, matr. nº 40.015-0. Processo nº SEI-260006/052237/2025.")</f>
        <v>PORTARIA Nº 961/2024 - INSTAURA sindicância para apurar eventual irregularidade objeto do Processo nº SEI- 260007/015302/2023, bem como os fatos conexos que emergirem no decorrer dos trabalhos, designandopara procedê-la, no prazo de30 dias, contados da data de publicação no DOERJ, Comissão integrada por MARCELO DOS SANTOS BENTO- matr. nº 33.897-0, GABRIEL MORAES DE OLIVEIRA, -matr. nº 40.015-0, KAROLYNNE DEARAUJO MARINS JOSÉ ROCHA-matr. nº 35.698-0, sob a presidência do primeiro Processo nº SEI-260007/015302/2023.
-----------------------------------------------------------------------
PORTARIA Nº 1036/2025 - DESIGNA CELSO LUIZ MOREIRA PIERONI,matr. nº 39.595-4 para integrar a Comissão de Sindicância Investigativa, em substituição a Gabriel Moraes deOliveira, matr. nº 40.015-0. Processo nº SEI-260006/052237/2025.</v>
      </c>
      <c r="K16" s="4"/>
      <c r="L16" s="6">
        <f ca="1">IFERROR(__xludf.DUMMYFUNCTION("""COMPUTED_VALUE"""),45428)</f>
        <v>45428</v>
      </c>
      <c r="M16" s="6">
        <f ca="1">IFERROR(__xludf.DUMMYFUNCTION("""COMPUTED_VALUE"""),45432)</f>
        <v>45432</v>
      </c>
      <c r="N16" s="6">
        <f ca="1">IFERROR(__xludf.DUMMYFUNCTION("""COMPUTED_VALUE"""),45470)</f>
        <v>45470</v>
      </c>
      <c r="O16" s="6">
        <f ca="1">IFERROR(__xludf.DUMMYFUNCTION("""COMPUTED_VALUE"""),45471)</f>
        <v>45471</v>
      </c>
      <c r="P16" s="4" t="str">
        <f ca="1">IFERROR(__xludf.DUMMYFUNCTION("""COMPUTED_VALUE"""),"Complete os campos destacados em vermelho")</f>
        <v>Complete os campos destacados em vermelho</v>
      </c>
      <c r="Q16" s="6">
        <f ca="1">IFERROR(__xludf.DUMMYFUNCTION("""COMPUTED_VALUE"""),46201)</f>
        <v>46201</v>
      </c>
      <c r="R16" s="4" t="str">
        <f ca="1">IFERROR(__xludf.DUMMYFUNCTION("""COMPUTED_VALUE"""),"Complete os campos destacados em vermelho")</f>
        <v>Complete os campos destacados em vermelho</v>
      </c>
      <c r="S16" s="6">
        <f ca="1">IFERROR(__xludf.DUMMYFUNCTION("""COMPUTED_VALUE"""),47297)</f>
        <v>47297</v>
      </c>
      <c r="T16" s="4" t="str">
        <f ca="1">IFERROR(__xludf.DUMMYFUNCTION("""COMPUTED_VALUE"""),"Marcelo Bento")</f>
        <v>Marcelo Bento</v>
      </c>
      <c r="U16" s="4" t="str">
        <f ca="1">IFERROR(__xludf.DUMMYFUNCTION("""COMPUTED_VALUE"""),"Celso Luiz Pieroni")</f>
        <v>Celso Luiz Pieroni</v>
      </c>
      <c r="V16" s="4" t="str">
        <f ca="1">IFERROR(__xludf.DUMMYFUNCTION("""COMPUTED_VALUE"""),"Hannah Oliveira")</f>
        <v>Hannah Oliveira</v>
      </c>
      <c r="W16" s="4" t="str">
        <f ca="1">IFERROR(__xludf.DUMMYFUNCTION("""COMPUTED_VALUE"""),"Micheline")</f>
        <v>Micheline</v>
      </c>
      <c r="X16" s="4" t="str">
        <f ca="1">IFERROR(__xludf.DUMMYFUNCTION("""COMPUTED_VALUE"""),"Não")</f>
        <v>Não</v>
      </c>
      <c r="Y16" s="4" t="str">
        <f ca="1">IFERROR(__xludf.DUMMYFUNCTION("""COMPUTED_VALUE"""),"SEI-260007/015302/2023")</f>
        <v>SEI-260007/015302/2023</v>
      </c>
      <c r="Z16" s="4" t="str">
        <f ca="1">IFERROR(__xludf.DUMMYFUNCTION("""COMPUTED_VALUE"""),"C-Envio à PG/ Encerrado.")</f>
        <v>C-Envio à PG/ Encerrado.</v>
      </c>
      <c r="AA16" s="4"/>
      <c r="AB16" s="4"/>
    </row>
    <row r="17" spans="1:28" x14ac:dyDescent="0.2">
      <c r="A17" s="4" t="str">
        <f t="shared" ca="1" si="0"/>
        <v>SEI-260006/024829/2024</v>
      </c>
      <c r="B17" s="4" t="str">
        <f t="shared" ca="1" si="1"/>
        <v>Contraditória</v>
      </c>
      <c r="C17" s="4" t="str">
        <f ca="1">IFERROR(__xludf.DUMMYFUNCTION("""COMPUTED_VALUE"""),"1007/2024")</f>
        <v>1007/2024</v>
      </c>
      <c r="D17" s="4" t="str">
        <f ca="1">IFERROR(__xludf.DUMMYFUNCTION("""COMPUTED_VALUE"""),"SEI-260006/024829/2024
Contraditória")</f>
        <v>SEI-260006/024829/2024
Contraditória</v>
      </c>
      <c r="E17" s="4" t="str">
        <f ca="1">IFERROR(__xludf.DUMMYFUNCTION("""COMPUTED_VALUE"""),"Marisa Cristina Guimarães Rocha, 330613")</f>
        <v>Marisa Cristina Guimarães Rocha, 330613</v>
      </c>
      <c r="F17" s="4" t="str">
        <f ca="1">IFERROR(__xludf.DUMMYFUNCTION("""COMPUTED_VALUE"""),"Assédio moral/sexual/discriminação.")</f>
        <v>Assédio moral/sexual/discriminação.</v>
      </c>
      <c r="G17" s="4" t="str">
        <f ca="1">IFERROR(__xludf.DUMMYFUNCTION("""COMPUTED_VALUE"""),"Outros.")</f>
        <v>Outros.</v>
      </c>
      <c r="H17" s="4" t="str">
        <f ca="1">IFERROR(__xludf.DUMMYFUNCTION("""COMPUTED_VALUE"""),"Denúncia, Outros.")</f>
        <v>Denúncia, Outros.</v>
      </c>
      <c r="I17" s="4" t="str">
        <f ca="1">IFERROR(__xludf.DUMMYFUNCTION("""COMPUTED_VALUE"""),"Denúncia feita à Ouvidoria (Manifestação 931.2023 (63101864). Professora Marisa Cristina Guimarães Rocha teria agredido verbalmente com conduta e palavras de baixo calão, componente da subcomissão eleitoral do Instituto Politécnico da UERJ na ocasião do p"&amp;"leito. Denunciante relata que a professora tem ""histórico de assédio na instituição"". ")</f>
        <v xml:space="preserve">Denúncia feita à Ouvidoria (Manifestação 931.2023 (63101864). Professora Marisa Cristina Guimarães Rocha teria agredido verbalmente com conduta e palavras de baixo calão, componente da subcomissão eleitoral do Instituto Politécnico da UERJ na ocasião do pleito. Denunciante relata que a professora tem "histórico de assédio na instituição". </v>
      </c>
      <c r="J17" s="4" t="str">
        <f ca="1">IFERROR(__xludf.DUMMYFUNCTION("""COMPUTED_VALUE"""),"PORTARIA Nº 1007/2024- INSTAURAsindicânciaContraditória para, no prazo de 30 dias, contados da data da publicação, apurar eventual irregularidade objeto dos processos nºs SEI-260007/059798/2023 e SEI-260007/066794/2023, designando para procedê-la no prazo"&amp;" de 30 dias, contados da data da publicação, os servidores: PATRÍCIA GLIOCHE - matr. nº 33.968-9, KAROLYNNE DE A. M. JOSÉ ROCHA - matr. nº 35.698-0, BIANCAF. N. BARBOSA -matr. nº 36.194-9, soba presidência do primeiro. Processo nº SEI-260007/059798/2023.")</f>
        <v>PORTARIA Nº 1007/2024- INSTAURAsindicânciaContraditória para, no prazo de 30 dias, contados da data da publicação, apurar eventual irregularidade objeto dos processos nºs SEI-260007/059798/2023 e SEI-260007/066794/2023, designando para procedê-la no prazo de 30 dias, contados da data da publicação, os servidores: PATRÍCIA GLIOCHE - matr. nº 33.968-9, KAROLYNNE DE A. M. JOSÉ ROCHA - matr. nº 35.698-0, BIANCAF. N. BARBOSA -matr. nº 36.194-9, soba presidência do primeiro. Processo nº SEI-260007/059798/2023.</v>
      </c>
      <c r="K17" s="4"/>
      <c r="L17" s="6">
        <f ca="1">IFERROR(__xludf.DUMMYFUNCTION("""COMPUTED_VALUE"""),45441)</f>
        <v>45441</v>
      </c>
      <c r="M17" s="6">
        <f ca="1">IFERROR(__xludf.DUMMYFUNCTION("""COMPUTED_VALUE"""),45446)</f>
        <v>45446</v>
      </c>
      <c r="N17" s="6">
        <f ca="1">IFERROR(__xludf.DUMMYFUNCTION("""COMPUTED_VALUE"""),45484)</f>
        <v>45484</v>
      </c>
      <c r="O17" s="6">
        <f ca="1">IFERROR(__xludf.DUMMYFUNCTION("""COMPUTED_VALUE"""),45485)</f>
        <v>45485</v>
      </c>
      <c r="P17" s="4" t="str">
        <f ca="1">IFERROR(__xludf.DUMMYFUNCTION("""COMPUTED_VALUE"""),"Prazo expirado")</f>
        <v>Prazo expirado</v>
      </c>
      <c r="Q17" s="6">
        <f ca="1">IFERROR(__xludf.DUMMYFUNCTION("""COMPUTED_VALUE"""),46215)</f>
        <v>46215</v>
      </c>
      <c r="R17" s="4">
        <f ca="1">IFERROR(__xludf.DUMMYFUNCTION("""COMPUTED_VALUE"""),1028)</f>
        <v>1028</v>
      </c>
      <c r="S17" s="6">
        <f ca="1">IFERROR(__xludf.DUMMYFUNCTION("""COMPUTED_VALUE"""),47311)</f>
        <v>47311</v>
      </c>
      <c r="T17" s="4" t="str">
        <f ca="1">IFERROR(__xludf.DUMMYFUNCTION("""COMPUTED_VALUE"""),"Patrícia Glioche")</f>
        <v>Patrícia Glioche</v>
      </c>
      <c r="U17" s="4" t="str">
        <f ca="1">IFERROR(__xludf.DUMMYFUNCTION("""COMPUTED_VALUE"""),"Karolynne Rocha")</f>
        <v>Karolynne Rocha</v>
      </c>
      <c r="V17" s="4" t="str">
        <f ca="1">IFERROR(__xludf.DUMMYFUNCTION("""COMPUTED_VALUE"""),"Bianca Faertes")</f>
        <v>Bianca Faertes</v>
      </c>
      <c r="W17" s="4" t="str">
        <f ca="1">IFERROR(__xludf.DUMMYFUNCTION("""COMPUTED_VALUE"""),"Débora")</f>
        <v>Débora</v>
      </c>
      <c r="X17" s="4" t="str">
        <f ca="1">IFERROR(__xludf.DUMMYFUNCTION("""COMPUTED_VALUE"""),"Não")</f>
        <v>Não</v>
      </c>
      <c r="Y17" s="4" t="str">
        <f ca="1">IFERROR(__xludf.DUMMYFUNCTION("""COMPUTED_VALUE"""),"SEI-260007/059798/2023
SEI-260007/066794/2023")</f>
        <v>SEI-260007/059798/2023
SEI-260007/066794/2023</v>
      </c>
      <c r="Z17" s="4" t="str">
        <f ca="1">IFERROR(__xludf.DUMMYFUNCTION("""COMPUTED_VALUE"""),"C-Relatório final")</f>
        <v>C-Relatório final</v>
      </c>
      <c r="AA17" s="4"/>
      <c r="AB17" s="4"/>
    </row>
    <row r="18" spans="1:28" x14ac:dyDescent="0.2">
      <c r="A18" s="4" t="str">
        <f t="shared" ca="1" si="0"/>
        <v>SEI-260006/029993/2024</v>
      </c>
      <c r="B18" s="4" t="str">
        <f t="shared" ca="1" si="1"/>
        <v>Investigativa</v>
      </c>
      <c r="C18" s="4" t="str">
        <f ca="1">IFERROR(__xludf.DUMMYFUNCTION("""COMPUTED_VALUE"""),"1011/2024")</f>
        <v>1011/2024</v>
      </c>
      <c r="D18" s="4" t="str">
        <f ca="1">IFERROR(__xludf.DUMMYFUNCTION("""COMPUTED_VALUE"""),"SEI-260006/029993/2024
Investigativa")</f>
        <v>SEI-260006/029993/2024
Investigativa</v>
      </c>
      <c r="E18" s="4"/>
      <c r="F18" s="4" t="str">
        <f ca="1">IFERROR(__xludf.DUMMYFUNCTION("""COMPUTED_VALUE"""),"Assédio moral/sexual/discriminação.")</f>
        <v>Assédio moral/sexual/discriminação.</v>
      </c>
      <c r="G18" s="4" t="str">
        <f ca="1">IFERROR(__xludf.DUMMYFUNCTION("""COMPUTED_VALUE"""),"Denúncia")</f>
        <v>Denúncia</v>
      </c>
      <c r="H18" s="4" t="str">
        <f ca="1">IFERROR(__xludf.DUMMYFUNCTION("""COMPUTED_VALUE"""),"Assédio moral/sexual/discriminação., Denúncia")</f>
        <v>Assédio moral/sexual/discriminação., Denúncia</v>
      </c>
      <c r="I18" s="4" t="str">
        <f ca="1">IFERROR(__xludf.DUMMYFUNCTION("""COMPUTED_VALUE"""),"Denúncia de assédio moral. Apurar eventual irregularidade dos Processos nº SEI-260007/010999/2023, SEI-260007/026015/2022, SEI-260007/022015/2023 e SEI-260007/008189/2022;")</f>
        <v>Denúncia de assédio moral. Apurar eventual irregularidade dos Processos nº SEI-260007/010999/2023, SEI-260007/026015/2022, SEI-260007/022015/2023 e SEI-260007/008189/2022;</v>
      </c>
      <c r="J18" s="4" t="str">
        <f ca="1">IFERROR(__xludf.DUMMYFUNCTION("""COMPUTED_VALUE"""),"PORTARIA Nº 1011//2024 - INSTAURA sindicância para apuração de eventual irregularidade objeto dos processos nºs SEI-260007/010999/2023, SEI-260007/026015/2022, SEI-260007/022015/2023 e SEI-260007/008189/2022, bem como os fatos conexos que emergirem no dec"&amp;"orrer dos trabalhos, designando para procedê-la no prazo de 30 dias, contados da data da publicação no DOERJ, Comissão integrada pelos servidores BIANCA FAERTES NASCIMENTO BARBOSA - matrícula nº 36.194-9, MARCELO DOS SANTOS BENTO - matrícula nº 33.897-0, "&amp;"KAROLYNNE DE ARAUJO MARINS JOSÉ ROCHA - matrícula nº 35.698-0, sob a presidência da primeira. Processo nº SEI-260007/010999/2023.")</f>
        <v>PORTARIA Nº 1011//2024 - INSTAURA sindicância para apuração de eventual irregularidade objeto dos processos nºs SEI-260007/010999/2023, SEI-260007/026015/2022, SEI-260007/022015/2023 e SEI-260007/008189/2022, bem como os fatos conexos que emergirem no decorrer dos trabalhos, designando para procedê-la no prazo de 30 dias, contados da data da publicação no DOERJ, Comissão integrada pelos servidores BIANCA FAERTES NASCIMENTO BARBOSA - matrícula nº 36.194-9, MARCELO DOS SANTOS BENTO - matrícula nº 33.897-0, KAROLYNNE DE ARAUJO MARINS JOSÉ ROCHA - matrícula nº 35.698-0, sob a presidência da primeira. Processo nº SEI-260007/010999/2023.</v>
      </c>
      <c r="K18" s="4"/>
      <c r="L18" s="6">
        <f ca="1">IFERROR(__xludf.DUMMYFUNCTION("""COMPUTED_VALUE"""),45446)</f>
        <v>45446</v>
      </c>
      <c r="M18" s="6">
        <f ca="1">IFERROR(__xludf.DUMMYFUNCTION("""COMPUTED_VALUE"""),45448)</f>
        <v>45448</v>
      </c>
      <c r="N18" s="6">
        <f ca="1">IFERROR(__xludf.DUMMYFUNCTION("""COMPUTED_VALUE"""),45486)</f>
        <v>45486</v>
      </c>
      <c r="O18" s="6">
        <f ca="1">IFERROR(__xludf.DUMMYFUNCTION("""COMPUTED_VALUE"""),45487)</f>
        <v>45487</v>
      </c>
      <c r="P18" s="4" t="str">
        <f ca="1">IFERROR(__xludf.DUMMYFUNCTION("""COMPUTED_VALUE"""),"Processo finalizado. Decisão da Reitoria em 12/03/2026")</f>
        <v>Processo finalizado. Decisão da Reitoria em 12/03/2026</v>
      </c>
      <c r="Q18" s="6">
        <f ca="1">IFERROR(__xludf.DUMMYFUNCTION("""COMPUTED_VALUE"""),46217)</f>
        <v>46217</v>
      </c>
      <c r="R18" s="4" t="str">
        <f ca="1">IFERROR(__xludf.DUMMYFUNCTION("""COMPUTED_VALUE"""),"O processo durou 647 dias entre a assinatura do despacho de autorização de abertura do PAD pelo Reitor e a assinatura do despacho de concordância/divergência pelo mesmo.")</f>
        <v>O processo durou 647 dias entre a assinatura do despacho de autorização de abertura do PAD pelo Reitor e a assinatura do despacho de concordância/divergência pelo mesmo.</v>
      </c>
      <c r="S18" s="6">
        <f ca="1">IFERROR(__xludf.DUMMYFUNCTION("""COMPUTED_VALUE"""),47313)</f>
        <v>47313</v>
      </c>
      <c r="T18" s="4" t="str">
        <f ca="1">IFERROR(__xludf.DUMMYFUNCTION("""COMPUTED_VALUE"""),"Hannah Oliveira")</f>
        <v>Hannah Oliveira</v>
      </c>
      <c r="U18" s="4" t="str">
        <f ca="1">IFERROR(__xludf.DUMMYFUNCTION("""COMPUTED_VALUE"""),"Felipe Perdigão")</f>
        <v>Felipe Perdigão</v>
      </c>
      <c r="V18" s="4" t="str">
        <f ca="1">IFERROR(__xludf.DUMMYFUNCTION("""COMPUTED_VALUE"""),"Karolynne Rocha")</f>
        <v>Karolynne Rocha</v>
      </c>
      <c r="W18" s="4" t="str">
        <f ca="1">IFERROR(__xludf.DUMMYFUNCTION("""COMPUTED_VALUE"""),"Micheline")</f>
        <v>Micheline</v>
      </c>
      <c r="X18" s="4" t="str">
        <f ca="1">IFERROR(__xludf.DUMMYFUNCTION("""COMPUTED_VALUE"""),"Não")</f>
        <v>Não</v>
      </c>
      <c r="Y18" s="4" t="str">
        <f ca="1">IFERROR(__xludf.DUMMYFUNCTION("""COMPUTED_VALUE"""),"SEI-260007/010999/2023")</f>
        <v>SEI-260007/010999/2023</v>
      </c>
      <c r="Z18" s="4" t="str">
        <f ca="1">IFERROR(__xludf.DUMMYFUNCTION("""COMPUTED_VALUE"""),"S-Resposta do Reitor/Anotado.")</f>
        <v>S-Resposta do Reitor/Anotado.</v>
      </c>
      <c r="AA18" s="4"/>
      <c r="AB18" s="4"/>
    </row>
    <row r="19" spans="1:28" x14ac:dyDescent="0.2">
      <c r="A19" s="4" t="str">
        <f t="shared" ca="1" si="0"/>
        <v>SEI-260006/024578/2024</v>
      </c>
      <c r="B19" s="4" t="str">
        <f t="shared" ca="1" si="1"/>
        <v>Investigativa</v>
      </c>
      <c r="C19" s="4" t="str">
        <f ca="1">IFERROR(__xludf.DUMMYFUNCTION("""COMPUTED_VALUE"""),"1127/2024")</f>
        <v>1127/2024</v>
      </c>
      <c r="D19" s="4" t="str">
        <f ca="1">IFERROR(__xludf.DUMMYFUNCTION("""COMPUTED_VALUE"""),"SEI-260006/024578/2024
Investigativa")</f>
        <v>SEI-260006/024578/2024
Investigativa</v>
      </c>
      <c r="E19" s="4"/>
      <c r="F19" s="4" t="str">
        <f ca="1">IFERROR(__xludf.DUMMYFUNCTION("""COMPUTED_VALUE"""),"Desvio de conduta")</f>
        <v>Desvio de conduta</v>
      </c>
      <c r="G19" s="4" t="str">
        <f ca="1">IFERROR(__xludf.DUMMYFUNCTION("""COMPUTED_VALUE"""),"Outros.")</f>
        <v>Outros.</v>
      </c>
      <c r="H19" s="4" t="str">
        <f ca="1">IFERROR(__xludf.DUMMYFUNCTION("""COMPUTED_VALUE"""),"Denúncia, Insubordinação., Outros.")</f>
        <v>Denúncia, Insubordinação., Outros.</v>
      </c>
      <c r="I19" s="4" t="str">
        <f ca="1">IFERROR(__xludf.DUMMYFUNCTION("""COMPUTED_VALUE"""),"Investigar denúncias sobre violação de deveres de urbanidade e boa conduta, a proibição de exercício de cargo
ou função pública antes de atendidos os requisitos legais, além da insubordinação grave em serviço.")</f>
        <v>Investigar denúncias sobre violação de deveres de urbanidade e boa conduta, a proibição de exercício de cargo
ou função pública antes de atendidos os requisitos legais, além da insubordinação grave em serviço.</v>
      </c>
      <c r="J19" s="4" t="str">
        <f ca="1">IFERROR(__xludf.DUMMYFUNCTION("""COMPUTED_VALUE"""),"PORTARIA Nº 1027/2024 - INSTAURA Sindicância Investigativa para, no prazo de 30 dias, contados da data da publicação, apurar eventual irregularidade objeto do processo nº SEI-260007/055331/2023, bem como os fatos conexos que emergirem no decorrer dos trab"&amp;"alhos, designando para procedê-la, Comissão, integrada por GABRIEL M. DE OLIVEIRA, matr. nº 40.015-0, MARCELO F. DE OLIVEIRA, matr. nº 31.161-3, ALESSANDRA DE A. ABELHEIRA, matr. nº 34.427-5, sob a presidência do primeiro")</f>
        <v>PORTARIA Nº 1027/2024 - INSTAURA Sindicância Investigativa para, no prazo de 30 dias, contados da data da publicação, apurar eventual irregularidade objeto do processo nº SEI-260007/055331/2023, bem como os fatos conexos que emergirem no decorrer dos trabalhos, designando para procedê-la, Comissão, integrada por GABRIEL M. DE OLIVEIRA, matr. nº 40.015-0, MARCELO F. DE OLIVEIRA, matr. nº 31.161-3, ALESSANDRA DE A. ABELHEIRA, matr. nº 34.427-5, sob a presidência do primeiro</v>
      </c>
      <c r="K19" s="4"/>
      <c r="L19" s="6">
        <f ca="1">IFERROR(__xludf.DUMMYFUNCTION("""COMPUTED_VALUE"""),45447)</f>
        <v>45447</v>
      </c>
      <c r="M19" s="6">
        <f ca="1">IFERROR(__xludf.DUMMYFUNCTION("""COMPUTED_VALUE"""),45460)</f>
        <v>45460</v>
      </c>
      <c r="N19" s="6">
        <f ca="1">IFERROR(__xludf.DUMMYFUNCTION("""COMPUTED_VALUE"""),45498)</f>
        <v>45498</v>
      </c>
      <c r="O19" s="6">
        <f ca="1">IFERROR(__xludf.DUMMYFUNCTION("""COMPUTED_VALUE"""),45499)</f>
        <v>45499</v>
      </c>
      <c r="P19" s="4" t="str">
        <f ca="1">IFERROR(__xludf.DUMMYFUNCTION("""COMPUTED_VALUE"""),"Enviado para a PGUERJ em 07/11//2025")</f>
        <v>Enviado para a PGUERJ em 07/11//2025</v>
      </c>
      <c r="Q19" s="6">
        <f ca="1">IFERROR(__xludf.DUMMYFUNCTION("""COMPUTED_VALUE"""),46229)</f>
        <v>46229</v>
      </c>
      <c r="R19" s="4" t="str">
        <f ca="1">IFERROR(__xludf.DUMMYFUNCTION("""COMPUTED_VALUE"""),"Enviado para a PGUERJ em 07/11//2025")</f>
        <v>Enviado para a PGUERJ em 07/11//2025</v>
      </c>
      <c r="S19" s="6">
        <f ca="1">IFERROR(__xludf.DUMMYFUNCTION("""COMPUTED_VALUE"""),47325)</f>
        <v>47325</v>
      </c>
      <c r="T19" s="4" t="str">
        <f ca="1">IFERROR(__xludf.DUMMYFUNCTION("""COMPUTED_VALUE"""),"Alessandra Abelheira")</f>
        <v>Alessandra Abelheira</v>
      </c>
      <c r="U19" s="4" t="str">
        <f ca="1">IFERROR(__xludf.DUMMYFUNCTION("""COMPUTED_VALUE"""),"Marcelo Ferreira")</f>
        <v>Marcelo Ferreira</v>
      </c>
      <c r="V19" s="4" t="str">
        <f ca="1">IFERROR(__xludf.DUMMYFUNCTION("""COMPUTED_VALUE"""),"Thiago Rocha")</f>
        <v>Thiago Rocha</v>
      </c>
      <c r="W19" s="4" t="str">
        <f ca="1">IFERROR(__xludf.DUMMYFUNCTION("""COMPUTED_VALUE"""),"Felipe")</f>
        <v>Felipe</v>
      </c>
      <c r="X19" s="4" t="str">
        <f ca="1">IFERROR(__xludf.DUMMYFUNCTION("""COMPUTED_VALUE"""),"Não")</f>
        <v>Não</v>
      </c>
      <c r="Y19" s="4" t="str">
        <f ca="1">IFERROR(__xludf.DUMMYFUNCTION("""COMPUTED_VALUE"""),"SEI-260007/023041/2023
SEI-260007/055331/2023")</f>
        <v>SEI-260007/023041/2023
SEI-260007/055331/2023</v>
      </c>
      <c r="Z19" s="4" t="str">
        <f ca="1">IFERROR(__xludf.DUMMYFUNCTION("""COMPUTED_VALUE"""),"C-Envio à PG/ Encerrado.")</f>
        <v>C-Envio à PG/ Encerrado.</v>
      </c>
      <c r="AA19" s="4"/>
      <c r="AB19" s="4"/>
    </row>
    <row r="20" spans="1:28" x14ac:dyDescent="0.2">
      <c r="A20" s="4" t="str">
        <f t="shared" ca="1" si="0"/>
        <v>SEI-260006/030642/2024</v>
      </c>
      <c r="B20" s="4" t="str">
        <f t="shared" ca="1" si="1"/>
        <v>investigativa</v>
      </c>
      <c r="C20" s="4" t="str">
        <f ca="1">IFERROR(__xludf.DUMMYFUNCTION("""COMPUTED_VALUE"""),"1175/2024")</f>
        <v>1175/2024</v>
      </c>
      <c r="D20" s="4" t="str">
        <f ca="1">IFERROR(__xludf.DUMMYFUNCTION("""COMPUTED_VALUE"""),"SEI-260006/030642/2024 investigativa")</f>
        <v>SEI-260006/030642/2024 investigativa</v>
      </c>
      <c r="E20" s="4"/>
      <c r="F20" s="4" t="str">
        <f ca="1">IFERROR(__xludf.DUMMYFUNCTION("""COMPUTED_VALUE"""),"Assédio moral/sexual/discriminação.")</f>
        <v>Assédio moral/sexual/discriminação.</v>
      </c>
      <c r="G20" s="4" t="str">
        <f ca="1">IFERROR(__xludf.DUMMYFUNCTION("""COMPUTED_VALUE"""),"Assédio moral/sexual/discriminação.")</f>
        <v>Assédio moral/sexual/discriminação.</v>
      </c>
      <c r="H20" s="4" t="str">
        <f ca="1">IFERROR(__xludf.DUMMYFUNCTION("""COMPUTED_VALUE"""),"Denúncia, Assédio moral/sexual/discriminação.")</f>
        <v>Denúncia, Assédio moral/sexual/discriminação.</v>
      </c>
      <c r="I20" s="4" t="str">
        <f ca="1">IFERROR(__xludf.DUMMYFUNCTION("""COMPUTED_VALUE"""),"Apurar denúncia realizada na Ouvidoria, onde aluno e servidor do Instituto de Física, cedido pela SEEDUC, relata suposto assédio cometido pelos docentes ALAN FREITAS MACHADO e  LAÍS RODRIGUES DA SILVA")</f>
        <v>Apurar denúncia realizada na Ouvidoria, onde aluno e servidor do Instituto de Física, cedido pela SEEDUC, relata suposto assédio cometido pelos docentes ALAN FREITAS MACHADO e  LAÍS RODRIGUES DA SILVA</v>
      </c>
      <c r="J20" s="4" t="str">
        <f ca="1">IFERROR(__xludf.DUMMYFUNCTION("""COMPUTED_VALUE"""),"PORTARIA Nº 1175/2024 - INSTAURA Sindicância Investigativa para, no prazo de 30 dias, contados da data da publicação, apurar eventual irregularidade objeto do Processo nº SEI-260007/055006/2023, bem como os fatos conexos que emergirem no decorrer dos trab"&amp;"alhos, designando para procedê-la no prazo de 30 dias, contados da data da publicação, Comissão integrada pelos servidores: PATRÍCIA GLIOCHE, matr. 33.968-9, GABRIEL M. DE OLIVEIRA, matr. 40.015-0, HANNAH O. COUTINHO, mat: 36.994-2, sob a presidência do p"&amp;"rimeiro - Processo nº SEI-260007/055006/2023.    PORTARIA  N.º 532/REITORIA/2025 DE 14 DE julho DE 2025- A REITORA DA UNIVERSIDADE DO ESTADO DO RIO DE JANEIRO, no uso de suas atribuições e tendo em vista o disposto nos Processos nº SEI-260006/034579/2025 "&amp;"e SEI-260006/030642/2024, RESOLVE: Art. 1º - Designar Karolynne de A. Marins José Rocha, matr. 35.698-0 para integrar a Comissão de Sindicância Investigativa, em substituição à Gabriel Moraes de Oliveira, Matr. 40.015-0.
Art. 2º - Esta portaria entra em v"&amp;"igor na data da publicação.")</f>
        <v>PORTARIA Nº 1175/2024 - INSTAURA Sindicância Investigativa para, no prazo de 30 dias, contados da data da publicação, apurar eventual irregularidade objeto do Processo nº SEI-260007/055006/2023, bem como os fatos conexos que emergirem no decorrer dos trabalhos, designando para procedê-la no prazo de 30 dias, contados da data da publicação, Comissão integrada pelos servidores: PATRÍCIA GLIOCHE, matr. 33.968-9, GABRIEL M. DE OLIVEIRA, matr. 40.015-0, HANNAH O. COUTINHO, mat: 36.994-2, sob a presidência do primeiro - Processo nº SEI-260007/055006/2023.    PORTARIA  N.º 532/REITORIA/2025 DE 14 DE julho DE 2025- A REITORA DA UNIVERSIDADE DO ESTADO DO RIO DE JANEIRO, no uso de suas atribuições e tendo em vista o disposto nos Processos nº SEI-260006/034579/2025 e SEI-260006/030642/2024, RESOLVE: Art. 1º - Designar Karolynne de A. Marins José Rocha, matr. 35.698-0 para integrar a Comissão de Sindicância Investigativa, em substituição à Gabriel Moraes de Oliveira, Matr. 40.015-0.
Art. 2º - Esta portaria entra em vigor na data da publicação.</v>
      </c>
      <c r="K20" s="4"/>
      <c r="L20" s="6">
        <f ca="1">IFERROR(__xludf.DUMMYFUNCTION("""COMPUTED_VALUE"""),45477)</f>
        <v>45477</v>
      </c>
      <c r="M20" s="6">
        <f ca="1">IFERROR(__xludf.DUMMYFUNCTION("""COMPUTED_VALUE"""),45478)</f>
        <v>45478</v>
      </c>
      <c r="N20" s="6">
        <f ca="1">IFERROR(__xludf.DUMMYFUNCTION("""COMPUTED_VALUE"""),45516)</f>
        <v>45516</v>
      </c>
      <c r="O20" s="6">
        <f ca="1">IFERROR(__xludf.DUMMYFUNCTION("""COMPUTED_VALUE"""),45517)</f>
        <v>45517</v>
      </c>
      <c r="P20" s="4" t="str">
        <f ca="1">IFERROR(__xludf.DUMMYFUNCTION("""COMPUTED_VALUE"""),"Prazo expirado")</f>
        <v>Prazo expirado</v>
      </c>
      <c r="Q20" s="6">
        <f ca="1">IFERROR(__xludf.DUMMYFUNCTION("""COMPUTED_VALUE"""),46247)</f>
        <v>46247</v>
      </c>
      <c r="R20" s="4">
        <f ca="1">IFERROR(__xludf.DUMMYFUNCTION("""COMPUTED_VALUE"""),1060)</f>
        <v>1060</v>
      </c>
      <c r="S20" s="6">
        <f ca="1">IFERROR(__xludf.DUMMYFUNCTION("""COMPUTED_VALUE"""),47343)</f>
        <v>47343</v>
      </c>
      <c r="T20" s="4" t="str">
        <f ca="1">IFERROR(__xludf.DUMMYFUNCTION("""COMPUTED_VALUE"""),"Patrícia Glioche")</f>
        <v>Patrícia Glioche</v>
      </c>
      <c r="U20" s="4" t="str">
        <f ca="1">IFERROR(__xludf.DUMMYFUNCTION("""COMPUTED_VALUE"""),"Hannah Oliveira")</f>
        <v>Hannah Oliveira</v>
      </c>
      <c r="V20" s="4" t="str">
        <f ca="1">IFERROR(__xludf.DUMMYFUNCTION("""COMPUTED_VALUE"""),"Karolynne Rocha")</f>
        <v>Karolynne Rocha</v>
      </c>
      <c r="W20" s="4" t="str">
        <f ca="1">IFERROR(__xludf.DUMMYFUNCTION("""COMPUTED_VALUE"""),"Isadora")</f>
        <v>Isadora</v>
      </c>
      <c r="X20" s="4" t="str">
        <f ca="1">IFERROR(__xludf.DUMMYFUNCTION("""COMPUTED_VALUE"""),"Não")</f>
        <v>Não</v>
      </c>
      <c r="Y20" s="4" t="str">
        <f ca="1">IFERROR(__xludf.DUMMYFUNCTION("""COMPUTED_VALUE"""),"SEI-260007/055006/2023.")</f>
        <v>SEI-260007/055006/2023.</v>
      </c>
      <c r="Z20" s="4" t="str">
        <f ca="1">IFERROR(__xludf.DUMMYFUNCTION("""COMPUTED_VALUE"""),"C-Relatório final")</f>
        <v>C-Relatório final</v>
      </c>
      <c r="AA20" s="4"/>
      <c r="AB20" s="4"/>
    </row>
    <row r="21" spans="1:28" x14ac:dyDescent="0.2">
      <c r="A21" s="4" t="str">
        <f t="shared" ca="1" si="0"/>
        <v>SEI-260006/031609/2024</v>
      </c>
      <c r="B21" s="4" t="str">
        <f t="shared" ca="1" si="1"/>
        <v>Investigativa</v>
      </c>
      <c r="C21" s="4" t="str">
        <f ca="1">IFERROR(__xludf.DUMMYFUNCTION("""COMPUTED_VALUE"""),"1071/2024")</f>
        <v>1071/2024</v>
      </c>
      <c r="D21" s="4" t="str">
        <f ca="1">IFERROR(__xludf.DUMMYFUNCTION("""COMPUTED_VALUE"""),"SEI-260006/031609/2024
Investigativa")</f>
        <v>SEI-260006/031609/2024
Investigativa</v>
      </c>
      <c r="E21" s="4" t="str">
        <f ca="1">IFERROR(__xludf.DUMMYFUNCTION("""COMPUTED_VALUE"""),"FAT")</f>
        <v>FAT</v>
      </c>
      <c r="F21" s="4" t="str">
        <f ca="1">IFERROR(__xludf.DUMMYFUNCTION("""COMPUTED_VALUE"""),"Assédio moral/sexual/discriminação.")</f>
        <v>Assédio moral/sexual/discriminação.</v>
      </c>
      <c r="G21" s="4" t="str">
        <f ca="1">IFERROR(__xludf.DUMMYFUNCTION("""COMPUTED_VALUE"""),"Denúncia")</f>
        <v>Denúncia</v>
      </c>
      <c r="H21" s="4" t="str">
        <f ca="1">IFERROR(__xludf.DUMMYFUNCTION("""COMPUTED_VALUE"""),"Assédio moral/sexual/discriminação, Denúncia")</f>
        <v>Assédio moral/sexual/discriminação, Denúncia</v>
      </c>
      <c r="I21" s="4" t="str">
        <f ca="1">IFERROR(__xludf.DUMMYFUNCTION("""COMPUTED_VALUE"""),"Apuração de denúncia encaminhada à Ouvidoria pelo servidor Bernardo Bastos da Fonseca, então Vice-Diretor da Faculdade de Tecnologia (FAT/UERJ), relatando a prática de supostos atos de assédio moral, retaliação e abuso de poder por Dener Martins dos Santo"&amp;"s, Diretor da unidade. Originários SEI-260007/003884/2023 e SEI-260006/003331/2024.")</f>
        <v>Apuração de denúncia encaminhada à Ouvidoria pelo servidor Bernardo Bastos da Fonseca, então Vice-Diretor da Faculdade de Tecnologia (FAT/UERJ), relatando a prática de supostos atos de assédio moral, retaliação e abuso de poder por Dener Martins dos Santos, Diretor da unidade. Originários SEI-260007/003884/2023 e SEI-260006/003331/2024.</v>
      </c>
      <c r="J21" s="4" t="str">
        <f ca="1">IFERROR(__xludf.DUMMYFUNCTION("""COMPUTED_VALUE"""),"PORTARIA Nº 1071/2024 - INSTAURA Sindicância Investigativa para, no prazo de 30 dias, contados da data da publicação, apurar eventual irregularidade objeto do processo SEI-260007/003884/2023 e , bem como os fatos conexos que emergirem no decorrer dos trab"&amp;"alhos, designando para procedê-la, Comissão, integrada por Marcelo dos Santos Bento, matr. 33.897-0, Karolynne de A. Marins José Rocha, matr. 35.698-0 e Marcelo Ferreira de Oliveira, matr. 31.161-3, sob a presidência do primeiro")</f>
        <v>PORTARIA Nº 1071/2024 - INSTAURA Sindicância Investigativa para, no prazo de 30 dias, contados da data da publicação, apurar eventual irregularidade objeto do processo SEI-260007/003884/2023 e , bem como os fatos conexos que emergirem no decorrer dos trabalhos, designando para procedê-la, Comissão, integrada por Marcelo dos Santos Bento, matr. 33.897-0, Karolynne de A. Marins José Rocha, matr. 35.698-0 e Marcelo Ferreira de Oliveira, matr. 31.161-3, sob a presidência do primeiro</v>
      </c>
      <c r="K21" s="4" t="str">
        <f ca="1">IFERROR(__xludf.DUMMYFUNCTION("""COMPUTED_VALUE"""),"Não")</f>
        <v>Não</v>
      </c>
      <c r="L21" s="6">
        <f ca="1">IFERROR(__xludf.DUMMYFUNCTION("""COMPUTED_VALUE"""),45455)</f>
        <v>45455</v>
      </c>
      <c r="M21" s="6">
        <f ca="1">IFERROR(__xludf.DUMMYFUNCTION("""COMPUTED_VALUE"""),45481)</f>
        <v>45481</v>
      </c>
      <c r="N21" s="6">
        <f ca="1">IFERROR(__xludf.DUMMYFUNCTION("""COMPUTED_VALUE"""),45519)</f>
        <v>45519</v>
      </c>
      <c r="O21" s="6">
        <f ca="1">IFERROR(__xludf.DUMMYFUNCTION("""COMPUTED_VALUE"""),45520)</f>
        <v>45520</v>
      </c>
      <c r="P21" s="4" t="str">
        <f ca="1">IFERROR(__xludf.DUMMYFUNCTION("""COMPUTED_VALUE"""),"Complete os campos destacados em vermelho")</f>
        <v>Complete os campos destacados em vermelho</v>
      </c>
      <c r="Q21" s="6">
        <f ca="1">IFERROR(__xludf.DUMMYFUNCTION("""COMPUTED_VALUE"""),46250)</f>
        <v>46250</v>
      </c>
      <c r="R21" s="4" t="str">
        <f ca="1">IFERROR(__xludf.DUMMYFUNCTION("""COMPUTED_VALUE"""),"Complete os campos destacados em vermelho")</f>
        <v>Complete os campos destacados em vermelho</v>
      </c>
      <c r="S21" s="6">
        <f ca="1">IFERROR(__xludf.DUMMYFUNCTION("""COMPUTED_VALUE"""),47346)</f>
        <v>47346</v>
      </c>
      <c r="T21" s="4" t="str">
        <f ca="1">IFERROR(__xludf.DUMMYFUNCTION("""COMPUTED_VALUE"""),"Marcelo Bento")</f>
        <v>Marcelo Bento</v>
      </c>
      <c r="U21" s="4" t="str">
        <f ca="1">IFERROR(__xludf.DUMMYFUNCTION("""COMPUTED_VALUE"""),"Karolynne Rocha")</f>
        <v>Karolynne Rocha</v>
      </c>
      <c r="V21" s="4" t="str">
        <f ca="1">IFERROR(__xludf.DUMMYFUNCTION("""COMPUTED_VALUE"""),"Marcelo Ferreira")</f>
        <v>Marcelo Ferreira</v>
      </c>
      <c r="W21" s="4" t="str">
        <f ca="1">IFERROR(__xludf.DUMMYFUNCTION("""COMPUTED_VALUE"""),"Isadora")</f>
        <v>Isadora</v>
      </c>
      <c r="X21" s="4" t="str">
        <f ca="1">IFERROR(__xludf.DUMMYFUNCTION("""COMPUTED_VALUE"""),"Não")</f>
        <v>Não</v>
      </c>
      <c r="Y21" s="4" t="str">
        <f ca="1">IFERROR(__xludf.DUMMYFUNCTION("""COMPUTED_VALUE"""),"SEI-260007/003884/2023 e SEI-260006/003331/2024")</f>
        <v>SEI-260007/003884/2023 e SEI-260006/003331/2024</v>
      </c>
      <c r="Z21" s="4" t="str">
        <f ca="1">IFERROR(__xludf.DUMMYFUNCTION("""COMPUTED_VALUE"""),"C-Envio à PG/ Encerrado.")</f>
        <v>C-Envio à PG/ Encerrado.</v>
      </c>
      <c r="AA21" s="4"/>
      <c r="AB21" s="4"/>
    </row>
    <row r="22" spans="1:28" x14ac:dyDescent="0.2">
      <c r="A22" s="4" t="str">
        <f t="shared" ca="1" si="0"/>
        <v>SEI-260006/032837/2024</v>
      </c>
      <c r="B22" s="4" t="str">
        <f t="shared" ca="1" si="1"/>
        <v>Contraditória</v>
      </c>
      <c r="C22" s="4" t="str">
        <f ca="1">IFERROR(__xludf.DUMMYFUNCTION("""COMPUTED_VALUE"""),"1241/2024")</f>
        <v>1241/2024</v>
      </c>
      <c r="D22" s="4" t="str">
        <f ca="1">IFERROR(__xludf.DUMMYFUNCTION("""COMPUTED_VALUE"""),"SEI-260006/032837/2024
Contraditória")</f>
        <v>SEI-260006/032837/2024
Contraditória</v>
      </c>
      <c r="E22" s="4" t="str">
        <f ca="1">IFERROR(__xludf.DUMMYFUNCTION("""COMPUTED_VALUE"""),"Alcidésio de Oliveira Junior")</f>
        <v>Alcidésio de Oliveira Junior</v>
      </c>
      <c r="F22" s="4" t="str">
        <f ca="1">IFERROR(__xludf.DUMMYFUNCTION("""COMPUTED_VALUE"""),"Assédio moral/sexual/discriminação.")</f>
        <v>Assédio moral/sexual/discriminação.</v>
      </c>
      <c r="G22" s="4" t="str">
        <f ca="1">IFERROR(__xludf.DUMMYFUNCTION("""COMPUTED_VALUE"""),"Assédio moral/sexual/discriminação.")</f>
        <v>Assédio moral/sexual/discriminação.</v>
      </c>
      <c r="H22" s="4" t="str">
        <f ca="1">IFERROR(__xludf.DUMMYFUNCTION("""COMPUTED_VALUE"""),"Assédio moral/sexual/discriminação, Denúncia")</f>
        <v>Assédio moral/sexual/discriminação, Denúncia</v>
      </c>
      <c r="I22" s="4" t="str">
        <f ca="1">IFERROR(__xludf.DUMMYFUNCTION("""COMPUTED_VALUE"""),"Apurar denúncia realizadas por pais de discentes, em razão de condutas inadequadas do professor Alcidésio de Oliveira Junior no CAP. ")</f>
        <v xml:space="preserve">Apurar denúncia realizadas por pais de discentes, em razão de condutas inadequadas do professor Alcidésio de Oliveira Junior no CAP. </v>
      </c>
      <c r="J22" s="4" t="str">
        <f ca="1">IFERROR(__xludf.DUMMYFUNCTION("""COMPUTED_VALUE"""),"PORTARIA Nº 1241/2024 - INSTAURA sindicância contraditória para apuração de eventual irregularidade objeto do Processo nº SEI-260007/061552/2023, bem como os fatos conexos que emergirem no decorrer dos trabalhos, designando para procedê-la, no prazo de 30"&amp;" dias contados da data da publicação no DOERJ, Comissão, integrada por PATRÍCIA MOTHÉ GLIOCHE BEZE, matr. nº 33.968-9, JEANNY CORRÊA DE ALMEIDA PASSIGATTE, matr. nº 36.183-2, HANNAH OLIVEIRA COUTINHO, matr. nº 36.994-2, sob a presidência da primeira - Pro"&amp;"cesso nº SEI-260007/061552/2023.")</f>
        <v>PORTARIA Nº 1241/2024 - INSTAURA sindicância contraditória para apuração de eventual irregularidade objeto do Processo nº SEI-260007/061552/2023, bem como os fatos conexos que emergirem no decorrer dos trabalhos, designando para procedê-la, no prazo de 30 dias contados da data da publicação no DOERJ, Comissão, integrada por PATRÍCIA MOTHÉ GLIOCHE BEZE, matr. nº 33.968-9, JEANNY CORRÊA DE ALMEIDA PASSIGATTE, matr. nº 36.183-2, HANNAH OLIVEIRA COUTINHO, matr. nº 36.994-2, sob a presidência da primeira - Processo nº SEI-260007/061552/2023.</v>
      </c>
      <c r="K22" s="4"/>
      <c r="L22" s="6">
        <f ca="1">IFERROR(__xludf.DUMMYFUNCTION("""COMPUTED_VALUE"""),45491)</f>
        <v>45491</v>
      </c>
      <c r="M22" s="6">
        <f ca="1">IFERROR(__xludf.DUMMYFUNCTION("""COMPUTED_VALUE"""),45495)</f>
        <v>45495</v>
      </c>
      <c r="N22" s="6">
        <f ca="1">IFERROR(__xludf.DUMMYFUNCTION("""COMPUTED_VALUE"""),45533)</f>
        <v>45533</v>
      </c>
      <c r="O22" s="6">
        <f ca="1">IFERROR(__xludf.DUMMYFUNCTION("""COMPUTED_VALUE"""),45534)</f>
        <v>45534</v>
      </c>
      <c r="P22" s="4" t="str">
        <f ca="1">IFERROR(__xludf.DUMMYFUNCTION("""COMPUTED_VALUE"""),"Prazo expirado")</f>
        <v>Prazo expirado</v>
      </c>
      <c r="Q22" s="6">
        <f ca="1">IFERROR(__xludf.DUMMYFUNCTION("""COMPUTED_VALUE"""),46264)</f>
        <v>46264</v>
      </c>
      <c r="R22" s="4">
        <f ca="1">IFERROR(__xludf.DUMMYFUNCTION("""COMPUTED_VALUE"""),1077)</f>
        <v>1077</v>
      </c>
      <c r="S22" s="6">
        <f ca="1">IFERROR(__xludf.DUMMYFUNCTION("""COMPUTED_VALUE"""),47360)</f>
        <v>47360</v>
      </c>
      <c r="T22" s="4" t="str">
        <f ca="1">IFERROR(__xludf.DUMMYFUNCTION("""COMPUTED_VALUE"""),"Patrícia Glioche")</f>
        <v>Patrícia Glioche</v>
      </c>
      <c r="U22" s="4" t="str">
        <f ca="1">IFERROR(__xludf.DUMMYFUNCTION("""COMPUTED_VALUE"""),"Jeanny Passigatte")</f>
        <v>Jeanny Passigatte</v>
      </c>
      <c r="V22" s="4" t="str">
        <f ca="1">IFERROR(__xludf.DUMMYFUNCTION("""COMPUTED_VALUE"""),"Hannah Oliveira")</f>
        <v>Hannah Oliveira</v>
      </c>
      <c r="W22" s="4" t="str">
        <f ca="1">IFERROR(__xludf.DUMMYFUNCTION("""COMPUTED_VALUE"""),"Patrícia")</f>
        <v>Patrícia</v>
      </c>
      <c r="X22" s="4" t="str">
        <f ca="1">IFERROR(__xludf.DUMMYFUNCTION("""COMPUTED_VALUE"""),"Não")</f>
        <v>Não</v>
      </c>
      <c r="Y22" s="4" t="str">
        <f ca="1">IFERROR(__xludf.DUMMYFUNCTION("""COMPUTED_VALUE"""),"SEI-260007/061552/2023")</f>
        <v>SEI-260007/061552/2023</v>
      </c>
      <c r="Z22" s="4" t="str">
        <f ca="1">IFERROR(__xludf.DUMMYFUNCTION("""COMPUTED_VALUE"""),"C-Relatório final")</f>
        <v>C-Relatório final</v>
      </c>
      <c r="AA22" s="4"/>
      <c r="AB22" s="4"/>
    </row>
    <row r="23" spans="1:28" x14ac:dyDescent="0.2">
      <c r="A23" s="4" t="str">
        <f t="shared" ca="1" si="0"/>
        <v>SEI-260006/034901/2024</v>
      </c>
      <c r="B23" s="4" t="str">
        <f t="shared" ca="1" si="1"/>
        <v>Contraditória</v>
      </c>
      <c r="C23" s="4" t="str">
        <f ca="1">IFERROR(__xludf.DUMMYFUNCTION("""COMPUTED_VALUE"""),"1270/2024")</f>
        <v>1270/2024</v>
      </c>
      <c r="D23" s="4" t="str">
        <f ca="1">IFERROR(__xludf.DUMMYFUNCTION("""COMPUTED_VALUE"""),"SEI-260006/034901/2024
Contraditória")</f>
        <v>SEI-260006/034901/2024
Contraditória</v>
      </c>
      <c r="E23" s="4" t="str">
        <f ca="1">IFERROR(__xludf.DUMMYFUNCTION("""COMPUTED_VALUE"""),"Celso de Oliveira Santos CPF 508 086 487-72 e Ivana Teixeira Brandão CPF 834 267 107-06;")</f>
        <v>Celso de Oliveira Santos CPF 508 086 487-72 e Ivana Teixeira Brandão CPF 834 267 107-06;</v>
      </c>
      <c r="F23" s="4" t="str">
        <f ca="1">IFERROR(__xludf.DUMMYFUNCTION("""COMPUTED_VALUE"""),"Conflito de interesses")</f>
        <v>Conflito de interesses</v>
      </c>
      <c r="G23" s="4" t="str">
        <f ca="1">IFERROR(__xludf.DUMMYFUNCTION("""COMPUTED_VALUE"""),"Denúncia")</f>
        <v>Denúncia</v>
      </c>
      <c r="H23" s="4" t="str">
        <f ca="1">IFERROR(__xludf.DUMMYFUNCTION("""COMPUTED_VALUE"""),"Projeto")</f>
        <v>Projeto</v>
      </c>
      <c r="I23" s="4" t="str">
        <f ca="1">IFERROR(__xludf.DUMMYFUNCTION("""COMPUTED_VALUE"""),"apurar todos os gastos referentes aos cartões corporativos relacionados nos processos: SEI-310003/005342/2023, SEI-310003/004149/2023 e SEI-310003/005604/2023 - Projeto PIBA, Conta SIDES nº 22935-0, agência 6897, Gestores: Celso de Oliveira Santos ")</f>
        <v xml:space="preserve">apurar todos os gastos referentes aos cartões corporativos relacionados nos processos: SEI-310003/005342/2023, SEI-310003/004149/2023 e SEI-310003/005604/2023 - Projeto PIBA, Conta SIDES nº 22935-0, agência 6897, Gestores: Celso de Oliveira Santos </v>
      </c>
      <c r="J23" s="4" t="str">
        <f ca="1">IFERROR(__xludf.DUMMYFUNCTION("""COMPUTED_VALUE"""),"PORTARIA Nº 1270/2024 - I N S TA U R A Sindicância Contraditória para,no prazo de 30 dias, contados da data da publicação, apurar eventual irregularidade objeto dos processos nºs SEI-260006/010891/2024 e SEI-260006/025718/2024, bem como os fatos conexos q"&amp;"ue emergirem no decorrer dos trabalhos, designando para procedê-la, Comissão, integrada por GABRIEL M. DE OLIVEIRA, matr. nº 40.015-0; KAROLYNNE DE A. M. JOSÉ ROCHA, matr. 35.698-0; MARCELO F. OLIVEIRA, matr. 31.161-3, sob a presidência do primeiro. Proce"&amp;"sso nº SEI-260006/010891/2024
_____________________________________
PORTARIA Nº 1053/2025 - DESIGNA os servidores CELSO LUIZ MOREIRA PIERONI, matr. nº 39.595-4 para integrar a Comissão de Sindicância Contraditória, em substituição à Bianca F. N. Barbosa, "&amp;"matr. nº 36.194-9 e KAROLYNNE DE A. M. JOSÉ ROCHA, matr. nº 35.698-0 como presidente dessa Comissão. Processo nº SEI260006/053038/2025")</f>
        <v>PORTARIA Nº 1270/2024 - I N S TA U R A Sindicância Contraditória para,no prazo de 30 dias, contados da data da publicação, apurar eventual irregularidade objeto dos processos nºs SEI-260006/010891/2024 e SEI-260006/025718/2024, bem como os fatos conexos que emergirem no decorrer dos trabalhos, designando para procedê-la, Comissão, integrada por GABRIEL M. DE OLIVEIRA, matr. nº 40.015-0; KAROLYNNE DE A. M. JOSÉ ROCHA, matr. 35.698-0; MARCELO F. OLIVEIRA, matr. 31.161-3, sob a presidência do primeiro. Processo nº SEI-260006/010891/2024
_____________________________________
PORTARIA Nº 1053/2025 - DESIGNA os servidores CELSO LUIZ MOREIRA PIERONI, matr. nº 39.595-4 para integrar a Comissão de Sindicância Contraditória, em substituição à Bianca F. N. Barbosa, matr. nº 36.194-9 e KAROLYNNE DE A. M. JOSÉ ROCHA, matr. nº 35.698-0 como presidente dessa Comissão. Processo nº SEI260006/053038/2025</v>
      </c>
      <c r="K23" s="4"/>
      <c r="L23" s="6">
        <f ca="1">IFERROR(__xludf.DUMMYFUNCTION("""COMPUTED_VALUE"""),45502)</f>
        <v>45502</v>
      </c>
      <c r="M23" s="6">
        <f ca="1">IFERROR(__xludf.DUMMYFUNCTION("""COMPUTED_VALUE"""),45504)</f>
        <v>45504</v>
      </c>
      <c r="N23" s="6">
        <f ca="1">IFERROR(__xludf.DUMMYFUNCTION("""COMPUTED_VALUE"""),45542)</f>
        <v>45542</v>
      </c>
      <c r="O23" s="6">
        <f ca="1">IFERROR(__xludf.DUMMYFUNCTION("""COMPUTED_VALUE"""),45543)</f>
        <v>45543</v>
      </c>
      <c r="P23" s="4" t="str">
        <f ca="1">IFERROR(__xludf.DUMMYFUNCTION("""COMPUTED_VALUE"""),"Enviado para a PGUERJ em 27/05/2026")</f>
        <v>Enviado para a PGUERJ em 27/05/2026</v>
      </c>
      <c r="Q23" s="6">
        <f ca="1">IFERROR(__xludf.DUMMYFUNCTION("""COMPUTED_VALUE"""),46273)</f>
        <v>46273</v>
      </c>
      <c r="R23" s="4" t="str">
        <f ca="1">IFERROR(__xludf.DUMMYFUNCTION("""COMPUTED_VALUE"""),"Enviado para a PGUERJ em 27/05/2026")</f>
        <v>Enviado para a PGUERJ em 27/05/2026</v>
      </c>
      <c r="S23" s="6">
        <f ca="1">IFERROR(__xludf.DUMMYFUNCTION("""COMPUTED_VALUE"""),47369)</f>
        <v>47369</v>
      </c>
      <c r="T23" s="4" t="str">
        <f ca="1">IFERROR(__xludf.DUMMYFUNCTION("""COMPUTED_VALUE"""),"Karolynne Rocha")</f>
        <v>Karolynne Rocha</v>
      </c>
      <c r="U23" s="4" t="str">
        <f ca="1">IFERROR(__xludf.DUMMYFUNCTION("""COMPUTED_VALUE"""),"Celso Luiz Pieroni")</f>
        <v>Celso Luiz Pieroni</v>
      </c>
      <c r="V23" s="4" t="str">
        <f ca="1">IFERROR(__xludf.DUMMYFUNCTION("""COMPUTED_VALUE"""),"Marcelo Ferreira")</f>
        <v>Marcelo Ferreira</v>
      </c>
      <c r="W23" s="4" t="str">
        <f ca="1">IFERROR(__xludf.DUMMYFUNCTION("""COMPUTED_VALUE"""),"Micheline")</f>
        <v>Micheline</v>
      </c>
      <c r="X23" s="4" t="str">
        <f ca="1">IFERROR(__xludf.DUMMYFUNCTION("""COMPUTED_VALUE"""),"Não")</f>
        <v>Não</v>
      </c>
      <c r="Y23" s="4" t="str">
        <f ca="1">IFERROR(__xludf.DUMMYFUNCTION("""COMPUTED_VALUE"""),"SEI-260006/010891/2024")</f>
        <v>SEI-260006/010891/2024</v>
      </c>
      <c r="Z23" s="4" t="str">
        <f ca="1">IFERROR(__xludf.DUMMYFUNCTION("""COMPUTED_VALUE"""),"C-Envio à PG/ Encerrado.")</f>
        <v>C-Envio à PG/ Encerrado.</v>
      </c>
      <c r="AA23" s="4"/>
      <c r="AB23" s="4"/>
    </row>
    <row r="24" spans="1:28" x14ac:dyDescent="0.2">
      <c r="A24" s="4" t="str">
        <f t="shared" ca="1" si="0"/>
        <v>SEI-260006/037363/2024</v>
      </c>
      <c r="B24" s="4" t="str">
        <f t="shared" ca="1" si="1"/>
        <v>Contraditória</v>
      </c>
      <c r="C24" s="4" t="str">
        <f ca="1">IFERROR(__xludf.DUMMYFUNCTION("""COMPUTED_VALUE"""),"1306/2024")</f>
        <v>1306/2024</v>
      </c>
      <c r="D24" s="4" t="str">
        <f ca="1">IFERROR(__xludf.DUMMYFUNCTION("""COMPUTED_VALUE"""),"SEI-260006/037363/2024
Contraditória")</f>
        <v>SEI-260006/037363/2024
Contraditória</v>
      </c>
      <c r="E24" s="4" t="str">
        <f ca="1">IFERROR(__xludf.DUMMYFUNCTION("""COMPUTED_VALUE"""),"Priscila Neto Cavalcanti, 39626-7 
Marcelo Assis Mello de Baere,  39787-7
")</f>
        <v xml:space="preserve">Priscila Neto Cavalcanti, 39626-7 
Marcelo Assis Mello de Baere,  39787-7
</v>
      </c>
      <c r="F24" s="4" t="str">
        <f ca="1">IFERROR(__xludf.DUMMYFUNCTION("""COMPUTED_VALUE"""),"Desvio de conduta")</f>
        <v>Desvio de conduta</v>
      </c>
      <c r="G24" s="4" t="str">
        <f ca="1">IFERROR(__xludf.DUMMYFUNCTION("""COMPUTED_VALUE"""),"Outros.")</f>
        <v>Outros.</v>
      </c>
      <c r="H24" s="4" t="str">
        <f ca="1">IFERROR(__xludf.DUMMYFUNCTION("""COMPUTED_VALUE"""),"Outros.")</f>
        <v>Outros.</v>
      </c>
      <c r="I24" s="4" t="str">
        <f ca="1">IFERROR(__xludf.DUMMYFUNCTION("""COMPUTED_VALUE"""),"Apurar conduta de servidores que gravaram peças publicitárias para o Instagram  no terraço do Teatro Odylo Costa")</f>
        <v>Apurar conduta de servidores que gravaram peças publicitárias para o Instagram  no terraço do Teatro Odylo Costa</v>
      </c>
      <c r="J24" s="4" t="str">
        <f ca="1">IFERROR(__xludf.DUMMYFUNCTION("""COMPUTED_VALUE"""),"PORTARIA UERJ Nº 1306/2024 - INSTAURA Sindicância Contraditória para, no prazo de 30 dias, contados da data da publicação, apurar eventual irregularidade objeto do Processo nº SEI260007/058405/2023, bem como os fatos conexos que emergirem no decorrer dos "&amp;"trabalhos, designando para procedê-la, no prazo de 30 dias, contados da data da publicação no DOERJ, Comissão, integrada por BIANCA F. N. BARBOSA - matr. nº 36.194-9, HANNAH O. COUTINHO - matr. nº 36.994-2, MARCELO F. DE OLIVEIRA - matr. nº 31.161-3, sob "&amp;"a presidência da primeira. Processo nº SEI260007/058405/2023.")</f>
        <v>PORTARIA UERJ Nº 1306/2024 - INSTAURA Sindicância Contraditória para, no prazo de 30 dias, contados da data da publicação, apurar eventual irregularidade objeto do Processo nº SEI260007/058405/2023, bem como os fatos conexos que emergirem no decorrer dos trabalhos, designando para procedê-la, no prazo de 30 dias, contados da data da publicação no DOERJ, Comissão, integrada por BIANCA F. N. BARBOSA - matr. nº 36.194-9, HANNAH O. COUTINHO - matr. nº 36.994-2, MARCELO F. DE OLIVEIRA - matr. nº 31.161-3, sob a presidência da primeira. Processo nº SEI260007/058405/2023.</v>
      </c>
      <c r="K24" s="4"/>
      <c r="L24" s="6">
        <f ca="1">IFERROR(__xludf.DUMMYFUNCTION("""COMPUTED_VALUE"""),45516)</f>
        <v>45516</v>
      </c>
      <c r="M24" s="6">
        <f ca="1">IFERROR(__xludf.DUMMYFUNCTION("""COMPUTED_VALUE"""),45518)</f>
        <v>45518</v>
      </c>
      <c r="N24" s="6">
        <f ca="1">IFERROR(__xludf.DUMMYFUNCTION("""COMPUTED_VALUE"""),45556)</f>
        <v>45556</v>
      </c>
      <c r="O24" s="6">
        <f ca="1">IFERROR(__xludf.DUMMYFUNCTION("""COMPUTED_VALUE"""),45557)</f>
        <v>45557</v>
      </c>
      <c r="P24" s="4" t="str">
        <f ca="1">IFERROR(__xludf.DUMMYFUNCTION("""COMPUTED_VALUE"""),"Enviado para a PGUERJ em 11/11/2025")</f>
        <v>Enviado para a PGUERJ em 11/11/2025</v>
      </c>
      <c r="Q24" s="6">
        <f ca="1">IFERROR(__xludf.DUMMYFUNCTION("""COMPUTED_VALUE"""),46287)</f>
        <v>46287</v>
      </c>
      <c r="R24" s="4" t="str">
        <f ca="1">IFERROR(__xludf.DUMMYFUNCTION("""COMPUTED_VALUE"""),"Enviado para a PGUERJ em 11/11/2025")</f>
        <v>Enviado para a PGUERJ em 11/11/2025</v>
      </c>
      <c r="S24" s="6">
        <f ca="1">IFERROR(__xludf.DUMMYFUNCTION("""COMPUTED_VALUE"""),47383)</f>
        <v>47383</v>
      </c>
      <c r="T24" s="4" t="str">
        <f ca="1">IFERROR(__xludf.DUMMYFUNCTION("""COMPUTED_VALUE"""),"Bianca Faertes")</f>
        <v>Bianca Faertes</v>
      </c>
      <c r="U24" s="4" t="str">
        <f ca="1">IFERROR(__xludf.DUMMYFUNCTION("""COMPUTED_VALUE"""),"Hannah Oliveira")</f>
        <v>Hannah Oliveira</v>
      </c>
      <c r="V24" s="4" t="str">
        <f ca="1">IFERROR(__xludf.DUMMYFUNCTION("""COMPUTED_VALUE"""),"Marcelo Ferreira")</f>
        <v>Marcelo Ferreira</v>
      </c>
      <c r="W24" s="4" t="str">
        <f ca="1">IFERROR(__xludf.DUMMYFUNCTION("""COMPUTED_VALUE"""),"Micheline")</f>
        <v>Micheline</v>
      </c>
      <c r="X24" s="4" t="str">
        <f ca="1">IFERROR(__xludf.DUMMYFUNCTION("""COMPUTED_VALUE"""),"Não")</f>
        <v>Não</v>
      </c>
      <c r="Y24" s="4" t="str">
        <f ca="1">IFERROR(__xludf.DUMMYFUNCTION("""COMPUTED_VALUE"""),"SEI-260007/058405/2023")</f>
        <v>SEI-260007/058405/2023</v>
      </c>
      <c r="Z24" s="4" t="str">
        <f ca="1">IFERROR(__xludf.DUMMYFUNCTION("""COMPUTED_VALUE"""),"C-Envio à PG/ Encerrado.")</f>
        <v>C-Envio à PG/ Encerrado.</v>
      </c>
      <c r="AA24" s="4"/>
      <c r="AB24" s="4"/>
    </row>
    <row r="25" spans="1:28" x14ac:dyDescent="0.2">
      <c r="A25" s="4" t="str">
        <f t="shared" ca="1" si="0"/>
        <v>SEI-260006/037224/2024</v>
      </c>
      <c r="B25" s="4" t="str">
        <f t="shared" ca="1" si="1"/>
        <v>Investigativa</v>
      </c>
      <c r="C25" s="4" t="str">
        <f ca="1">IFERROR(__xludf.DUMMYFUNCTION("""COMPUTED_VALUE"""),"1325/2024")</f>
        <v>1325/2024</v>
      </c>
      <c r="D25" s="4" t="str">
        <f ca="1">IFERROR(__xludf.DUMMYFUNCTION("""COMPUTED_VALUE"""),"SEI-260006/037224/2024
Investigativa")</f>
        <v>SEI-260006/037224/2024
Investigativa</v>
      </c>
      <c r="E25" s="4"/>
      <c r="F25" s="4" t="str">
        <f ca="1">IFERROR(__xludf.DUMMYFUNCTION("""COMPUTED_VALUE"""),"Assédio moral/sexual/discriminação.")</f>
        <v>Assédio moral/sexual/discriminação.</v>
      </c>
      <c r="G25" s="4" t="str">
        <f ca="1">IFERROR(__xludf.DUMMYFUNCTION("""COMPUTED_VALUE"""),"Ofensa física")</f>
        <v>Ofensa física</v>
      </c>
      <c r="H25" s="4" t="str">
        <f ca="1">IFERROR(__xludf.DUMMYFUNCTION("""COMPUTED_VALUE"""),"Denúncia, Outros., Ofensa física")</f>
        <v>Denúncia, Outros., Ofensa física</v>
      </c>
      <c r="I25" s="4" t="str">
        <f ca="1">IFERROR(__xludf.DUMMYFUNCTION("""COMPUTED_VALUE"""),"supostas ofensas verbais e físicas e ameaça que teriam sido praticadas em detrimento do denunciante,")</f>
        <v>supostas ofensas verbais e físicas e ameaça que teriam sido praticadas em detrimento do denunciante,</v>
      </c>
      <c r="J25" s="4" t="str">
        <f ca="1">IFERROR(__xludf.DUMMYFUNCTION("""COMPUTED_VALUE"""),"PORTARIA UERJ N.º 1325/REITORIA/2024
INSTAURA Sindicância contraditória para, no prazo de 30 dias, contados da data da publicação, apurar eventual irregularidade objeto do processo nº SEI-260006/026944/2024, bem como os fatos conexos que emergirem no deco"&amp;"rrer dos trabalhos, de signando HANNAH O. COUTINHO, matr. nº 36.994-2, para realização da Sindicância.")</f>
        <v>PORTARIA UERJ N.º 1325/REITORIA/2024
INSTAURA Sindicância contraditória para, no prazo de 30 dias, contados da data da publicação, apurar eventual irregularidade objeto do processo nº SEI-260006/026944/2024, bem como os fatos conexos que emergirem no decorrer dos trabalhos, de signando HANNAH O. COUTINHO, matr. nº 36.994-2, para realização da Sindicância.</v>
      </c>
      <c r="K25" s="4"/>
      <c r="L25" s="6">
        <f ca="1">IFERROR(__xludf.DUMMYFUNCTION("""COMPUTED_VALUE"""),45520)</f>
        <v>45520</v>
      </c>
      <c r="M25" s="6">
        <f ca="1">IFERROR(__xludf.DUMMYFUNCTION("""COMPUTED_VALUE"""),45524)</f>
        <v>45524</v>
      </c>
      <c r="N25" s="6">
        <f ca="1">IFERROR(__xludf.DUMMYFUNCTION("""COMPUTED_VALUE"""),45562)</f>
        <v>45562</v>
      </c>
      <c r="O25" s="6">
        <f ca="1">IFERROR(__xludf.DUMMYFUNCTION("""COMPUTED_VALUE"""),45563)</f>
        <v>45563</v>
      </c>
      <c r="P25" s="4" t="str">
        <f ca="1">IFERROR(__xludf.DUMMYFUNCTION("""COMPUTED_VALUE"""),"Processo finalizado. Decisão da Reitoria em 29/05/2025")</f>
        <v>Processo finalizado. Decisão da Reitoria em 29/05/2025</v>
      </c>
      <c r="Q25" s="6">
        <f ca="1">IFERROR(__xludf.DUMMYFUNCTION("""COMPUTED_VALUE"""),46293)</f>
        <v>46293</v>
      </c>
      <c r="R25" s="4" t="str">
        <f ca="1">IFERROR(__xludf.DUMMYFUNCTION("""COMPUTED_VALUE"""),"O processo durou 286 dias entre a assinatura do despacho de autorização de abertura do PAD pelo Reitor e a assinatura do despacho de concordância/divergência pelo mesmo.")</f>
        <v>O processo durou 286 dias entre a assinatura do despacho de autorização de abertura do PAD pelo Reitor e a assinatura do despacho de concordância/divergência pelo mesmo.</v>
      </c>
      <c r="S25" s="6">
        <f ca="1">IFERROR(__xludf.DUMMYFUNCTION("""COMPUTED_VALUE"""),47389)</f>
        <v>47389</v>
      </c>
      <c r="T25" s="4" t="str">
        <f ca="1">IFERROR(__xludf.DUMMYFUNCTION("""COMPUTED_VALUE"""),"Hannah Oliveira")</f>
        <v>Hannah Oliveira</v>
      </c>
      <c r="U25" s="4"/>
      <c r="V25" s="4"/>
      <c r="W25" s="4" t="str">
        <f ca="1">IFERROR(__xludf.DUMMYFUNCTION("""COMPUTED_VALUE"""),"Não distribuído")</f>
        <v>Não distribuído</v>
      </c>
      <c r="X25" s="4" t="str">
        <f ca="1">IFERROR(__xludf.DUMMYFUNCTION("""COMPUTED_VALUE"""),"Não")</f>
        <v>Não</v>
      </c>
      <c r="Y25" s="4" t="str">
        <f ca="1">IFERROR(__xludf.DUMMYFUNCTION("""COMPUTED_VALUE"""),"SEI-260006/026944/2024")</f>
        <v>SEI-260006/026944/2024</v>
      </c>
      <c r="Z25" s="4" t="str">
        <f ca="1">IFERROR(__xludf.DUMMYFUNCTION("""COMPUTED_VALUE"""),"S-Resposta do Reitor/Anotado.")</f>
        <v>S-Resposta do Reitor/Anotado.</v>
      </c>
      <c r="AA25" s="4"/>
      <c r="AB25" s="4"/>
    </row>
    <row r="26" spans="1:28" x14ac:dyDescent="0.2">
      <c r="A26" s="4" t="str">
        <f t="shared" ca="1" si="0"/>
        <v>SEI-260006/037660/2024</v>
      </c>
      <c r="B26" s="4" t="str">
        <f t="shared" ca="1" si="1"/>
        <v>Contraditória</v>
      </c>
      <c r="C26" s="4" t="str">
        <f ca="1">IFERROR(__xludf.DUMMYFUNCTION("""COMPUTED_VALUE"""),"1329/2024")</f>
        <v>1329/2024</v>
      </c>
      <c r="D26" s="4" t="str">
        <f ca="1">IFERROR(__xludf.DUMMYFUNCTION("""COMPUTED_VALUE"""),"SEI-260006/037660/2024
Contraditória")</f>
        <v>SEI-260006/037660/2024
Contraditória</v>
      </c>
      <c r="E26" s="4" t="str">
        <f ca="1">IFERROR(__xludf.DUMMYFUNCTION("""COMPUTED_VALUE"""),"Tiago Meirelles Lourenço Ragauskas, 353805")</f>
        <v>Tiago Meirelles Lourenço Ragauskas, 353805</v>
      </c>
      <c r="F26" s="4" t="str">
        <f ca="1">IFERROR(__xludf.DUMMYFUNCTION("""COMPUTED_VALUE"""),"Assédio moral/sexual/discriminação.")</f>
        <v>Assédio moral/sexual/discriminação.</v>
      </c>
      <c r="G26" s="4" t="str">
        <f ca="1">IFERROR(__xludf.DUMMYFUNCTION("""COMPUTED_VALUE"""),"Outros.")</f>
        <v>Outros.</v>
      </c>
      <c r="H26" s="4" t="str">
        <f ca="1">IFERROR(__xludf.DUMMYFUNCTION("""COMPUTED_VALUE"""),"Denúncia, Outros.")</f>
        <v>Denúncia, Outros.</v>
      </c>
      <c r="I26" s="4" t="str">
        <f ca="1">IFERROR(__xludf.DUMMYFUNCTION("""COMPUTED_VALUE"""),"apurar a prática de eventuais infrações disciplinares através da prática das condutas vedadas no Estatuto (arts. 39, 40 e 52) e em seu regulamento (arts. 285, 286 e 298), sobretudo os deveres de urbanidade e boa conduta partir do que consta do processo ad"&amp;"ministrativo de origem Processo SEI-260007/054895/2023 (81579147)")</f>
        <v>apurar a prática de eventuais infrações disciplinares através da prática das condutas vedadas no Estatuto (arts. 39, 40 e 52) e em seu regulamento (arts. 285, 286 e 298), sobretudo os deveres de urbanidade e boa conduta partir do que consta do processo administrativo de origem Processo SEI-260007/054895/2023 (81579147)</v>
      </c>
      <c r="J26" s="4" t="str">
        <f ca="1">IFERROR(__xludf.DUMMYFUNCTION("""COMPUTED_VALUE"""),"PORTARIA Nº 1329/2024 - INSTAURA Sindicância contraditória para, no prazo de 30 dias, contados da data da publicação, apurar eventual irregularidade objeto do processo nº SEI-260007/054895/2023, bem como os fatos conexos que emergirem no decorrer dos trab"&amp;"alhos, designando para integrá-la BIANCA F. N. BARBOSA, matr. nº 36.194-9, ARIANE S. DE SOUZA, matr. nº 06.075-6, HANNAH O. COUTINHO, matr. nº 36.994-2, sob a presidência da primeira. Processo nº SEI260007/054895/2023.")</f>
        <v>PORTARIA Nº 1329/2024 - INSTAURA Sindicância contraditória para, no prazo de 30 dias, contados da data da publicação, apurar eventual irregularidade objeto do processo nº SEI-260007/054895/2023, bem como os fatos conexos que emergirem no decorrer dos trabalhos, designando para integrá-la BIANCA F. N. BARBOSA, matr. nº 36.194-9, ARIANE S. DE SOUZA, matr. nº 06.075-6, HANNAH O. COUTINHO, matr. nº 36.994-2, sob a presidência da primeira. Processo nº SEI260007/054895/2023.</v>
      </c>
      <c r="K26" s="4"/>
      <c r="L26" s="6">
        <f ca="1">IFERROR(__xludf.DUMMYFUNCTION("""COMPUTED_VALUE"""),45523)</f>
        <v>45523</v>
      </c>
      <c r="M26" s="6">
        <f ca="1">IFERROR(__xludf.DUMMYFUNCTION("""COMPUTED_VALUE"""),45525)</f>
        <v>45525</v>
      </c>
      <c r="N26" s="6">
        <f ca="1">IFERROR(__xludf.DUMMYFUNCTION("""COMPUTED_VALUE"""),45563)</f>
        <v>45563</v>
      </c>
      <c r="O26" s="6">
        <f ca="1">IFERROR(__xludf.DUMMYFUNCTION("""COMPUTED_VALUE"""),45564)</f>
        <v>45564</v>
      </c>
      <c r="P26" s="4" t="str">
        <f ca="1">IFERROR(__xludf.DUMMYFUNCTION("""COMPUTED_VALUE"""),"Enviado para a PGUERJ em 25/08/2025")</f>
        <v>Enviado para a PGUERJ em 25/08/2025</v>
      </c>
      <c r="Q26" s="6">
        <f ca="1">IFERROR(__xludf.DUMMYFUNCTION("""COMPUTED_VALUE"""),46294)</f>
        <v>46294</v>
      </c>
      <c r="R26" s="4" t="str">
        <f ca="1">IFERROR(__xludf.DUMMYFUNCTION("""COMPUTED_VALUE"""),"Enviado para a PGUERJ em 25/08/2025")</f>
        <v>Enviado para a PGUERJ em 25/08/2025</v>
      </c>
      <c r="S26" s="6">
        <f ca="1">IFERROR(__xludf.DUMMYFUNCTION("""COMPUTED_VALUE"""),47390)</f>
        <v>47390</v>
      </c>
      <c r="T26" s="4" t="str">
        <f ca="1">IFERROR(__xludf.DUMMYFUNCTION("""COMPUTED_VALUE"""),"Bianca Faertes")</f>
        <v>Bianca Faertes</v>
      </c>
      <c r="U26" s="4" t="str">
        <f ca="1">IFERROR(__xludf.DUMMYFUNCTION("""COMPUTED_VALUE"""),"Ariane Serpa")</f>
        <v>Ariane Serpa</v>
      </c>
      <c r="V26" s="4" t="str">
        <f ca="1">IFERROR(__xludf.DUMMYFUNCTION("""COMPUTED_VALUE"""),"Hannah Oliveira")</f>
        <v>Hannah Oliveira</v>
      </c>
      <c r="W26" s="4" t="str">
        <f ca="1">IFERROR(__xludf.DUMMYFUNCTION("""COMPUTED_VALUE"""),"Débora")</f>
        <v>Débora</v>
      </c>
      <c r="X26" s="4" t="str">
        <f ca="1">IFERROR(__xludf.DUMMYFUNCTION("""COMPUTED_VALUE"""),"Não")</f>
        <v>Não</v>
      </c>
      <c r="Y26" s="4" t="str">
        <f ca="1">IFERROR(__xludf.DUMMYFUNCTION("""COMPUTED_VALUE"""),"SEI-260007/054895/2023")</f>
        <v>SEI-260007/054895/2023</v>
      </c>
      <c r="Z26" s="4" t="str">
        <f ca="1">IFERROR(__xludf.DUMMYFUNCTION("""COMPUTED_VALUE"""),"C-Envio à PG/ Encerrado.")</f>
        <v>C-Envio à PG/ Encerrado.</v>
      </c>
      <c r="AA26" s="4"/>
      <c r="AB26" s="4"/>
    </row>
    <row r="27" spans="1:28" x14ac:dyDescent="0.2">
      <c r="A27" s="4" t="str">
        <f t="shared" ca="1" si="0"/>
        <v>SEI-260006/041568/2024</v>
      </c>
      <c r="B27" s="4" t="str">
        <f t="shared" ca="1" si="1"/>
        <v>Investigativa</v>
      </c>
      <c r="C27" s="4" t="str">
        <f ca="1">IFERROR(__xludf.DUMMYFUNCTION("""COMPUTED_VALUE"""),"1400/2024")</f>
        <v>1400/2024</v>
      </c>
      <c r="D27" s="4" t="str">
        <f ca="1">IFERROR(__xludf.DUMMYFUNCTION("""COMPUTED_VALUE"""),"SEI-260006/041568/2024
Investigativa")</f>
        <v>SEI-260006/041568/2024
Investigativa</v>
      </c>
      <c r="E27" s="4"/>
      <c r="F27" s="4" t="str">
        <f ca="1">IFERROR(__xludf.DUMMYFUNCTION("""COMPUTED_VALUE"""),"Art. 28 da Lei 11.343/2006")</f>
        <v>Art. 28 da Lei 11.343/2006</v>
      </c>
      <c r="G27" s="4" t="str">
        <f ca="1">IFERROR(__xludf.DUMMYFUNCTION("""COMPUTED_VALUE"""),"Porte de drogas ilícitas")</f>
        <v>Porte de drogas ilícitas</v>
      </c>
      <c r="H27" s="4"/>
      <c r="I27" s="4" t="str">
        <f ca="1">IFERROR(__xludf.DUMMYFUNCTION("""COMPUTED_VALUE"""),"fatos notórios pertinentes à ocupação das dependências desta Universidade no dia 14/08/2024, com a inviabilização da continuidade da prestação dos serviços públicos inerentes à missão institucional;")</f>
        <v>fatos notórios pertinentes à ocupação das dependências desta Universidade no dia 14/08/2024, com a inviabilização da continuidade da prestação dos serviços públicos inerentes à missão institucional;</v>
      </c>
      <c r="J27" s="4" t="str">
        <f ca="1">IFERROR(__xludf.DUMMYFUNCTION("""COMPUTED_VALUE"""),"Portaria 1400/reitoria/2024
tendo em vista o disposto nos processos SEI-260006/036761/2024, SEI-260006/034647/2024 e SEI-260006/039236/2024,Art. 1º - Instaurar Comissão de Sindicância Investigativa para, no prazo de 30 dias, contados da data da publicação"&amp;", apurar eventual irregularidade objeto dos processos supracitados, bem como os fatos conexos que emergirem no decorrer dos trabalhos. Art. 2º - Designar para compor Comissão de Sindicância os servidores abaixo indicados, sob a presidência do primeiro: a)"&amp;" Paula Assed Gonçalves, nº 33.885-5; b) Gustavo Mozart S. da Silva, matr. nº 41.286-6; c) Marco Aurélio Rodrigues, matr. nº 6.749-6.")</f>
        <v>Portaria 1400/reitoria/2024
tendo em vista o disposto nos processos SEI-260006/036761/2024, SEI-260006/034647/2024 e SEI-260006/039236/2024,Art. 1º - Instaurar Comissão de Sindicância Investigativa para, no prazo de 30 dias, contados da data da publicação, apurar eventual irregularidade objeto dos processos supracitados, bem como os fatos conexos que emergirem no decorrer dos trabalhos. Art. 2º - Designar para compor Comissão de Sindicância os servidores abaixo indicados, sob a presidência do primeiro: a) Paula Assed Gonçalves, nº 33.885-5; b) Gustavo Mozart S. da Silva, matr. nº 41.286-6; c) Marco Aurélio Rodrigues, matr. nº 6.749-6.</v>
      </c>
      <c r="K27" s="4"/>
      <c r="L27" s="6">
        <f ca="1">IFERROR(__xludf.DUMMYFUNCTION("""COMPUTED_VALUE"""),45551)</f>
        <v>45551</v>
      </c>
      <c r="M27" s="6">
        <f ca="1">IFERROR(__xludf.DUMMYFUNCTION("""COMPUTED_VALUE"""),45553)</f>
        <v>45553</v>
      </c>
      <c r="N27" s="6">
        <f ca="1">IFERROR(__xludf.DUMMYFUNCTION("""COMPUTED_VALUE"""),45591)</f>
        <v>45591</v>
      </c>
      <c r="O27" s="6">
        <f ca="1">IFERROR(__xludf.DUMMYFUNCTION("""COMPUTED_VALUE"""),45592)</f>
        <v>45592</v>
      </c>
      <c r="P27" s="4" t="str">
        <f ca="1">IFERROR(__xludf.DUMMYFUNCTION("""COMPUTED_VALUE"""),"Enviado para a PGUERJ em 01/07/2026")</f>
        <v>Enviado para a PGUERJ em 01/07/2026</v>
      </c>
      <c r="Q27" s="6">
        <f ca="1">IFERROR(__xludf.DUMMYFUNCTION("""COMPUTED_VALUE"""),46322)</f>
        <v>46322</v>
      </c>
      <c r="R27" s="4" t="str">
        <f ca="1">IFERROR(__xludf.DUMMYFUNCTION("""COMPUTED_VALUE"""),"Enviado para a PGUERJ em 01/07/2026")</f>
        <v>Enviado para a PGUERJ em 01/07/2026</v>
      </c>
      <c r="S27" s="6">
        <f ca="1">IFERROR(__xludf.DUMMYFUNCTION("""COMPUTED_VALUE"""),47418)</f>
        <v>47418</v>
      </c>
      <c r="T27" s="4" t="str">
        <f ca="1">IFERROR(__xludf.DUMMYFUNCTION("""COMPUTED_VALUE"""),"Paula Assed")</f>
        <v>Paula Assed</v>
      </c>
      <c r="U27" s="4" t="str">
        <f ca="1">IFERROR(__xludf.DUMMYFUNCTION("""COMPUTED_VALUE"""),"Gustavo Mozart")</f>
        <v>Gustavo Mozart</v>
      </c>
      <c r="V27" s="4" t="str">
        <f ca="1">IFERROR(__xludf.DUMMYFUNCTION("""COMPUTED_VALUE"""),"Celso Luiz Pieroni")</f>
        <v>Celso Luiz Pieroni</v>
      </c>
      <c r="W27" s="4" t="str">
        <f ca="1">IFERROR(__xludf.DUMMYFUNCTION("""COMPUTED_VALUE"""),"Débora")</f>
        <v>Débora</v>
      </c>
      <c r="X27" s="4" t="str">
        <f ca="1">IFERROR(__xludf.DUMMYFUNCTION("""COMPUTED_VALUE"""),"Não")</f>
        <v>Não</v>
      </c>
      <c r="Y27" s="4" t="str">
        <f ca="1">IFERROR(__xludf.DUMMYFUNCTION("""COMPUTED_VALUE"""),"SEI-260006/036761/2024")</f>
        <v>SEI-260006/036761/2024</v>
      </c>
      <c r="Z27" s="4" t="str">
        <f ca="1">IFERROR(__xludf.DUMMYFUNCTION("""COMPUTED_VALUE"""),"C-Envio à PG/ Encerrado.")</f>
        <v>C-Envio à PG/ Encerrado.</v>
      </c>
      <c r="AA27" s="4"/>
      <c r="AB27" s="4"/>
    </row>
    <row r="28" spans="1:28" x14ac:dyDescent="0.2">
      <c r="A28" s="4" t="str">
        <f t="shared" ca="1" si="0"/>
        <v>SEI-260006/042060/2024</v>
      </c>
      <c r="B28" s="4" t="str">
        <f t="shared" ca="1" si="1"/>
        <v>Investigativa</v>
      </c>
      <c r="C28" s="4" t="str">
        <f ca="1">IFERROR(__xludf.DUMMYFUNCTION("""COMPUTED_VALUE"""),"1402/2024")</f>
        <v>1402/2024</v>
      </c>
      <c r="D28" s="4" t="str">
        <f ca="1">IFERROR(__xludf.DUMMYFUNCTION("""COMPUTED_VALUE"""),"SEI-260006/042060/2024
Investigativa")</f>
        <v>SEI-260006/042060/2024
Investigativa</v>
      </c>
      <c r="E28" s="4" t="str">
        <f ca="1">IFERROR(__xludf.DUMMYFUNCTION("""COMPUTED_VALUE"""),"REITORIA")</f>
        <v>REITORIA</v>
      </c>
      <c r="F28" s="4" t="str">
        <f ca="1">IFERROR(__xludf.DUMMYFUNCTION("""COMPUTED_VALUE"""),"Art. 28 da Lei 11.343/2006")</f>
        <v>Art. 28 da Lei 11.343/2006</v>
      </c>
      <c r="G28" s="4" t="str">
        <f ca="1">IFERROR(__xludf.DUMMYFUNCTION("""COMPUTED_VALUE"""),"Porte de drogas ilícitas")</f>
        <v>Porte de drogas ilícitas</v>
      </c>
      <c r="H28" s="4"/>
      <c r="I28" s="4" t="str">
        <f ca="1">IFERROR(__xludf.DUMMYFUNCTION("""COMPUTED_VALUE"""),"[OCUPAÇÃO] Sindicância Investigativa instaurada pela Portaria Reitoria nº 1402/2024, cuja composição foi posteriormente alterada pela Portaria 1648/REITORIA/2024, com o objetivo de apurar as circunstâncias relacionadas ao registro de gravação que supostam"&amp;"ente mostra o uso de substância ilícita na sala de reuniões da Reitoria desta Universidade, fato que é dito por um dos interlocutores, bem como mostra ameaça de furto de bem público (relógio), tendo a aparente participação de discente matriculada no curso"&amp;" de Direito desta Instituição, ocorridos durante a ocupação da UERJ em 2024")</f>
        <v>[OCUPAÇÃO] Sindicância Investigativa instaurada pela Portaria Reitoria nº 1402/2024, cuja composição foi posteriormente alterada pela Portaria 1648/REITORIA/2024, com o objetivo de apurar as circunstâncias relacionadas ao registro de gravação que supostamente mostra o uso de substância ilícita na sala de reuniões da Reitoria desta Universidade, fato que é dito por um dos interlocutores, bem como mostra ameaça de furto de bem público (relógio), tendo a aparente participação de discente matriculada no curso de Direito desta Instituição, ocorridos durante a ocupação da UERJ em 2024</v>
      </c>
      <c r="J28" s="4" t="str">
        <f ca="1">IFERROR(__xludf.DUMMYFUNCTION("""COMPUTED_VALUE"""),"PORTARIA Nº 1402/2024 - INSTAURA sindicância para, no prazo de 30 dias, contados da data da publicação no DOERJ, apurar eventual irregularidade objeto do processo supracitado, bem como os fatos conexos que emergirem no decorrer dos trabalhos, Comissão in"&amp;"tegrada pelos servidores sob a presidência do primeiro GABRIEL M. DE OLIVEIRA, matr. 40.015-0, PATRÍCIA GLIOCHE, matr. 33.968-9, MARCO AURÉLIO R. DA F. PASSOS, matr. nº 06.749-6 - Processo nº SEI260006/039809/2024.
--------------------------------------"&amp;"-----------------------------------
PORTARIA Nº 1648/2024 - ALTERAa composição da Comissão de Sindicância instituída pela Portaria Reitoria nº 1402/2024, publicada no DOERJ de 25/11/2022, designando a servidora PAULA ASSED GONÇALVES DE SOUZA,matr. nº. 33."&amp;"885-5, emsubstituição àservidora PATRÍCIA GLIOCHE, matr. nº. 33.968-9. Processo nº SEI260006/042060/2024.")</f>
        <v>PORTARIA Nº 1402/2024 - INSTAURA sindicância para, no prazo de 30 dias, contados da data da publicação no DOERJ, apurar eventual irregularidade objeto do processo supracitado, bem como os fatos conexos que emergirem no decorrer dos trabalhos, Comissão integrada pelos servidores sob a presidência do primeiro GABRIEL M. DE OLIVEIRA, matr. 40.015-0, PATRÍCIA GLIOCHE, matr. 33.968-9, MARCO AURÉLIO R. DA F. PASSOS, matr. nº 06.749-6 - Processo nº SEI260006/039809/2024.
-------------------------------------------------------------------------
PORTARIA Nº 1648/2024 - ALTERAa composição da Comissão de Sindicância instituída pela Portaria Reitoria nº 1402/2024, publicada no DOERJ de 25/11/2022, designando a servidora PAULA ASSED GONÇALVES DE SOUZA,matr. nº. 33.885-5, emsubstituição àservidora PATRÍCIA GLIOCHE, matr. nº. 33.968-9. Processo nº SEI260006/042060/2024.</v>
      </c>
      <c r="K28" s="4"/>
      <c r="L28" s="6">
        <f ca="1">IFERROR(__xludf.DUMMYFUNCTION("""COMPUTED_VALUE"""),45552)</f>
        <v>45552</v>
      </c>
      <c r="M28" s="6">
        <f ca="1">IFERROR(__xludf.DUMMYFUNCTION("""COMPUTED_VALUE"""),45554)</f>
        <v>45554</v>
      </c>
      <c r="N28" s="6">
        <f ca="1">IFERROR(__xludf.DUMMYFUNCTION("""COMPUTED_VALUE"""),45592)</f>
        <v>45592</v>
      </c>
      <c r="O28" s="6">
        <f ca="1">IFERROR(__xludf.DUMMYFUNCTION("""COMPUTED_VALUE"""),45593)</f>
        <v>45593</v>
      </c>
      <c r="P28" s="4" t="str">
        <f ca="1">IFERROR(__xludf.DUMMYFUNCTION("""COMPUTED_VALUE"""),"Enviado para a PGUERJ em 12/03/2025")</f>
        <v>Enviado para a PGUERJ em 12/03/2025</v>
      </c>
      <c r="Q28" s="6">
        <f ca="1">IFERROR(__xludf.DUMMYFUNCTION("""COMPUTED_VALUE"""),46323)</f>
        <v>46323</v>
      </c>
      <c r="R28" s="4" t="str">
        <f ca="1">IFERROR(__xludf.DUMMYFUNCTION("""COMPUTED_VALUE"""),"Enviado para a PGUERJ em 12/03/2025")</f>
        <v>Enviado para a PGUERJ em 12/03/2025</v>
      </c>
      <c r="S28" s="6">
        <f ca="1">IFERROR(__xludf.DUMMYFUNCTION("""COMPUTED_VALUE"""),47419)</f>
        <v>47419</v>
      </c>
      <c r="T28" s="4" t="str">
        <f ca="1">IFERROR(__xludf.DUMMYFUNCTION("""COMPUTED_VALUE"""),"Gabriel Moraes")</f>
        <v>Gabriel Moraes</v>
      </c>
      <c r="U28" s="4" t="str">
        <f ca="1">IFERROR(__xludf.DUMMYFUNCTION("""COMPUTED_VALUE"""),"Paula Assed")</f>
        <v>Paula Assed</v>
      </c>
      <c r="V28" s="4" t="str">
        <f ca="1">IFERROR(__xludf.DUMMYFUNCTION("""COMPUTED_VALUE"""),"Marco Aurélio")</f>
        <v>Marco Aurélio</v>
      </c>
      <c r="W28" s="4" t="str">
        <f ca="1">IFERROR(__xludf.DUMMYFUNCTION("""COMPUTED_VALUE"""),"Isadora")</f>
        <v>Isadora</v>
      </c>
      <c r="X28" s="4" t="str">
        <f ca="1">IFERROR(__xludf.DUMMYFUNCTION("""COMPUTED_VALUE"""),"Não")</f>
        <v>Não</v>
      </c>
      <c r="Y28" s="4" t="str">
        <f ca="1">IFERROR(__xludf.DUMMYFUNCTION("""COMPUTED_VALUE"""),"SEI-260006/039809/2024")</f>
        <v>SEI-260006/039809/2024</v>
      </c>
      <c r="Z28" s="4" t="str">
        <f ca="1">IFERROR(__xludf.DUMMYFUNCTION("""COMPUTED_VALUE"""),"C-Envio à PG/ Encerrado.")</f>
        <v>C-Envio à PG/ Encerrado.</v>
      </c>
      <c r="AA28" s="4"/>
      <c r="AB28" s="4"/>
    </row>
    <row r="29" spans="1:28" x14ac:dyDescent="0.2">
      <c r="A29" s="4" t="str">
        <f t="shared" ca="1" si="0"/>
        <v>SEI-260006/043810/2024</v>
      </c>
      <c r="B29" s="4" t="str">
        <f t="shared" ca="1" si="1"/>
        <v>Investigativa</v>
      </c>
      <c r="C29" s="4" t="str">
        <f ca="1">IFERROR(__xludf.DUMMYFUNCTION("""COMPUTED_VALUE"""),"1424/2024")</f>
        <v>1424/2024</v>
      </c>
      <c r="D29" s="4" t="str">
        <f ca="1">IFERROR(__xludf.DUMMYFUNCTION("""COMPUTED_VALUE"""),"SEI-260006/043810/2024
Investigativa")</f>
        <v>SEI-260006/043810/2024
Investigativa</v>
      </c>
      <c r="E29" s="4" t="str">
        <f ca="1">IFERROR(__xludf.DUMMYFUNCTION("""COMPUTED_VALUE"""),"Geraldo LuizFerreira Cerqueira,matr. nº56291")</f>
        <v>Geraldo LuizFerreira Cerqueira,matr. nº56291</v>
      </c>
      <c r="F29" s="4" t="str">
        <f ca="1">IFERROR(__xludf.DUMMYFUNCTION("""COMPUTED_VALUE"""),"Desvio de conduta")</f>
        <v>Desvio de conduta</v>
      </c>
      <c r="G29" s="4" t="str">
        <f ca="1">IFERROR(__xludf.DUMMYFUNCTION("""COMPUTED_VALUE"""),"possível desvio de finalidade ou abuso da dispensa de licitação
")</f>
        <v xml:space="preserve">possível desvio de finalidade ou abuso da dispensa de licitação
</v>
      </c>
      <c r="H29" s="4"/>
      <c r="I29" s="4" t="str">
        <f ca="1">IFERROR(__xludf.DUMMYFUNCTION("""COMPUTED_VALUE"""),"apuração de eventual responsabilização dos agentes envolvidos na não finalização de processo licitatório em tempo hábil, a fim de que se evitasse a atual contratação pela via emergencial;cujo objeto é a prestação de serviços de limpeza nos campi da UERJ. "&amp;"Conforme solicitação do TCE no TCE-RJ Nº 102.755-8/24.  ")</f>
        <v xml:space="preserve">apuração de eventual responsabilização dos agentes envolvidos na não finalização de processo licitatório em tempo hábil, a fim de que se evitasse a atual contratação pela via emergencial;cujo objeto é a prestação de serviços de limpeza nos campi da UERJ. Conforme solicitação do TCE no TCE-RJ Nº 102.755-8/24.  </v>
      </c>
      <c r="J29" s="4" t="str">
        <f ca="1">IFERROR(__xludf.DUMMYFUNCTION("""COMPUTED_VALUE"""),"PORTARIA Nº 1424/2024 - IN S TA U R A Sindicância Contraditória para, no prazo de 30 dias, contados da data da publicação, apurar eventual irregularidade objeto do processo nº SEI-260006/013224/2024, bem como os fatos conexos que emergirem no decorrer dos"&amp;" trabalhos, designando para procedê-la os servidores: LEONARDOR. ALMEIDA; matr. nº 35.097-5; KAROLYNNEDEA. M. JOSÉ ROCHA, matr. nº 35.698-0; ARIANE S. DE SOUZA, matr. nº 06.075-6. Processo nº SEI-260006/013224/2024.")</f>
        <v>PORTARIA Nº 1424/2024 - IN S TA U R A Sindicância Contraditória para, no prazo de 30 dias, contados da data da publicação, apurar eventual irregularidade objeto do processo nº SEI-260006/013224/2024, bem como os fatos conexos que emergirem no decorrer dos trabalhos, designando para procedê-la os servidores: LEONARDOR. ALMEIDA; matr. nº 35.097-5; KAROLYNNEDEA. M. JOSÉ ROCHA, matr. nº 35.698-0; ARIANE S. DE SOUZA, matr. nº 06.075-6. Processo nº SEI-260006/013224/2024.</v>
      </c>
      <c r="K29" s="4"/>
      <c r="L29" s="6">
        <f ca="1">IFERROR(__xludf.DUMMYFUNCTION("""COMPUTED_VALUE"""),45561)</f>
        <v>45561</v>
      </c>
      <c r="M29" s="6">
        <f ca="1">IFERROR(__xludf.DUMMYFUNCTION("""COMPUTED_VALUE"""),45565)</f>
        <v>45565</v>
      </c>
      <c r="N29" s="6">
        <f ca="1">IFERROR(__xludf.DUMMYFUNCTION("""COMPUTED_VALUE"""),45603)</f>
        <v>45603</v>
      </c>
      <c r="O29" s="6">
        <f ca="1">IFERROR(__xludf.DUMMYFUNCTION("""COMPUTED_VALUE"""),45604)</f>
        <v>45604</v>
      </c>
      <c r="P29" s="4" t="str">
        <f ca="1">IFERROR(__xludf.DUMMYFUNCTION("""COMPUTED_VALUE"""),"Processo finalizado. Decisão da Reitoria em 01/10/2025")</f>
        <v>Processo finalizado. Decisão da Reitoria em 01/10/2025</v>
      </c>
      <c r="Q29" s="6">
        <f ca="1">IFERROR(__xludf.DUMMYFUNCTION("""COMPUTED_VALUE"""),46334)</f>
        <v>46334</v>
      </c>
      <c r="R29" s="4" t="str">
        <f ca="1">IFERROR(__xludf.DUMMYFUNCTION("""COMPUTED_VALUE"""),"O processo durou 370 dias entre a assinatura do despacho de autorização de abertura do PAD pelo Reitor e a assinatura do despacho de concordância/divergência pelo mesmo.")</f>
        <v>O processo durou 370 dias entre a assinatura do despacho de autorização de abertura do PAD pelo Reitor e a assinatura do despacho de concordância/divergência pelo mesmo.</v>
      </c>
      <c r="S29" s="6">
        <f ca="1">IFERROR(__xludf.DUMMYFUNCTION("""COMPUTED_VALUE"""),47430)</f>
        <v>47430</v>
      </c>
      <c r="T29" s="4" t="str">
        <f ca="1">IFERROR(__xludf.DUMMYFUNCTION("""COMPUTED_VALUE"""),"Leonardo Rocha")</f>
        <v>Leonardo Rocha</v>
      </c>
      <c r="U29" s="4" t="str">
        <f ca="1">IFERROR(__xludf.DUMMYFUNCTION("""COMPUTED_VALUE"""),"Karolynne Rocha")</f>
        <v>Karolynne Rocha</v>
      </c>
      <c r="V29" s="4" t="str">
        <f ca="1">IFERROR(__xludf.DUMMYFUNCTION("""COMPUTED_VALUE"""),"Ariane Serpa")</f>
        <v>Ariane Serpa</v>
      </c>
      <c r="W29" s="4" t="str">
        <f ca="1">IFERROR(__xludf.DUMMYFUNCTION("""COMPUTED_VALUE"""),"Não distribuído")</f>
        <v>Não distribuído</v>
      </c>
      <c r="X29" s="4" t="str">
        <f ca="1">IFERROR(__xludf.DUMMYFUNCTION("""COMPUTED_VALUE"""),"Não")</f>
        <v>Não</v>
      </c>
      <c r="Y29" s="4" t="str">
        <f ca="1">IFERROR(__xludf.DUMMYFUNCTION("""COMPUTED_VALUE"""),"SEI-260006/013224/2024")</f>
        <v>SEI-260006/013224/2024</v>
      </c>
      <c r="Z29" s="4" t="str">
        <f ca="1">IFERROR(__xludf.DUMMYFUNCTION("""COMPUTED_VALUE"""),"S-Resposta do Reitor/Anotado.")</f>
        <v>S-Resposta do Reitor/Anotado.</v>
      </c>
      <c r="AA29" s="4"/>
      <c r="AB29" s="4"/>
    </row>
    <row r="30" spans="1:28" x14ac:dyDescent="0.2">
      <c r="A30" s="4" t="str">
        <f t="shared" ca="1" si="0"/>
        <v>SEI-260006/045810/2024</v>
      </c>
      <c r="B30" s="4" t="str">
        <f t="shared" ca="1" si="1"/>
        <v>Investigativa</v>
      </c>
      <c r="C30" s="4" t="str">
        <f ca="1">IFERROR(__xludf.DUMMYFUNCTION("""COMPUTED_VALUE"""),"1451/2024")</f>
        <v>1451/2024</v>
      </c>
      <c r="D30" s="4" t="str">
        <f ca="1">IFERROR(__xludf.DUMMYFUNCTION("""COMPUTED_VALUE"""),"SEI-260006/045810/2024
Investigativa")</f>
        <v>SEI-260006/045810/2024
Investigativa</v>
      </c>
      <c r="E30" s="4"/>
      <c r="F30" s="4" t="str">
        <f ca="1">IFERROR(__xludf.DUMMYFUNCTION("""COMPUTED_VALUE"""),"Crimes contra a Administração Pública")</f>
        <v>Crimes contra a Administração Pública</v>
      </c>
      <c r="G30" s="4" t="str">
        <f ca="1">IFERROR(__xludf.DUMMYFUNCTION("""COMPUTED_VALUE"""),"Contratação irregular")</f>
        <v>Contratação irregular</v>
      </c>
      <c r="H30" s="4" t="str">
        <f ca="1">IFERROR(__xludf.DUMMYFUNCTION("""COMPUTED_VALUE"""),"Contratação irregular")</f>
        <v>Contratação irregular</v>
      </c>
      <c r="I30" s="4" t="str">
        <f ca="1">IFERROR(__xludf.DUMMYFUNCTION("""COMPUTED_VALUE"""),"apuração dos fatos relacionados à contratação emergencial do serviço de limpeza, a que se refere o processo SEI-260006/024108/2024")</f>
        <v>apuração dos fatos relacionados à contratação emergencial do serviço de limpeza, a que se refere o processo SEI-260006/024108/2024</v>
      </c>
      <c r="J30" s="4" t="str">
        <f ca="1">IFERROR(__xludf.DUMMYFUNCTION("""COMPUTED_VALUE"""),"PORTARIA Nº 1451/2024 - INSTAURA Sindicância Contraditória para, no prazo de 30 dias, contados da data da publicação, apurar eventual irregularidade objeto do processo SEI-260006/024108/2024, bem como os fatos conexos que emergirem no decorrer dos trabalh"&amp;"os, designando para procedê-la, soba presidência do primeiro: MARCELO DOS S. BENTO, matr. nº 33.897-0; MARCELO F. DE OLIVEIRA, matr. nº31.161-3; JEANNY C. DE A. PASSIGATTE, matr. nº 36.183-2. Processo nº SEI-260006/024108/2024.")</f>
        <v>PORTARIA Nº 1451/2024 - INSTAURA Sindicância Contraditória para, no prazo de 30 dias, contados da data da publicação, apurar eventual irregularidade objeto do processo SEI-260006/024108/2024, bem como os fatos conexos que emergirem no decorrer dos trabalhos, designando para procedê-la, soba presidência do primeiro: MARCELO DOS S. BENTO, matr. nº 33.897-0; MARCELO F. DE OLIVEIRA, matr. nº31.161-3; JEANNY C. DE A. PASSIGATTE, matr. nº 36.183-2. Processo nº SEI-260006/024108/2024.</v>
      </c>
      <c r="K30" s="4"/>
      <c r="L30" s="6">
        <f ca="1">IFERROR(__xludf.DUMMYFUNCTION("""COMPUTED_VALUE"""),45568)</f>
        <v>45568</v>
      </c>
      <c r="M30" s="6">
        <f ca="1">IFERROR(__xludf.DUMMYFUNCTION("""COMPUTED_VALUE"""),45573)</f>
        <v>45573</v>
      </c>
      <c r="N30" s="6">
        <f ca="1">IFERROR(__xludf.DUMMYFUNCTION("""COMPUTED_VALUE"""),45611)</f>
        <v>45611</v>
      </c>
      <c r="O30" s="6">
        <f ca="1">IFERROR(__xludf.DUMMYFUNCTION("""COMPUTED_VALUE"""),45612)</f>
        <v>45612</v>
      </c>
      <c r="P30" s="4" t="str">
        <f ca="1">IFERROR(__xludf.DUMMYFUNCTION("""COMPUTED_VALUE"""),"Enviado para a PGUERJ em 02/07/2025")</f>
        <v>Enviado para a PGUERJ em 02/07/2025</v>
      </c>
      <c r="Q30" s="6">
        <f ca="1">IFERROR(__xludf.DUMMYFUNCTION("""COMPUTED_VALUE"""),46342)</f>
        <v>46342</v>
      </c>
      <c r="R30" s="4" t="str">
        <f ca="1">IFERROR(__xludf.DUMMYFUNCTION("""COMPUTED_VALUE"""),"Enviado para a PGUERJ em 02/07/2025")</f>
        <v>Enviado para a PGUERJ em 02/07/2025</v>
      </c>
      <c r="S30" s="6">
        <f ca="1">IFERROR(__xludf.DUMMYFUNCTION("""COMPUTED_VALUE"""),47438)</f>
        <v>47438</v>
      </c>
      <c r="T30" s="4" t="str">
        <f ca="1">IFERROR(__xludf.DUMMYFUNCTION("""COMPUTED_VALUE"""),"Marcelo Bento")</f>
        <v>Marcelo Bento</v>
      </c>
      <c r="U30" s="4" t="str">
        <f ca="1">IFERROR(__xludf.DUMMYFUNCTION("""COMPUTED_VALUE"""),"Marcelo Ferreira")</f>
        <v>Marcelo Ferreira</v>
      </c>
      <c r="V30" s="4" t="str">
        <f ca="1">IFERROR(__xludf.DUMMYFUNCTION("""COMPUTED_VALUE"""),"Jeanny Passigatte")</f>
        <v>Jeanny Passigatte</v>
      </c>
      <c r="W30" s="4" t="str">
        <f ca="1">IFERROR(__xludf.DUMMYFUNCTION("""COMPUTED_VALUE"""),"Franciane")</f>
        <v>Franciane</v>
      </c>
      <c r="X30" s="4" t="str">
        <f ca="1">IFERROR(__xludf.DUMMYFUNCTION("""COMPUTED_VALUE"""),"Não")</f>
        <v>Não</v>
      </c>
      <c r="Y30" s="4" t="str">
        <f ca="1">IFERROR(__xludf.DUMMYFUNCTION("""COMPUTED_VALUE"""),"SEI-260006/024108/2024.")</f>
        <v>SEI-260006/024108/2024.</v>
      </c>
      <c r="Z30" s="4" t="str">
        <f ca="1">IFERROR(__xludf.DUMMYFUNCTION("""COMPUTED_VALUE"""),"C-Envio à PG/ Encerrado.")</f>
        <v>C-Envio à PG/ Encerrado.</v>
      </c>
      <c r="AA30" s="4"/>
      <c r="AB30" s="4"/>
    </row>
    <row r="31" spans="1:28" x14ac:dyDescent="0.2">
      <c r="A31" s="4" t="str">
        <f t="shared" ca="1" si="0"/>
        <v>SEI-260006/034921/2024</v>
      </c>
      <c r="B31" s="4" t="str">
        <f t="shared" ca="1" si="1"/>
        <v>Contraditória</v>
      </c>
      <c r="C31" s="4" t="str">
        <f ca="1">IFERROR(__xludf.DUMMYFUNCTION("""COMPUTED_VALUE"""),"1450/2024")</f>
        <v>1450/2024</v>
      </c>
      <c r="D31" s="4" t="str">
        <f ca="1">IFERROR(__xludf.DUMMYFUNCTION("""COMPUTED_VALUE"""),"SEI-260006/034921/2024
Contraditória")</f>
        <v>SEI-260006/034921/2024
Contraditória</v>
      </c>
      <c r="E31" s="4" t="str">
        <f ca="1">IFERROR(__xludf.DUMMYFUNCTION("""COMPUTED_VALUE"""),"Roberto Siqueira de Lima CPF 807.742.297-72 e AndréaTravassos Rocha CPF 954.159.047-00")</f>
        <v>Roberto Siqueira de Lima CPF 807.742.297-72 e AndréaTravassos Rocha CPF 954.159.047-00</v>
      </c>
      <c r="F31" s="4" t="str">
        <f ca="1">IFERROR(__xludf.DUMMYFUNCTION("""COMPUTED_VALUE"""),"Conflito de interesses")</f>
        <v>Conflito de interesses</v>
      </c>
      <c r="G31" s="4" t="str">
        <f ca="1">IFERROR(__xludf.DUMMYFUNCTION("""COMPUTED_VALUE"""),"Denúncia")</f>
        <v>Denúncia</v>
      </c>
      <c r="H31" s="4" t="str">
        <f ca="1">IFERROR(__xludf.DUMMYFUNCTION("""COMPUTED_VALUE"""),"Denúncia")</f>
        <v>Denúncia</v>
      </c>
      <c r="I31" s="4" t="str">
        <f ca="1">IFERROR(__xludf.DUMMYFUNCTION("""COMPUTED_VALUE"""),"apurar todos os gastos referentes aos cartões corporativos relacionados nos processos: SEI-310003/005342/2023, SEI-310003/004149/2023 e SEI-310003/005604/2023 -  Gestora Ivana Teixeira Brandão CPF 834 267 107-06;")</f>
        <v>apurar todos os gastos referentes aos cartões corporativos relacionados nos processos: SEI-310003/005342/2023, SEI-310003/004149/2023 e SEI-310003/005604/2023 -  Gestora Ivana Teixeira Brandão CPF 834 267 107-06;</v>
      </c>
      <c r="J31" s="4" t="str">
        <f ca="1">IFERROR(__xludf.DUMMYFUNCTION("""COMPUTED_VALUE""")," PORTARIA Nº 1450/2024 - INSTAURA Sindicância Contraditória para, no prazo de 30 dias, contados da data da publicação, apurar eventual irregularidade objeto dos processos SEI-260006/010891/2024 e SEI-260006/025718/2024, bem comoos fatos conexos que emergi"&amp;"rem no decorrer dos trabalhos, designando para procedê-la os servidores  BIANCA F. N. BARBOSA, matr. nº 36.194-9, KAROLYNNE DE A. M. JOSÉ ROCHA,matr. nº 35.698-0,MARCELO F. OLIVEIRA,matr. nº 31.161-3, sob a presidência da primeira. Processo nº SEI-260006/"&amp;"034921/2024.")</f>
        <v xml:space="preserve"> PORTARIA Nº 1450/2024 - INSTAURA Sindicância Contraditória para, no prazo de 30 dias, contados da data da publicação, apurar eventual irregularidade objeto dos processos SEI-260006/010891/2024 e SEI-260006/025718/2024, bem comoos fatos conexos que emergirem no decorrer dos trabalhos, designando para procedê-la os servidores  BIANCA F. N. BARBOSA, matr. nº 36.194-9, KAROLYNNE DE A. M. JOSÉ ROCHA,matr. nº 35.698-0,MARCELO F. OLIVEIRA,matr. nº 31.161-3, sob a presidência da primeira. Processo nº SEI-260006/034921/2024.</v>
      </c>
      <c r="K31" s="4"/>
      <c r="L31" s="6">
        <f ca="1">IFERROR(__xludf.DUMMYFUNCTION("""COMPUTED_VALUE"""),45568)</f>
        <v>45568</v>
      </c>
      <c r="M31" s="6">
        <f ca="1">IFERROR(__xludf.DUMMYFUNCTION("""COMPUTED_VALUE"""),45573)</f>
        <v>45573</v>
      </c>
      <c r="N31" s="6">
        <f ca="1">IFERROR(__xludf.DUMMYFUNCTION("""COMPUTED_VALUE"""),45611)</f>
        <v>45611</v>
      </c>
      <c r="O31" s="6">
        <f ca="1">IFERROR(__xludf.DUMMYFUNCTION("""COMPUTED_VALUE"""),45612)</f>
        <v>45612</v>
      </c>
      <c r="P31" s="4" t="str">
        <f ca="1">IFERROR(__xludf.DUMMYFUNCTION("""COMPUTED_VALUE"""),"Complete os campos destacados em vermelho")</f>
        <v>Complete os campos destacados em vermelho</v>
      </c>
      <c r="Q31" s="6">
        <f ca="1">IFERROR(__xludf.DUMMYFUNCTION("""COMPUTED_VALUE"""),46342)</f>
        <v>46342</v>
      </c>
      <c r="R31" s="4" t="str">
        <f ca="1">IFERROR(__xludf.DUMMYFUNCTION("""COMPUTED_VALUE"""),"Complete os campos destacados em vermelho")</f>
        <v>Complete os campos destacados em vermelho</v>
      </c>
      <c r="S31" s="6">
        <f ca="1">IFERROR(__xludf.DUMMYFUNCTION("""COMPUTED_VALUE"""),47438)</f>
        <v>47438</v>
      </c>
      <c r="T31" s="4" t="str">
        <f ca="1">IFERROR(__xludf.DUMMYFUNCTION("""COMPUTED_VALUE"""),"Karolynne Rocha")</f>
        <v>Karolynne Rocha</v>
      </c>
      <c r="U31" s="4" t="str">
        <f ca="1">IFERROR(__xludf.DUMMYFUNCTION("""COMPUTED_VALUE"""),"Celso Luiz Pieroni")</f>
        <v>Celso Luiz Pieroni</v>
      </c>
      <c r="V31" s="4" t="str">
        <f ca="1">IFERROR(__xludf.DUMMYFUNCTION("""COMPUTED_VALUE"""),"Marcelo Ferreira")</f>
        <v>Marcelo Ferreira</v>
      </c>
      <c r="W31" s="4" t="str">
        <f ca="1">IFERROR(__xludf.DUMMYFUNCTION("""COMPUTED_VALUE"""),"Patrícia")</f>
        <v>Patrícia</v>
      </c>
      <c r="X31" s="4" t="str">
        <f ca="1">IFERROR(__xludf.DUMMYFUNCTION("""COMPUTED_VALUE"""),"Não")</f>
        <v>Não</v>
      </c>
      <c r="Y31" s="4" t="str">
        <f ca="1">IFERROR(__xludf.DUMMYFUNCTION("""COMPUTED_VALUE"""),"SEI-260006/010891/2024")</f>
        <v>SEI-260006/010891/2024</v>
      </c>
      <c r="Z31" s="4" t="str">
        <f ca="1">IFERROR(__xludf.DUMMYFUNCTION("""COMPUTED_VALUE"""),"C-Envio à PG/ Encerrado.")</f>
        <v>C-Envio à PG/ Encerrado.</v>
      </c>
      <c r="AA31" s="4"/>
      <c r="AB31" s="4"/>
    </row>
    <row r="32" spans="1:28" x14ac:dyDescent="0.2">
      <c r="A32" s="4" t="str">
        <f t="shared" ca="1" si="0"/>
        <v>SEI-260006/045827/2024</v>
      </c>
      <c r="B32" s="4" t="str">
        <f t="shared" ca="1" si="1"/>
        <v>tura revogada</v>
      </c>
      <c r="C32" s="4" t="str">
        <f ca="1">IFERROR(__xludf.DUMMYFUNCTION("""COMPUTED_VALUE"""),"1464/2024")</f>
        <v>1464/2024</v>
      </c>
      <c r="D32" s="4" t="str">
        <f ca="1">IFERROR(__xludf.DUMMYFUNCTION("""COMPUTED_VALUE"""),"SEI-260006/045827/2024
Investigativa
Portaria de abertura revogada")</f>
        <v>SEI-260006/045827/2024
Investigativa
Portaria de abertura revogada</v>
      </c>
      <c r="E32" s="4" t="str">
        <f ca="1">IFERROR(__xludf.DUMMYFUNCTION("""COMPUTED_VALUE"""),"uerj/hupe")</f>
        <v>uerj/hupe</v>
      </c>
      <c r="F32" s="4" t="str">
        <f ca="1">IFERROR(__xludf.DUMMYFUNCTION("""COMPUTED_VALUE"""),"Crimes contra a Administração Pública")</f>
        <v>Crimes contra a Administração Pública</v>
      </c>
      <c r="G32" s="4" t="str">
        <f ca="1">IFERROR(__xludf.DUMMYFUNCTION("""COMPUTED_VALUE"""),"Outros.")</f>
        <v>Outros.</v>
      </c>
      <c r="H32" s="4" t="str">
        <f ca="1">IFERROR(__xludf.DUMMYFUNCTION("""COMPUTED_VALUE"""),"Outros.")</f>
        <v>Outros.</v>
      </c>
      <c r="I32" s="4" t="str">
        <f ca="1">IFERROR(__xludf.DUMMYFUNCTION("""COMPUTED_VALUE"""),"Irregularidade nas prestações de contas")</f>
        <v>Irregularidade nas prestações de contas</v>
      </c>
      <c r="J32" s="4" t="str">
        <f ca="1">IFERROR(__xludf.DUMMYFUNCTION("""COMPUTED_VALUE"""),"Portaria 1464/2024
A REITORA DA UNIVERSIDADE DO ESTADO DO RIO DE JANEIRO, no uso de suas atribuições e tendo em vista o disposto nos Processos nº SEI-260008/005065/2023 e SEI-260007/019473/2023, Resolve: Art. 1º - Instaurar Comissão de Sindicância Investi"&amp;"gativa para, no prazo de 30 dias, contados da data da publicação, apurar eventual irregularidade objeto do processo supracitado, bem como os fatos conexos que emergirem no decorrer dos trabalhos.  Art. 2º - Designar para compor Comissão de Sindicância os "&amp;"servidores abaixo indicados, sob a presidência do primeiro:  a) Gabriel M. de Oliveira, matr. 40.015-0  b) Marcelo F. de Oliveira, matr. 31.161-3 c) Felipe P. Corrêa, matr. 37.977-6 Art. 3º - Esta portaria entra em vigor na data da publicação.")</f>
        <v>Portaria 1464/2024
A REITORA DA UNIVERSIDADE DO ESTADO DO RIO DE JANEIRO, no uso de suas atribuições e tendo em vista o disposto nos Processos nº SEI-260008/005065/2023 e SEI-260007/019473/2023, Resolve: Art. 1º - Instaurar Comissão de Sindicância Investigativa para, no prazo de 30 dias, contados da data da publicação, apurar eventual irregularidade objeto do processo supracitado, bem como os fatos conexos que emergirem no decorrer dos trabalhos.  Art. 2º - Designar para compor Comissão de Sindicância os servidores abaixo indicados, sob a presidência do primeiro:  a) Gabriel M. de Oliveira, matr. 40.015-0  b) Marcelo F. de Oliveira, matr. 31.161-3 c) Felipe P. Corrêa, matr. 37.977-6 Art. 3º - Esta portaria entra em vigor na data da publicação.</v>
      </c>
      <c r="K32" s="4"/>
      <c r="L32" s="6">
        <f ca="1">IFERROR(__xludf.DUMMYFUNCTION("""COMPUTED_VALUE"""),45572)</f>
        <v>45572</v>
      </c>
      <c r="M32" s="6">
        <f ca="1">IFERROR(__xludf.DUMMYFUNCTION("""COMPUTED_VALUE"""),45575)</f>
        <v>45575</v>
      </c>
      <c r="N32" s="6">
        <f ca="1">IFERROR(__xludf.DUMMYFUNCTION("""COMPUTED_VALUE"""),45613)</f>
        <v>45613</v>
      </c>
      <c r="O32" s="6">
        <f ca="1">IFERROR(__xludf.DUMMYFUNCTION("""COMPUTED_VALUE"""),45614)</f>
        <v>45614</v>
      </c>
      <c r="P32" s="4" t="str">
        <f ca="1">IFERROR(__xludf.DUMMYFUNCTION("""COMPUTED_VALUE"""),"Portaria de abertura revogada")</f>
        <v>Portaria de abertura revogada</v>
      </c>
      <c r="Q32" s="6">
        <f ca="1">IFERROR(__xludf.DUMMYFUNCTION("""COMPUTED_VALUE"""),46344)</f>
        <v>46344</v>
      </c>
      <c r="R32" s="4" t="str">
        <f ca="1">IFERROR(__xludf.DUMMYFUNCTION("""COMPUTED_VALUE"""),"Portaria de abertura revogada")</f>
        <v>Portaria de abertura revogada</v>
      </c>
      <c r="S32" s="6">
        <f ca="1">IFERROR(__xludf.DUMMYFUNCTION("""COMPUTED_VALUE"""),47440)</f>
        <v>47440</v>
      </c>
      <c r="T32" s="4" t="str">
        <f ca="1">IFERROR(__xludf.DUMMYFUNCTION("""COMPUTED_VALUE"""),"Gabriel Moraes")</f>
        <v>Gabriel Moraes</v>
      </c>
      <c r="U32" s="4" t="str">
        <f ca="1">IFERROR(__xludf.DUMMYFUNCTION("""COMPUTED_VALUE"""),"Marcelo Ferreira")</f>
        <v>Marcelo Ferreira</v>
      </c>
      <c r="V32" s="4" t="str">
        <f ca="1">IFERROR(__xludf.DUMMYFUNCTION("""COMPUTED_VALUE"""),"Felipe Perdigão")</f>
        <v>Felipe Perdigão</v>
      </c>
      <c r="W32" s="4" t="str">
        <f ca="1">IFERROR(__xludf.DUMMYFUNCTION("""COMPUTED_VALUE"""),"Não distribuído")</f>
        <v>Não distribuído</v>
      </c>
      <c r="X32" s="4"/>
      <c r="Y32" s="4" t="str">
        <f ca="1">IFERROR(__xludf.DUMMYFUNCTION("""COMPUTED_VALUE"""),"SEI-260008/005065/2023")</f>
        <v>SEI-260008/005065/2023</v>
      </c>
      <c r="Z32" s="4" t="str">
        <f ca="1">IFERROR(__xludf.DUMMYFUNCTION("""COMPUTED_VALUE"""),"Portaria de abertura revogada.")</f>
        <v>Portaria de abertura revogada.</v>
      </c>
      <c r="AA32" s="4"/>
      <c r="AB32" s="4"/>
    </row>
    <row r="33" spans="1:28" x14ac:dyDescent="0.2">
      <c r="A33" s="4" t="str">
        <f t="shared" ca="1" si="0"/>
        <v>SEI-260006/047901/2024</v>
      </c>
      <c r="B33" s="4" t="str">
        <f t="shared" ca="1" si="1"/>
        <v>Investigativa</v>
      </c>
      <c r="C33" s="4" t="str">
        <f ca="1">IFERROR(__xludf.DUMMYFUNCTION("""COMPUTED_VALUE"""),"1483/2024")</f>
        <v>1483/2024</v>
      </c>
      <c r="D33" s="4" t="str">
        <f ca="1">IFERROR(__xludf.DUMMYFUNCTION("""COMPUTED_VALUE"""),"SEI-260006/047901/2024
Investigativa")</f>
        <v>SEI-260006/047901/2024
Investigativa</v>
      </c>
      <c r="E33" s="4"/>
      <c r="F33" s="4" t="str">
        <f ca="1">IFERROR(__xludf.DUMMYFUNCTION("""COMPUTED_VALUE"""),"Outros")</f>
        <v>Outros</v>
      </c>
      <c r="G33" s="4"/>
      <c r="H33" s="4" t="str">
        <f ca="1">IFERROR(__xludf.DUMMYFUNCTION("""COMPUTED_VALUE"""),"Denúncia, Outros.")</f>
        <v>Denúncia, Outros.</v>
      </c>
      <c r="I33" s="4" t="str">
        <f ca="1">IFERROR(__xludf.DUMMYFUNCTION("""COMPUTED_VALUE"""),"Apurar os termos da denúncia apresentada pela docente Lucia Helena Salgado e Silva, junto à Ouvidoria Geral da UERJ, relatando ter sido injuriada, caluniada, ofendida, atacada em sua honra e dignidade, além de ser exposta publicamente com publicações físi"&amp;"cas e digitais (82751549); (ocupação)")</f>
        <v>Apurar os termos da denúncia apresentada pela docente Lucia Helena Salgado e Silva, junto à Ouvidoria Geral da UERJ, relatando ter sido injuriada, caluniada, ofendida, atacada em sua honra e dignidade, além de ser exposta publicamente com publicações físicas e digitais (82751549); (ocupação)</v>
      </c>
      <c r="J33" s="4" t="str">
        <f ca="1">IFERROR(__xludf.DUMMYFUNCTION("""COMPUTED_VALUE"""),"PORTARIA Nº1483/2024 - INSTAURA  sindicância Investigativa para,no prazo de 30 dias, contados da data da publicação, apurar eventual irregularidade objeto do processo nº SEI-260006/040207/2024, bem como os fatos conexos que emergirem no decorrer dos traba"&amp;"lhos, designando para procedê-la, Comissão, integrada pelos servidores: PAULA ASSED GONÇALVES DE SOUZA, matr. nº 33.885-5; MARCO AURÉLIO RODRIGUESDA FONSECA PASSOS, matr. nº 6.749-6; GUSTAVO MOZART SANTOS DA SILVA,matr. nº 41.286-6. Processo nº SEI-260006"&amp;"/040207/2024.")</f>
        <v>PORTARIA Nº1483/2024 - INSTAURA  sindicância Investigativa para,no prazo de 30 dias, contados da data da publicação, apurar eventual irregularidade objeto do processo nº SEI-260006/040207/2024, bem como os fatos conexos que emergirem no decorrer dos trabalhos, designando para procedê-la, Comissão, integrada pelos servidores: PAULA ASSED GONÇALVES DE SOUZA, matr. nº 33.885-5; MARCO AURÉLIO RODRIGUESDA FONSECA PASSOS, matr. nº 6.749-6; GUSTAVO MOZART SANTOS DA SILVA,matr. nº 41.286-6. Processo nº SEI-260006/040207/2024.</v>
      </c>
      <c r="K33" s="4"/>
      <c r="L33" s="6">
        <f ca="1">IFERROR(__xludf.DUMMYFUNCTION("""COMPUTED_VALUE"""),45579)</f>
        <v>45579</v>
      </c>
      <c r="M33" s="6">
        <f ca="1">IFERROR(__xludf.DUMMYFUNCTION("""COMPUTED_VALUE"""),45582)</f>
        <v>45582</v>
      </c>
      <c r="N33" s="6">
        <f ca="1">IFERROR(__xludf.DUMMYFUNCTION("""COMPUTED_VALUE"""),45620)</f>
        <v>45620</v>
      </c>
      <c r="O33" s="6">
        <f ca="1">IFERROR(__xludf.DUMMYFUNCTION("""COMPUTED_VALUE"""),45621)</f>
        <v>45621</v>
      </c>
      <c r="P33" s="4" t="str">
        <f ca="1">IFERROR(__xludf.DUMMYFUNCTION("""COMPUTED_VALUE"""),"Enviado para a PGUERJ em 18/05/2026")</f>
        <v>Enviado para a PGUERJ em 18/05/2026</v>
      </c>
      <c r="Q33" s="6">
        <f ca="1">IFERROR(__xludf.DUMMYFUNCTION("""COMPUTED_VALUE"""),46351)</f>
        <v>46351</v>
      </c>
      <c r="R33" s="4" t="str">
        <f ca="1">IFERROR(__xludf.DUMMYFUNCTION("""COMPUTED_VALUE"""),"Enviado para a PGUERJ em 18/05/2026")</f>
        <v>Enviado para a PGUERJ em 18/05/2026</v>
      </c>
      <c r="S33" s="6">
        <f ca="1">IFERROR(__xludf.DUMMYFUNCTION("""COMPUTED_VALUE"""),47447)</f>
        <v>47447</v>
      </c>
      <c r="T33" s="4" t="str">
        <f ca="1">IFERROR(__xludf.DUMMYFUNCTION("""COMPUTED_VALUE"""),"Paula Assed")</f>
        <v>Paula Assed</v>
      </c>
      <c r="U33" s="4" t="str">
        <f ca="1">IFERROR(__xludf.DUMMYFUNCTION("""COMPUTED_VALUE"""),"Celso Luiz Pieroni")</f>
        <v>Celso Luiz Pieroni</v>
      </c>
      <c r="V33" s="4" t="str">
        <f ca="1">IFERROR(__xludf.DUMMYFUNCTION("""COMPUTED_VALUE"""),"Gustavo Mozart")</f>
        <v>Gustavo Mozart</v>
      </c>
      <c r="W33" s="4" t="str">
        <f ca="1">IFERROR(__xludf.DUMMYFUNCTION("""COMPUTED_VALUE"""),"Micheline")</f>
        <v>Micheline</v>
      </c>
      <c r="X33" s="4" t="str">
        <f ca="1">IFERROR(__xludf.DUMMYFUNCTION("""COMPUTED_VALUE"""),"Não")</f>
        <v>Não</v>
      </c>
      <c r="Y33" s="4" t="str">
        <f ca="1">IFERROR(__xludf.DUMMYFUNCTION("""COMPUTED_VALUE"""),"SEI-260006/040207/2024")</f>
        <v>SEI-260006/040207/2024</v>
      </c>
      <c r="Z33" s="4" t="str">
        <f ca="1">IFERROR(__xludf.DUMMYFUNCTION("""COMPUTED_VALUE"""),"C-Envio à PG/ Encerrado.")</f>
        <v>C-Envio à PG/ Encerrado.</v>
      </c>
      <c r="AA33" s="4"/>
      <c r="AB33" s="4"/>
    </row>
    <row r="34" spans="1:28" x14ac:dyDescent="0.2">
      <c r="A34" s="4" t="str">
        <f t="shared" ca="1" si="0"/>
        <v>SEI-260006/047861/2024</v>
      </c>
      <c r="B34" s="4" t="str">
        <f t="shared" ca="1" si="1"/>
        <v>Investigativa</v>
      </c>
      <c r="C34" s="4" t="str">
        <f ca="1">IFERROR(__xludf.DUMMYFUNCTION("""COMPUTED_VALUE"""),"1484/2024")</f>
        <v>1484/2024</v>
      </c>
      <c r="D34" s="4" t="str">
        <f ca="1">IFERROR(__xludf.DUMMYFUNCTION("""COMPUTED_VALUE"""),"SEI-260006/047861/2024  
Investigativa")</f>
        <v>SEI-260006/047861/2024  
Investigativa</v>
      </c>
      <c r="E34" s="4"/>
      <c r="F34" s="4" t="str">
        <f ca="1">IFERROR(__xludf.DUMMYFUNCTION("""COMPUTED_VALUE"""),"Fraudes")</f>
        <v>Fraudes</v>
      </c>
      <c r="G34" s="4" t="str">
        <f ca="1">IFERROR(__xludf.DUMMYFUNCTION("""COMPUTED_VALUE"""),"Denúncia")</f>
        <v>Denúncia</v>
      </c>
      <c r="H34" s="4" t="str">
        <f ca="1">IFERROR(__xludf.DUMMYFUNCTION("""COMPUTED_VALUE"""),"Projeto")</f>
        <v>Projeto</v>
      </c>
      <c r="I34" s="4" t="str">
        <f ca="1">IFERROR(__xludf.DUMMYFUNCTION("""COMPUTED_VALUE"""),"Apuração de denúncia veiculada em reportagem jornalística acerca de irregularidades em projetos da UERJ. ")</f>
        <v xml:space="preserve">Apuração de denúncia veiculada em reportagem jornalística acerca de irregularidades em projetos da UERJ. </v>
      </c>
      <c r="J34" s="4" t="str">
        <f ca="1">IFERROR(__xludf.DUMMYFUNCTION("""COMPUTED_VALUE"""),"Portaria - NI 1484 (85336455)
A REITORA DA UNIVERSIDADE DO ESTADO DO RIO DE JANEIRO, no uso de suas atribuições e tendo em vista o disposto no Processo nº SEI-260007/034381/2023, RESOLVE: Art. 1º - Instaurar Comissão de Sindicância Investigativa para, no "&amp;"prazo de 30 dias, contados da data da publicação, apurar eventual irregularidade objeto do processo supracitado, bem como os fatos conexos que emergirem no decorrer dos trabalhos. Art. 2º - Designar para compor Comissão de Sindicância Investigativa os ser"&amp;"vidores abaixo indicados, sob a presidência do primeiro: a) Vanessa O, de Queiroz, matr. 39.914-7 b) Hannah O. Coutinho, mat: 36.994-2 c) Marco Aurélio R, da F. Passos, matr. nº 6.749-6; Art. 3º - Esta portaria entra em vigor na data da publicação.
 PORTA"&amp;"RIA Nº 1639/2024 - A LT E R A a composição da Comissão de Sindicância instituída pela Portaria Reitoria nº 1484/2024, publicada no DOERJ de29/10/2024, designandoo servidorMARCELO F.DE OLIVEIRA, matr: nº 31.161-3; emsubstituição à servidora HANNAH O. COUTI"&amp;"NHO. Processo nº SEI-260006/047861/2024.")</f>
        <v>Portaria - NI 1484 (85336455)
A REITORA DA UNIVERSIDADE DO ESTADO DO RIO DE JANEIRO, no uso de suas atribuições e tendo em vista o disposto no Processo nº SEI-260007/034381/2023, RESOLVE: Art. 1º - Instaurar Comissão de Sindicância Investigativa para, no prazo de 30 dias, contados da data da publicação, apurar eventual irregularidade objeto do processo supracitado, bem como os fatos conexos que emergirem no decorrer dos trabalhos. Art. 2º - Designar para compor Comissão de Sindicância Investigativa os servidores abaixo indicados, sob a presidência do primeiro: a) Vanessa O, de Queiroz, matr. 39.914-7 b) Hannah O. Coutinho, mat: 36.994-2 c) Marco Aurélio R, da F. Passos, matr. nº 6.749-6; Art. 3º - Esta portaria entra em vigor na data da publicação.
 PORTARIA Nº 1639/2024 - A LT E R A a composição da Comissão de Sindicância instituída pela Portaria Reitoria nº 1484/2024, publicada no DOERJ de29/10/2024, designandoo servidorMARCELO F.DE OLIVEIRA, matr: nº 31.161-3; emsubstituição à servidora HANNAH O. COUTINHO. Processo nº SEI-260006/047861/2024.</v>
      </c>
      <c r="K34" s="4"/>
      <c r="L34" s="6">
        <f ca="1">IFERROR(__xludf.DUMMYFUNCTION("""COMPUTED_VALUE"""),45579)</f>
        <v>45579</v>
      </c>
      <c r="M34" s="6">
        <f ca="1">IFERROR(__xludf.DUMMYFUNCTION("""COMPUTED_VALUE"""),45594)</f>
        <v>45594</v>
      </c>
      <c r="N34" s="6">
        <f ca="1">IFERROR(__xludf.DUMMYFUNCTION("""COMPUTED_VALUE"""),45632)</f>
        <v>45632</v>
      </c>
      <c r="O34" s="6">
        <f ca="1">IFERROR(__xludf.DUMMYFUNCTION("""COMPUTED_VALUE"""),45633)</f>
        <v>45633</v>
      </c>
      <c r="P34" s="4">
        <f ca="1">IFERROR(__xludf.DUMMYFUNCTION("""COMPUTED_VALUE"""),80)</f>
        <v>80</v>
      </c>
      <c r="Q34" s="6">
        <f ca="1">IFERROR(__xludf.DUMMYFUNCTION("""COMPUTED_VALUE"""),46363)</f>
        <v>46363</v>
      </c>
      <c r="R34" s="4">
        <f ca="1">IFERROR(__xludf.DUMMYFUNCTION("""COMPUTED_VALUE"""),1176)</f>
        <v>1176</v>
      </c>
      <c r="S34" s="6">
        <f ca="1">IFERROR(__xludf.DUMMYFUNCTION("""COMPUTED_VALUE"""),47459)</f>
        <v>47459</v>
      </c>
      <c r="T34" s="4" t="str">
        <f ca="1">IFERROR(__xludf.DUMMYFUNCTION("""COMPUTED_VALUE"""),"Vanessa Queiroz")</f>
        <v>Vanessa Queiroz</v>
      </c>
      <c r="U34" s="4" t="str">
        <f ca="1">IFERROR(__xludf.DUMMYFUNCTION("""COMPUTED_VALUE"""),"Marcelo Ferreira")</f>
        <v>Marcelo Ferreira</v>
      </c>
      <c r="V34" s="4" t="str">
        <f ca="1">IFERROR(__xludf.DUMMYFUNCTION("""COMPUTED_VALUE"""),"Celso Luiz Pieroni")</f>
        <v>Celso Luiz Pieroni</v>
      </c>
      <c r="W34" s="4" t="str">
        <f ca="1">IFERROR(__xludf.DUMMYFUNCTION("""COMPUTED_VALUE"""),"Débora")</f>
        <v>Débora</v>
      </c>
      <c r="X34" s="4" t="str">
        <f ca="1">IFERROR(__xludf.DUMMYFUNCTION("""COMPUTED_VALUE"""),"Não")</f>
        <v>Não</v>
      </c>
      <c r="Y34" s="4" t="str">
        <f ca="1">IFERROR(__xludf.DUMMYFUNCTION("""COMPUTED_VALUE"""),"SEI-260007/034381/2023")</f>
        <v>SEI-260007/034381/2023</v>
      </c>
      <c r="Z34" s="4" t="str">
        <f ca="1">IFERROR(__xludf.DUMMYFUNCTION("""COMPUTED_VALUE"""),"C-Relatório final")</f>
        <v>C-Relatório final</v>
      </c>
      <c r="AA34" s="4"/>
      <c r="AB34" s="4"/>
    </row>
    <row r="35" spans="1:28" x14ac:dyDescent="0.2">
      <c r="A35" s="4" t="str">
        <f t="shared" ca="1" si="0"/>
        <v>SEI-260006/047339/2024</v>
      </c>
      <c r="B35" s="4" t="str">
        <f t="shared" ca="1" si="1"/>
        <v>Investigativa</v>
      </c>
      <c r="C35" s="4" t="str">
        <f ca="1">IFERROR(__xludf.DUMMYFUNCTION("""COMPUTED_VALUE"""),"1500/2024")</f>
        <v>1500/2024</v>
      </c>
      <c r="D35" s="4" t="str">
        <f ca="1">IFERROR(__xludf.DUMMYFUNCTION("""COMPUTED_VALUE"""),"SEI-260006/047339/2024
Investigativa")</f>
        <v>SEI-260006/047339/2024
Investigativa</v>
      </c>
      <c r="E35" s="4"/>
      <c r="F35" s="4" t="str">
        <f ca="1">IFERROR(__xludf.DUMMYFUNCTION("""COMPUTED_VALUE"""),"Ameaça")</f>
        <v>Ameaça</v>
      </c>
      <c r="G35" s="4" t="str">
        <f ca="1">IFERROR(__xludf.DUMMYFUNCTION("""COMPUTED_VALUE"""),"Outros.")</f>
        <v>Outros.</v>
      </c>
      <c r="H35" s="4" t="str">
        <f ca="1">IFERROR(__xludf.DUMMYFUNCTION("""COMPUTED_VALUE"""),"Denúncia, Outros.")</f>
        <v>Denúncia, Outros.</v>
      </c>
      <c r="I35" s="4" t="str">
        <f ca="1">IFERROR(__xludf.DUMMYFUNCTION("""COMPUTED_VALUE"""),"Verificar as denúncias feitas na Manifestação 559.2024 (81446486). Docente ALCIDESIO DE OLIVEIRA JUNIOR relatando necessidade de cancelar  disciplina ministrada no campus Maracanã, em razão de suposta ameaça, conforme documentos 81446486 e 81446536;")</f>
        <v>Verificar as denúncias feitas na Manifestação 559.2024 (81446486). Docente ALCIDESIO DE OLIVEIRA JUNIOR relatando necessidade de cancelar  disciplina ministrada no campus Maracanã, em razão de suposta ameaça, conforme documentos 81446486 e 81446536;</v>
      </c>
      <c r="J35" s="4" t="str">
        <f ca="1">IFERROR(__xludf.DUMMYFUNCTION("""COMPUTED_VALUE"""),"PORTARIA Nº 1500/2024 - INSTAURA Sindicância Investigativa para, no prazo de 30 dias, contados da data da publicação, apurar eventual
irregularidade objeto do processo nº SEI-260006/037492/2024, bem como os fatos conexos que emergirem no decorrer dos trab"&amp;"alhos, designando para procedê-la, sob a presidência da primeira os servidores: PAULA ASSED GONÇALVES DE SOUZA, matr.nº 33.885-5;
MARCO AURÉLIO RODRIGUES DA FONSECA PASSOS, matr. nº 6.749-6; GUSTAVO MOZART SANTOS DA SILVA, matr. nº. 41.286-6.
Processo n"&amp;"º SEI-260006/037492/2024.")</f>
        <v>PORTARIA Nº 1500/2024 - INSTAURA Sindicância Investigativa para, no prazo de 30 dias, contados da data da publicação, apurar eventual
irregularidade objeto do processo nº SEI-260006/037492/2024, bem como os fatos conexos que emergirem no decorrer dos trabalhos, designando para procedê-la, sob a presidência da primeira os servidores: PAULA ASSED GONÇALVES DE SOUZA, matr.nº 33.885-5;
MARCO AURÉLIO RODRIGUES DA FONSECA PASSOS, matr. nº 6.749-6; GUSTAVO MOZART SANTOS DA SILVA, matr. nº. 41.286-6.
Processo nº SEI-260006/037492/2024.</v>
      </c>
      <c r="K35" s="4"/>
      <c r="L35" s="6">
        <f ca="1">IFERROR(__xludf.DUMMYFUNCTION("""COMPUTED_VALUE"""),45581)</f>
        <v>45581</v>
      </c>
      <c r="M35" s="6">
        <f ca="1">IFERROR(__xludf.DUMMYFUNCTION("""COMPUTED_VALUE"""),45583)</f>
        <v>45583</v>
      </c>
      <c r="N35" s="6">
        <f ca="1">IFERROR(__xludf.DUMMYFUNCTION("""COMPUTED_VALUE"""),45621)</f>
        <v>45621</v>
      </c>
      <c r="O35" s="6">
        <f ca="1">IFERROR(__xludf.DUMMYFUNCTION("""COMPUTED_VALUE"""),45622)</f>
        <v>45622</v>
      </c>
      <c r="P35" s="4" t="str">
        <f ca="1">IFERROR(__xludf.DUMMYFUNCTION("""COMPUTED_VALUE"""),"Enviado para a PGUERJ em 08/04/2026")</f>
        <v>Enviado para a PGUERJ em 08/04/2026</v>
      </c>
      <c r="Q35" s="6">
        <f ca="1">IFERROR(__xludf.DUMMYFUNCTION("""COMPUTED_VALUE"""),46352)</f>
        <v>46352</v>
      </c>
      <c r="R35" s="4" t="str">
        <f ca="1">IFERROR(__xludf.DUMMYFUNCTION("""COMPUTED_VALUE"""),"Enviado para a PGUERJ em 08/04/2026")</f>
        <v>Enviado para a PGUERJ em 08/04/2026</v>
      </c>
      <c r="S35" s="6">
        <f ca="1">IFERROR(__xludf.DUMMYFUNCTION("""COMPUTED_VALUE"""),47448)</f>
        <v>47448</v>
      </c>
      <c r="T35" s="4" t="str">
        <f ca="1">IFERROR(__xludf.DUMMYFUNCTION("""COMPUTED_VALUE"""),"Paula Assed")</f>
        <v>Paula Assed</v>
      </c>
      <c r="U35" s="4" t="str">
        <f ca="1">IFERROR(__xludf.DUMMYFUNCTION("""COMPUTED_VALUE"""),"Celso Luiz Pieroni")</f>
        <v>Celso Luiz Pieroni</v>
      </c>
      <c r="V35" s="4" t="str">
        <f ca="1">IFERROR(__xludf.DUMMYFUNCTION("""COMPUTED_VALUE"""),"Gustavo Mozart")</f>
        <v>Gustavo Mozart</v>
      </c>
      <c r="W35" s="4" t="str">
        <f ca="1">IFERROR(__xludf.DUMMYFUNCTION("""COMPUTED_VALUE"""),"Micheline")</f>
        <v>Micheline</v>
      </c>
      <c r="X35" s="4" t="str">
        <f ca="1">IFERROR(__xludf.DUMMYFUNCTION("""COMPUTED_VALUE"""),"Não")</f>
        <v>Não</v>
      </c>
      <c r="Y35" s="4" t="str">
        <f ca="1">IFERROR(__xludf.DUMMYFUNCTION("""COMPUTED_VALUE"""),"SEI-260006/037492/2024")</f>
        <v>SEI-260006/037492/2024</v>
      </c>
      <c r="Z35" s="4" t="str">
        <f ca="1">IFERROR(__xludf.DUMMYFUNCTION("""COMPUTED_VALUE"""),"C-Envio à PG/ Encerrado.")</f>
        <v>C-Envio à PG/ Encerrado.</v>
      </c>
      <c r="AA35" s="4"/>
      <c r="AB35" s="4"/>
    </row>
    <row r="36" spans="1:28" x14ac:dyDescent="0.2">
      <c r="A36" s="4" t="str">
        <f t="shared" ca="1" si="0"/>
        <v>SEI-260006/056343/2024</v>
      </c>
      <c r="B36" s="4" t="str">
        <f t="shared" ca="1" si="1"/>
        <v>Investigativa</v>
      </c>
      <c r="C36" s="4" t="str">
        <f ca="1">IFERROR(__xludf.DUMMYFUNCTION("""COMPUTED_VALUE"""),"1621/2024")</f>
        <v>1621/2024</v>
      </c>
      <c r="D36" s="4" t="str">
        <f ca="1">IFERROR(__xludf.DUMMYFUNCTION("""COMPUTED_VALUE"""),"SEI-260006/056343/2024
Investigativa")</f>
        <v>SEI-260006/056343/2024
Investigativa</v>
      </c>
      <c r="E36" s="4" t="str">
        <f ca="1">IFERROR(__xludf.DUMMYFUNCTION("""COMPUTED_VALUE"""),"PROJETOS")</f>
        <v>PROJETOS</v>
      </c>
      <c r="F36" s="4" t="str">
        <f ca="1">IFERROR(__xludf.DUMMYFUNCTION("""COMPUTED_VALUE"""),"Crimes contra a Administração Pública")</f>
        <v>Crimes contra a Administração Pública</v>
      </c>
      <c r="G36" s="4" t="str">
        <f ca="1">IFERROR(__xludf.DUMMYFUNCTION("""COMPUTED_VALUE"""),"Contratação irregular")</f>
        <v>Contratação irregular</v>
      </c>
      <c r="H36" s="4" t="str">
        <f ca="1">IFERROR(__xludf.DUMMYFUNCTION("""COMPUTED_VALUE"""),"Contratação irregular")</f>
        <v>Contratação irregular</v>
      </c>
      <c r="I36" s="4" t="str">
        <f ca="1">IFERROR(__xludf.DUMMYFUNCTION("""COMPUTED_VALUE"""),"Verificar se houve o pagamento de R$2.000.000 (dois milhões de reais) a empresa BLOCKCHAIN RIO PRODUCOES E EVENTOS LTDA em desacordo com as recomendações formuladas, uma vez que não houve consulta prévia à Procuradoria-Geral da UERJ, sem cobertura contrat"&amp;"ual válida e, ainda, sem autorização prévia do ordenador de despesa; Além da justificativa técnica para a contratação.")</f>
        <v>Verificar se houve o pagamento de R$2.000.000 (dois milhões de reais) a empresa BLOCKCHAIN RIO PRODUCOES E EVENTOS LTDA em desacordo com as recomendações formuladas, uma vez que não houve consulta prévia à Procuradoria-Geral da UERJ, sem cobertura contratual válida e, ainda, sem autorização prévia do ordenador de despesa; Além da justificativa técnica para a contratação.</v>
      </c>
      <c r="J36" s="4" t="str">
        <f ca="1">IFERROR(__xludf.DUMMYFUNCTION("""COMPUTED_VALUE""")," PORTARIA UERJ/REITORIASEI Nº 1621/2024 - I N S TA U R A sindicância investigativa para apuração de eventual irregularidade objeto do Processo nº SEI-260007/048779/2023, bem como de fatos conexos que emergirem no decorrer dos trabalhos, designando para pr"&amp;"ocedê-la noprazo de30dias, contadosda datadapublicação, Comissão integrada pelas servidores, sob a presidência do primeiro: MARCELO FERREIRADEOLIVEIRA,matr. nº 31.161-3; JEANNYCORREADE ALMEIDA PASSIGATTE,matr. nº 36.183-2; KAROLYNNEDE ARAUJO MARINS JOSÉ R"&amp;"OCHA, matr. nº 35.698-0- Processo nº SEI 260007/048779/2023.")</f>
        <v xml:space="preserve"> PORTARIA UERJ/REITORIASEI Nº 1621/2024 - I N S TA U R A sindicância investigativa para apuração de eventual irregularidade objeto do Processo nº SEI-260007/048779/2023, bem como de fatos conexos que emergirem no decorrer dos trabalhos, designando para procedê-la noprazo de30dias, contadosda datadapublicação, Comissão integrada pelas servidores, sob a presidência do primeiro: MARCELO FERREIRADEOLIVEIRA,matr. nº 31.161-3; JEANNYCORREADE ALMEIDA PASSIGATTE,matr. nº 36.183-2; KAROLYNNEDE ARAUJO MARINS JOSÉ ROCHA, matr. nº 35.698-0- Processo nº SEI 260007/048779/2023.</v>
      </c>
      <c r="K36" s="4" t="str">
        <f ca="1">IFERROR(__xludf.DUMMYFUNCTION("""COMPUTED_VALUE"""),"Não")</f>
        <v>Não</v>
      </c>
      <c r="L36" s="6">
        <f ca="1">IFERROR(__xludf.DUMMYFUNCTION("""COMPUTED_VALUE"""),45623)</f>
        <v>45623</v>
      </c>
      <c r="M36" s="6">
        <f ca="1">IFERROR(__xludf.DUMMYFUNCTION("""COMPUTED_VALUE"""),45625)</f>
        <v>45625</v>
      </c>
      <c r="N36" s="6">
        <f ca="1">IFERROR(__xludf.DUMMYFUNCTION("""COMPUTED_VALUE"""),45663)</f>
        <v>45663</v>
      </c>
      <c r="O36" s="6">
        <f ca="1">IFERROR(__xludf.DUMMYFUNCTION("""COMPUTED_VALUE"""),45664)</f>
        <v>45664</v>
      </c>
      <c r="P36" s="4" t="str">
        <f ca="1">IFERROR(__xludf.DUMMYFUNCTION("""COMPUTED_VALUE"""),"Enviado para a PGUERJ em 22/01/2026")</f>
        <v>Enviado para a PGUERJ em 22/01/2026</v>
      </c>
      <c r="Q36" s="6">
        <f ca="1">IFERROR(__xludf.DUMMYFUNCTION("""COMPUTED_VALUE"""),46394)</f>
        <v>46394</v>
      </c>
      <c r="R36" s="4" t="str">
        <f ca="1">IFERROR(__xludf.DUMMYFUNCTION("""COMPUTED_VALUE"""),"Enviado para a PGUERJ em 22/01/2026")</f>
        <v>Enviado para a PGUERJ em 22/01/2026</v>
      </c>
      <c r="S36" s="6">
        <f ca="1">IFERROR(__xludf.DUMMYFUNCTION("""COMPUTED_VALUE"""),47490)</f>
        <v>47490</v>
      </c>
      <c r="T36" s="4" t="str">
        <f ca="1">IFERROR(__xludf.DUMMYFUNCTION("""COMPUTED_VALUE"""),"Marcelo Ferreira")</f>
        <v>Marcelo Ferreira</v>
      </c>
      <c r="U36" s="4" t="str">
        <f ca="1">IFERROR(__xludf.DUMMYFUNCTION("""COMPUTED_VALUE"""),"Jeanny Passigatte")</f>
        <v>Jeanny Passigatte</v>
      </c>
      <c r="V36" s="4" t="str">
        <f ca="1">IFERROR(__xludf.DUMMYFUNCTION("""COMPUTED_VALUE"""),"Karolynne Rocha")</f>
        <v>Karolynne Rocha</v>
      </c>
      <c r="W36" s="4" t="str">
        <f ca="1">IFERROR(__xludf.DUMMYFUNCTION("""COMPUTED_VALUE"""),"Isadora")</f>
        <v>Isadora</v>
      </c>
      <c r="X36" s="4" t="str">
        <f ca="1">IFERROR(__xludf.DUMMYFUNCTION("""COMPUTED_VALUE"""),"Não")</f>
        <v>Não</v>
      </c>
      <c r="Y36" s="4" t="str">
        <f ca="1">IFERROR(__xludf.DUMMYFUNCTION("""COMPUTED_VALUE"""),"SEI-260007/048779/2023")</f>
        <v>SEI-260007/048779/2023</v>
      </c>
      <c r="Z36" s="4" t="str">
        <f ca="1">IFERROR(__xludf.DUMMYFUNCTION("""COMPUTED_VALUE"""),"C-Envio à PG/ Encerrado.")</f>
        <v>C-Envio à PG/ Encerrado.</v>
      </c>
      <c r="AA36" s="4"/>
      <c r="AB36" s="4"/>
    </row>
    <row r="37" spans="1:28" x14ac:dyDescent="0.2">
      <c r="A37" s="4" t="str">
        <f t="shared" ca="1" si="0"/>
        <v>SEI-260006/054930/2024</v>
      </c>
      <c r="B37" s="4" t="str">
        <f t="shared" ca="1" si="1"/>
        <v>pela reitoria</v>
      </c>
      <c r="C37" s="4" t="str">
        <f ca="1">IFERROR(__xludf.DUMMYFUNCTION("""COMPUTED_VALUE"""),"0709/2026")</f>
        <v>0709/2026</v>
      </c>
      <c r="D37" s="4" t="str">
        <f ca="1">IFERROR(__xludf.DUMMYFUNCTION("""COMPUTED_VALUE"""),"SEI-260006/054930/2024
Investigativa
avocada pela reitoria")</f>
        <v>SEI-260006/054930/2024
Investigativa
avocada pela reitoria</v>
      </c>
      <c r="E37" s="4"/>
      <c r="F37" s="4"/>
      <c r="G37" s="4"/>
      <c r="H37" s="4"/>
      <c r="I37" s="4" t="str">
        <f ca="1">IFERROR(__xludf.DUMMYFUNCTION("""COMPUTED_VALUE"""),"apuração de manifestação recebida na Ouvidoria-Geral em 15/08/2024, protocolada internamente sob o no 555.2024 e no sistema OuvERJ sob o nº 202408151827403, relatando a suposta ocorrência de atos que podem configurar irregularidades funcionais, incluindo "&amp;"assédio e importunação sexual (81140892 e anexo 81140946), por parte do docente Bruno Miranda Neves (matr. 35660-0), lotado no Instituto Multidisciplinar de Formação Humana com Tecnologias (IFHT), em face da ex-discente da UERJ Bruna Cavalcanti Avila;")</f>
        <v>apuração de manifestação recebida na Ouvidoria-Geral em 15/08/2024, protocolada internamente sob o no 555.2024 e no sistema OuvERJ sob o nº 202408151827403, relatando a suposta ocorrência de atos que podem configurar irregularidades funcionais, incluindo assédio e importunação sexual (81140892 e anexo 81140946), por parte do docente Bruno Miranda Neves (matr. 35660-0), lotado no Instituto Multidisciplinar de Formação Humana com Tecnologias (IFHT), em face da ex-discente da UERJ Bruna Cavalcanti Avila;</v>
      </c>
      <c r="J37" s="4" t="str">
        <f ca="1">IFERROR(__xludf.DUMMYFUNCTION("""COMPUTED_VALUE"""),"PORTARIA Nº 709/2026 -AVOCA o processo de sindicâncianº  SEI-260006/054930/2024, designando para procedê-lo KAROLYNNE DEA. MARINS JOSÉ ROCHA, matr. nº 35.698-0, como sindicante única. Processo nº SEI-260006/036903/2024.
-----------------------------------"&amp;"------------------------------------
A nova portaria foi publicada em 10/06/2026")</f>
        <v>PORTARIA Nº 709/2026 -AVOCA o processo de sindicâncianº  SEI-260006/054930/2024, designando para procedê-lo KAROLYNNE DEA. MARINS JOSÉ ROCHA, matr. nº 35.698-0, como sindicante única. Processo nº SEI-260006/036903/2024.
-----------------------------------------------------------------------
A nova portaria foi publicada em 10/06/2026</v>
      </c>
      <c r="K37" s="4"/>
      <c r="L37" s="6">
        <f ca="1">IFERROR(__xludf.DUMMYFUNCTION("""COMPUTED_VALUE"""),45622)</f>
        <v>45622</v>
      </c>
      <c r="M37" s="6">
        <f ca="1">IFERROR(__xludf.DUMMYFUNCTION("""COMPUTED_VALUE"""),45624)</f>
        <v>45624</v>
      </c>
      <c r="N37" s="6">
        <f ca="1">IFERROR(__xludf.DUMMYFUNCTION("""COMPUTED_VALUE"""),45662)</f>
        <v>45662</v>
      </c>
      <c r="O37" s="6">
        <f ca="1">IFERROR(__xludf.DUMMYFUNCTION("""COMPUTED_VALUE"""),45663)</f>
        <v>45663</v>
      </c>
      <c r="P37" s="4">
        <f ca="1">IFERROR(__xludf.DUMMYFUNCTION("""COMPUTED_VALUE"""),110)</f>
        <v>110</v>
      </c>
      <c r="Q37" s="6">
        <f ca="1">IFERROR(__xludf.DUMMYFUNCTION("""COMPUTED_VALUE"""),46393)</f>
        <v>46393</v>
      </c>
      <c r="R37" s="4">
        <f ca="1">IFERROR(__xludf.DUMMYFUNCTION("""COMPUTED_VALUE"""),1206)</f>
        <v>1206</v>
      </c>
      <c r="S37" s="6">
        <f ca="1">IFERROR(__xludf.DUMMYFUNCTION("""COMPUTED_VALUE"""),47489)</f>
        <v>47489</v>
      </c>
      <c r="T37" s="4" t="str">
        <f ca="1">IFERROR(__xludf.DUMMYFUNCTION("""COMPUTED_VALUE"""),"Karolynne Rocha")</f>
        <v>Karolynne Rocha</v>
      </c>
      <c r="U37" s="4"/>
      <c r="V37" s="4"/>
      <c r="W37" s="4" t="str">
        <f ca="1">IFERROR(__xludf.DUMMYFUNCTION("""COMPUTED_VALUE"""),"Isadora")</f>
        <v>Isadora</v>
      </c>
      <c r="X37" s="4"/>
      <c r="Y37" s="4" t="str">
        <f ca="1">IFERROR(__xludf.DUMMYFUNCTION("""COMPUTED_VALUE"""),"SEI-260006/036903/2024")</f>
        <v>SEI-260006/036903/2024</v>
      </c>
      <c r="Z37" s="4" t="str">
        <f ca="1">IFERROR(__xludf.DUMMYFUNCTION("""COMPUTED_VALUE"""),"C-Em apuração")</f>
        <v>C-Em apuração</v>
      </c>
      <c r="AA37" s="4"/>
      <c r="AB37" s="4"/>
    </row>
    <row r="38" spans="1:28" x14ac:dyDescent="0.2">
      <c r="A38" s="4" t="str">
        <f t="shared" ca="1" si="0"/>
        <v>SEI-260006/002360/2025</v>
      </c>
      <c r="B38" s="4" t="str">
        <f t="shared" ca="1" si="1"/>
        <v>Contraditória</v>
      </c>
      <c r="C38" s="4"/>
      <c r="D38" s="4" t="str">
        <f ca="1">IFERROR(__xludf.DUMMYFUNCTION("""COMPUTED_VALUE"""),"SEI-260006/002360/2025
Contraditória")</f>
        <v>SEI-260006/002360/2025
Contraditória</v>
      </c>
      <c r="E38" s="4" t="str">
        <f ca="1">IFERROR(__xludf.DUMMYFUNCTION("""COMPUTED_VALUE"""),"Ursula Andrea Barbara Verdugo Rohrer, 
Silvia Dias e 
Solange Francisco do Nascimento")</f>
        <v>Ursula Andrea Barbara Verdugo Rohrer, 
Silvia Dias e 
Solange Francisco do Nascimento</v>
      </c>
      <c r="F38" s="4"/>
      <c r="G38" s="4"/>
      <c r="H38" s="4"/>
      <c r="I38" s="4" t="str">
        <f ca="1">IFERROR(__xludf.DUMMYFUNCTION("""COMPUTED_VALUE"""),"análise abrangerá as manifestações de denúncia constantes destes autos e dos processos SEI-260006/042381/2024 e SEI-260006/043363/2024. os elementos de fato apresentados pelos denunciantes podem indicar a possível configuração de assédio moral vertical as"&amp;"cendente e assédio moral horizontal (cf. art. 2o, p.ú., IV, VI e VII, da Lei estadual no 3.921/2002, por analogia) e insubordinação grave em serviço (DL 220/75, art. 52, VII, e D. 2479/79, art. 298, VII).")</f>
        <v>análise abrangerá as manifestações de denúncia constantes destes autos e dos processos SEI-260006/042381/2024 e SEI-260006/043363/2024. os elementos de fato apresentados pelos denunciantes podem indicar a possível configuração de assédio moral vertical ascendente e assédio moral horizontal (cf. art. 2o, p.ú., IV, VI e VII, da Lei estadual no 3.921/2002, por analogia) e insubordinação grave em serviço (DL 220/75, art. 52, VII, e D. 2479/79, art. 298, VII).</v>
      </c>
      <c r="J38" s="4" t="str">
        <f ca="1">IFERROR(__xludf.DUMMYFUNCTION("""COMPUTED_VALUE"""),"PORTARIA Nº 035/2025 - INSTAURA Sindicância Contraditória para apurar eventual irregularidade objeto do Processo nº SEI-260006/038885/2024, bem como os fatos conexos que emergirem no decorrer dos trabalhos, designando para procedê-la, no prazo de 30 dias,"&amp;" contados da data da publicação no DOERJ, Comissão integrada pelos servidores: RAFAEL DE CASTRO RODRIGUES BENTO PEREIRA, matr. nº 40.962-3; MAYARA DOS ANJOS TEIXEIRA, matr. nº 40.725-4; ROGÉRIO PEREIRA DE MELO MARÇAL, matr. nº 40.549-8, sob a presidência "&amp;"do primeiro - Processo nº SEI-260006/038885/20
-------------------------------------------------------------------
PORTARIANº 422/2026- DESIGNA RODRIGO MARCELINO DA C.BELO, matr. 35.002-4, como sindicante único, em substituição aos servidores Telma F. Far"&amp;"ias T. Costa,matr. nº 35.523-0, Ana Paula B. dosSantos, matr. nº 37.363-9 e RogérioP. de Melo Marçal, matr. nº 40.549-8. Processo nº SEI-260006/038885/2024.")</f>
        <v>PORTARIA Nº 035/2025 - INSTAURA Sindicância Contraditória para apurar eventual irregularidade objeto do Processo nº SEI-260006/038885/2024, bem como os fatos conexos que emergirem no decorrer dos trabalhos, designando para procedê-la, no prazo de 30 dias, contados da data da publicação no DOERJ, Comissão integrada pelos servidores: RAFAEL DE CASTRO RODRIGUES BENTO PEREIRA, matr. nº 40.962-3; MAYARA DOS ANJOS TEIXEIRA, matr. nº 40.725-4; ROGÉRIO PEREIRA DE MELO MARÇAL, matr. nº 40.549-8, sob a presidência do primeiro - Processo nº SEI-260006/038885/20
-------------------------------------------------------------------
PORTARIANº 422/2026- DESIGNA RODRIGO MARCELINO DA C.BELO, matr. 35.002-4, como sindicante único, em substituição aos servidores Telma F. Farias T. Costa,matr. nº 35.523-0, Ana Paula B. dosSantos, matr. nº 37.363-9 e RogérioP. de Melo Marçal, matr. nº 40.549-8. Processo nº SEI-260006/038885/2024.</v>
      </c>
      <c r="K38" s="4"/>
      <c r="L38" s="6">
        <f ca="1">IFERROR(__xludf.DUMMYFUNCTION("""COMPUTED_VALUE"""),45670)</f>
        <v>45670</v>
      </c>
      <c r="M38" s="6">
        <f ca="1">IFERROR(__xludf.DUMMYFUNCTION("""COMPUTED_VALUE"""),45672)</f>
        <v>45672</v>
      </c>
      <c r="N38" s="6">
        <f ca="1">IFERROR(__xludf.DUMMYFUNCTION("""COMPUTED_VALUE"""),45710)</f>
        <v>45710</v>
      </c>
      <c r="O38" s="6">
        <f ca="1">IFERROR(__xludf.DUMMYFUNCTION("""COMPUTED_VALUE"""),45711)</f>
        <v>45711</v>
      </c>
      <c r="P38" s="4">
        <f ca="1">IFERROR(__xludf.DUMMYFUNCTION("""COMPUTED_VALUE"""),158)</f>
        <v>158</v>
      </c>
      <c r="Q38" s="6">
        <f ca="1">IFERROR(__xludf.DUMMYFUNCTION("""COMPUTED_VALUE"""),46441)</f>
        <v>46441</v>
      </c>
      <c r="R38" s="4">
        <f ca="1">IFERROR(__xludf.DUMMYFUNCTION("""COMPUTED_VALUE"""),1254)</f>
        <v>1254</v>
      </c>
      <c r="S38" s="6">
        <f ca="1">IFERROR(__xludf.DUMMYFUNCTION("""COMPUTED_VALUE"""),47537)</f>
        <v>47537</v>
      </c>
      <c r="T38" s="4" t="str">
        <f ca="1">IFERROR(__xludf.DUMMYFUNCTION("""COMPUTED_VALUE"""),"Rodrigo Marcellino")</f>
        <v>Rodrigo Marcellino</v>
      </c>
      <c r="U38" s="4"/>
      <c r="V38" s="4"/>
      <c r="W38" s="4" t="str">
        <f ca="1">IFERROR(__xludf.DUMMYFUNCTION("""COMPUTED_VALUE"""),"Débora")</f>
        <v>Débora</v>
      </c>
      <c r="X38" s="4"/>
      <c r="Y38" s="4" t="str">
        <f ca="1">IFERROR(__xludf.DUMMYFUNCTION("""COMPUTED_VALUE"""),"SEI-260006/038885/2024 
A Manifestação 2909 (88808237) considerou também os processos processos SEI-260006/042381/2024 e SEI-260006/043363/2024")</f>
        <v>SEI-260006/038885/2024 
A Manifestação 2909 (88808237) considerou também os processos processos SEI-260006/042381/2024 e SEI-260006/043363/2024</v>
      </c>
      <c r="Z38" s="4" t="str">
        <f ca="1">IFERROR(__xludf.DUMMYFUNCTION("""COMPUTED_VALUE"""),"C-Em apuração")</f>
        <v>C-Em apuração</v>
      </c>
      <c r="AA38" s="4"/>
      <c r="AB38" s="4"/>
    </row>
    <row r="39" spans="1:28" x14ac:dyDescent="0.2">
      <c r="A39" s="4" t="str">
        <f t="shared" ca="1" si="0"/>
        <v>SEI-260006/007754/2025</v>
      </c>
      <c r="B39" s="4" t="str">
        <f t="shared" ca="1" si="1"/>
        <v>Contraditória</v>
      </c>
      <c r="C39" s="4" t="str">
        <f ca="1">IFERROR(__xludf.DUMMYFUNCTION("""COMPUTED_VALUE"""),"0092/2025")</f>
        <v>0092/2025</v>
      </c>
      <c r="D39" s="4" t="str">
        <f ca="1">IFERROR(__xludf.DUMMYFUNCTION("""COMPUTED_VALUE"""),"SEI-260006/007754/2025
Contraditória")</f>
        <v>SEI-260006/007754/2025
Contraditória</v>
      </c>
      <c r="E39" s="4" t="str">
        <f ca="1">IFERROR(__xludf.DUMMYFUNCTION("""COMPUTED_VALUE"""),"Glória Maria Alves Ramos (matr. 38196-2)")</f>
        <v>Glória Maria Alves Ramos (matr. 38196-2)</v>
      </c>
      <c r="F39" s="4" t="str">
        <f ca="1">IFERROR(__xludf.DUMMYFUNCTION("""COMPUTED_VALUE"""),"Desvio de conduta")</f>
        <v>Desvio de conduta</v>
      </c>
      <c r="G39" s="4"/>
      <c r="H39" s="4"/>
      <c r="I39" s="4" t="str">
        <f ca="1">IFERROR(__xludf.DUMMYFUNCTION("""COMPUTED_VALUE"""),"demora na apresentação das informações  a respeito da existência de demanda oriunda da Ouvidoria-Geral desta instituição para o fornecimento de dados a respeito daquele projeto (Projeto Empoderadas), em setembro de 2023;")</f>
        <v>demora na apresentação das informações  a respeito da existência de demanda oriunda da Ouvidoria-Geral desta instituição para o fornecimento de dados a respeito daquele projeto (Projeto Empoderadas), em setembro de 2023;</v>
      </c>
      <c r="J39" s="4" t="str">
        <f ca="1">IFERROR(__xludf.DUMMYFUNCTION("""COMPUTED_VALUE""")," PORTARIA Nº 092/2025 - INSTAURA Sindicância Contraditória para, no prazo de 30 dias, contados da data da publicação, apurar eventual irregularidade objeto dos processos nºs SEI-260007/048818/2023 e SEI-260006/002974/2024, bem como os fatos conexos que em"&amp;"ergirem no decorrer dos trabalhos, designando para procedê-la Comissão integrada por MARCELO FERREIRA DE OLIVEIRA, matr. nº 31.161-3; MARCO AURÉLIO RODRIGUES DA FONSECA PASSOS, matr. nº
 6.749-6; e, GUSTAVO MOZART SANTOS DA SILVA, matr. nº 41.2866, sob a "&amp;"presidência do primeiro. Processo nº SEI-260007/048818/2023")</f>
        <v xml:space="preserve"> PORTARIA Nº 092/2025 - INSTAURA Sindicância Contraditória para, no prazo de 30 dias, contados da data da publicação, apurar eventual irregularidade objeto dos processos nºs SEI-260007/048818/2023 e SEI-260006/002974/2024, bem como os fatos conexos que emergirem no decorrer dos trabalhos, designando para procedê-la Comissão integrada por MARCELO FERREIRA DE OLIVEIRA, matr. nº 31.161-3; MARCO AURÉLIO RODRIGUES DA FONSECA PASSOS, matr. nº
 6.749-6; e, GUSTAVO MOZART SANTOS DA SILVA, matr. nº 41.2866, sob a presidência do primeiro. Processo nº SEI-260007/048818/2023</v>
      </c>
      <c r="K39" s="4"/>
      <c r="L39" s="6">
        <f ca="1">IFERROR(__xludf.DUMMYFUNCTION("""COMPUTED_VALUE"""),45694)</f>
        <v>45694</v>
      </c>
      <c r="M39" s="6">
        <f ca="1">IFERROR(__xludf.DUMMYFUNCTION("""COMPUTED_VALUE"""),45695)</f>
        <v>45695</v>
      </c>
      <c r="N39" s="6">
        <f ca="1">IFERROR(__xludf.DUMMYFUNCTION("""COMPUTED_VALUE"""),45733)</f>
        <v>45733</v>
      </c>
      <c r="O39" s="6">
        <f ca="1">IFERROR(__xludf.DUMMYFUNCTION("""COMPUTED_VALUE"""),45734)</f>
        <v>45734</v>
      </c>
      <c r="P39" s="4">
        <f ca="1">IFERROR(__xludf.DUMMYFUNCTION("""COMPUTED_VALUE"""),181)</f>
        <v>181</v>
      </c>
      <c r="Q39" s="6">
        <f ca="1">IFERROR(__xludf.DUMMYFUNCTION("""COMPUTED_VALUE"""),46464)</f>
        <v>46464</v>
      </c>
      <c r="R39" s="4">
        <f ca="1">IFERROR(__xludf.DUMMYFUNCTION("""COMPUTED_VALUE"""),1277)</f>
        <v>1277</v>
      </c>
      <c r="S39" s="6">
        <f ca="1">IFERROR(__xludf.DUMMYFUNCTION("""COMPUTED_VALUE"""),47560)</f>
        <v>47560</v>
      </c>
      <c r="T39" s="4" t="str">
        <f ca="1">IFERROR(__xludf.DUMMYFUNCTION("""COMPUTED_VALUE"""),"Marcelo Ferreira")</f>
        <v>Marcelo Ferreira</v>
      </c>
      <c r="U39" s="4" t="str">
        <f ca="1">IFERROR(__xludf.DUMMYFUNCTION("""COMPUTED_VALUE"""),"Celso Luiz Pieroni")</f>
        <v>Celso Luiz Pieroni</v>
      </c>
      <c r="V39" s="4" t="str">
        <f ca="1">IFERROR(__xludf.DUMMYFUNCTION("""COMPUTED_VALUE"""),"Gustavo Mozart")</f>
        <v>Gustavo Mozart</v>
      </c>
      <c r="W39" s="4" t="str">
        <f ca="1">IFERROR(__xludf.DUMMYFUNCTION("""COMPUTED_VALUE"""),"Patrícia")</f>
        <v>Patrícia</v>
      </c>
      <c r="X39" s="4"/>
      <c r="Y39" s="4" t="str">
        <f ca="1">IFERROR(__xludf.DUMMYFUNCTION("""COMPUTED_VALUE"""),"SEI-260007/048818/2023
e SEI-260006/002974/2024")</f>
        <v>SEI-260007/048818/2023
e SEI-260006/002974/2024</v>
      </c>
      <c r="Z39" s="4" t="str">
        <f ca="1">IFERROR(__xludf.DUMMYFUNCTION("""COMPUTED_VALUE"""),"C-Relatório final")</f>
        <v>C-Relatório final</v>
      </c>
      <c r="AA39" s="4"/>
      <c r="AB39" s="4"/>
    </row>
    <row r="40" spans="1:28" x14ac:dyDescent="0.2">
      <c r="A40" s="4" t="str">
        <f t="shared" ca="1" si="0"/>
        <v>SEI-260006/008581/2025</v>
      </c>
      <c r="B40" s="4" t="str">
        <f t="shared" ca="1" si="1"/>
        <v>Contraditória</v>
      </c>
      <c r="C40" s="4" t="str">
        <f ca="1">IFERROR(__xludf.DUMMYFUNCTION("""COMPUTED_VALUE"""),"00135/2025")</f>
        <v>00135/2025</v>
      </c>
      <c r="D40" s="4" t="str">
        <f ca="1">IFERROR(__xludf.DUMMYFUNCTION("""COMPUTED_VALUE"""),"SEI-260006/008581/2025
Contraditória")</f>
        <v>SEI-260006/008581/2025
Contraditória</v>
      </c>
      <c r="E40" s="4" t="str">
        <f ca="1">IFERROR(__xludf.DUMMYFUNCTION("""COMPUTED_VALUE"""),"Guilherme Reis Tavares")</f>
        <v>Guilherme Reis Tavares</v>
      </c>
      <c r="F40" s="4" t="str">
        <f ca="1">IFERROR(__xludf.DUMMYFUNCTION("""COMPUTED_VALUE"""),"Assédio moral/sexual/discriminação.")</f>
        <v>Assédio moral/sexual/discriminação.</v>
      </c>
      <c r="G40" s="4" t="str">
        <f ca="1">IFERROR(__xludf.DUMMYFUNCTION("""COMPUTED_VALUE"""),"Assédio moral/sexual/discriminação.")</f>
        <v>Assédio moral/sexual/discriminação.</v>
      </c>
      <c r="H40" s="4" t="str">
        <f ca="1">IFERROR(__xludf.DUMMYFUNCTION("""COMPUTED_VALUE"""),"Práticas violadoras indicadas nos artigos 215-A e 216-A do Código Penal e no art. 2º parágrafo único, da Lei estadual nº 3.921/2002, além do descumprimento dos deveres e proibições dispostos no Estatuto dos Funcionários Públicos Civis do Poder Executivo d"&amp;"o Estado do Rio de Janeiro (Decreto-lei no 220/1975, arts. 39, 40 e 52) e em seu regulamento (Decreto no 2.479/1979, arts. 285, 286 e 298)")</f>
        <v>Práticas violadoras indicadas nos artigos 215-A e 216-A do Código Penal e no art. 2º parágrafo único, da Lei estadual nº 3.921/2002, além do descumprimento dos deveres e proibições dispostos no Estatuto dos Funcionários Públicos Civis do Poder Executivo do Estado do Rio de Janeiro (Decreto-lei no 220/1975, arts. 39, 40 e 52) e em seu regulamento (Decreto no 2.479/1979, arts. 285, 286 e 298)</v>
      </c>
      <c r="I40" s="4" t="str">
        <f ca="1">IFERROR(__xludf.DUMMYFUNCTION("""COMPUTED_VALUE"""),"Trata-se de denúncia apresentada por servidora da UERJ, lotada na Magnífica Reitoria/COGEPRO, que aponta a ocorrência de supostos atos irregulares que teriam sido praticados por seu superior hierárquico imediato, o servidor Guilherme Reis Tavares, inclusi"&amp;"ve violência sexual, os quais, em tese, poderiam ser enquadrados nas práticas violadoras indicadas nos artigos 215-A e 216-A do  Código Penal e no art. 2º parágrafo único, da Lei estadual  nº 3.921/2002, além do descumprimento dos deveres e proibições dis"&amp;"postos no Estatuto dos Funcionários Públicos Civis do Poder Executivo do Estado do Rio de Janeiro (Decreto-lei no 220/1975, arts. 39, 0 e 52) e em seu regulamento (Decreto no 2.479/1979, arts. 285, 286 e 298)")</f>
        <v>Trata-se de denúncia apresentada por servidora da UERJ, lotada na Magnífica Reitoria/COGEPRO, que aponta a ocorrência de supostos atos irregulares que teriam sido praticados por seu superior hierárquico imediato, o servidor Guilherme Reis Tavares, inclusive violência sexual, os quais, em tese, poderiam ser enquadrados nas práticas violadoras indicadas nos artigos 215-A e 216-A do  Código Penal e no art. 2º parágrafo único, da Lei estadual  nº 3.921/2002, além do descumprimento dos deveres e proibições dispostos no Estatuto dos Funcionários Públicos Civis do Poder Executivo do Estado do Rio de Janeiro (Decreto-lei no 220/1975, arts. 39, 0 e 52) e em seu regulamento (Decreto no 2.479/1979, arts. 285, 286 e 298)</v>
      </c>
      <c r="J40" s="4" t="str">
        <f ca="1">IFERROR(__xludf.DUMMYFUNCTION("""COMPUTED_VALUE"""),"PORTARIA Nº 135/2025 - INSTAURA Sindicância Contraditória para, no prazo de 30 dias, contados da data da publicação, apurar eventual irregularidade objeto do processo nº SEI-260007/032409/2023, bem como os fatos conexos que emergirem no decorrer dos traba"&amp;"lhos, designando para procedê-la, Comissão, integrada por BIANCA FAERTES N. BARBOSA, matr. nº 36.194-9; JAIRO HENRIQUE DE OLIVEIRA SILVA F. PEREIRA, matr. nº 39.814-9; e, GUSTAVO MOZART SANTOS DA SILVA, matr. nº 41.286-6, sob a presidência da primeira. Pr"&amp;"ocesso nº SEI-260007/032409/2023
 ATO SDA REITORA
 DE 02.04.2025
 PORTARIA Nº 234/2025 - DESIGNA FELIPEPERDIGÃO CORRÊA, matr. nº 37.977-6, para integrar a Comissão deSindicância Contraditória, instaurada através da Portaria Reitoria nº 135/2025, publicada"&amp;" no D.O. de 24/02/2025, em substituição a Jairo Henrique Pereira, mar. nº 39.814-9. Processo nº SEI-260007/032409/2023.")</f>
        <v>PORTARIA Nº 135/2025 - INSTAURA Sindicância Contraditória para, no prazo de 30 dias, contados da data da publicação, apurar eventual irregularidade objeto do processo nº SEI-260007/032409/2023, bem como os fatos conexos que emergirem no decorrer dos trabalhos, designando para procedê-la, Comissão, integrada por BIANCA FAERTES N. BARBOSA, matr. nº 36.194-9; JAIRO HENRIQUE DE OLIVEIRA SILVA F. PEREIRA, matr. nº 39.814-9; e, GUSTAVO MOZART SANTOS DA SILVA, matr. nº 41.286-6, sob a presidência da primeira. Processo nº SEI-260007/032409/2023
 ATO SDA REITORA
 DE 02.04.2025
 PORTARIA Nº 234/2025 - DESIGNA FELIPEPERDIGÃO CORRÊA, matr. nº 37.977-6, para integrar a Comissão deSindicância Contraditória, instaurada através da Portaria Reitoria nº 135/2025, publicada no D.O. de 24/02/2025, em substituição a Jairo Henrique Pereira, mar. nº 39.814-9. Processo nº SEI-260007/032409/2023.</v>
      </c>
      <c r="K40" s="4"/>
      <c r="L40" s="6">
        <f ca="1">IFERROR(__xludf.DUMMYFUNCTION("""COMPUTED_VALUE"""),45702)</f>
        <v>45702</v>
      </c>
      <c r="M40" s="6">
        <f ca="1">IFERROR(__xludf.DUMMYFUNCTION("""COMPUTED_VALUE"""),45712)</f>
        <v>45712</v>
      </c>
      <c r="N40" s="6">
        <f ca="1">IFERROR(__xludf.DUMMYFUNCTION("""COMPUTED_VALUE"""),45750)</f>
        <v>45750</v>
      </c>
      <c r="O40" s="6">
        <f ca="1">IFERROR(__xludf.DUMMYFUNCTION("""COMPUTED_VALUE"""),45751)</f>
        <v>45751</v>
      </c>
      <c r="P40" s="4" t="str">
        <f ca="1">IFERROR(__xludf.DUMMYFUNCTION("""COMPUTED_VALUE"""),"Processo finalizado. Decisão da Reitoria em 24/06/2026")</f>
        <v>Processo finalizado. Decisão da Reitoria em 24/06/2026</v>
      </c>
      <c r="Q40" s="6">
        <f ca="1">IFERROR(__xludf.DUMMYFUNCTION("""COMPUTED_VALUE"""),46481)</f>
        <v>46481</v>
      </c>
      <c r="R40" s="4" t="str">
        <f ca="1">IFERROR(__xludf.DUMMYFUNCTION("""COMPUTED_VALUE"""),"O processo durou 495 dias entre a assinatura do despacho de autorização de abertura do PAD pelo Reitor e a assinatura do despacho de concordância/divergência pelo mesmo.")</f>
        <v>O processo durou 495 dias entre a assinatura do despacho de autorização de abertura do PAD pelo Reitor e a assinatura do despacho de concordância/divergência pelo mesmo.</v>
      </c>
      <c r="S40" s="6">
        <f ca="1">IFERROR(__xludf.DUMMYFUNCTION("""COMPUTED_VALUE"""),47577)</f>
        <v>47577</v>
      </c>
      <c r="T40" s="4" t="str">
        <f ca="1">IFERROR(__xludf.DUMMYFUNCTION("""COMPUTED_VALUE"""),"Bianca Faertes")</f>
        <v>Bianca Faertes</v>
      </c>
      <c r="U40" s="4" t="str">
        <f ca="1">IFERROR(__xludf.DUMMYFUNCTION("""COMPUTED_VALUE"""),"Felipe Perdigão")</f>
        <v>Felipe Perdigão</v>
      </c>
      <c r="V40" s="4" t="str">
        <f ca="1">IFERROR(__xludf.DUMMYFUNCTION("""COMPUTED_VALUE"""),"Gustavo Mozart")</f>
        <v>Gustavo Mozart</v>
      </c>
      <c r="W40" s="4" t="str">
        <f ca="1">IFERROR(__xludf.DUMMYFUNCTION("""COMPUTED_VALUE"""),"Patrícia")</f>
        <v>Patrícia</v>
      </c>
      <c r="X40" s="4" t="str">
        <f ca="1">IFERROR(__xludf.DUMMYFUNCTION("""COMPUTED_VALUE"""),"Não")</f>
        <v>Não</v>
      </c>
      <c r="Y40" s="4" t="str">
        <f ca="1">IFERROR(__xludf.DUMMYFUNCTION("""COMPUTED_VALUE"""),"SEI-260007/032409/2023")</f>
        <v>SEI-260007/032409/2023</v>
      </c>
      <c r="Z40" s="4" t="str">
        <f ca="1">IFERROR(__xludf.DUMMYFUNCTION("""COMPUTED_VALUE"""),"S-Resposta do Reitor/Anotado.")</f>
        <v>S-Resposta do Reitor/Anotado.</v>
      </c>
      <c r="AA40" s="4"/>
      <c r="AB40" s="4"/>
    </row>
    <row r="41" spans="1:28" x14ac:dyDescent="0.2">
      <c r="A41" s="4" t="str">
        <f t="shared" ca="1" si="0"/>
        <v>SEI-260006/010189/2025</v>
      </c>
      <c r="B41" s="4" t="str">
        <f t="shared" ca="1" si="1"/>
        <v>Investigativa</v>
      </c>
      <c r="C41" s="4" t="str">
        <f ca="1">IFERROR(__xludf.DUMMYFUNCTION("""COMPUTED_VALUE"""),"0140/2025")</f>
        <v>0140/2025</v>
      </c>
      <c r="D41" s="4" t="str">
        <f ca="1">IFERROR(__xludf.DUMMYFUNCTION("""COMPUTED_VALUE"""),"SEI-260006/010189/2025
Investigativa")</f>
        <v>SEI-260006/010189/2025
Investigativa</v>
      </c>
      <c r="E41" s="4"/>
      <c r="F41" s="4" t="str">
        <f ca="1">IFERROR(__xludf.DUMMYFUNCTION("""COMPUTED_VALUE"""),"Outros")</f>
        <v>Outros</v>
      </c>
      <c r="G41" s="4"/>
      <c r="H41" s="4" t="str">
        <f ca="1">IFERROR(__xludf.DUMMYFUNCTION("""COMPUTED_VALUE"""),"Projeto")</f>
        <v>Projeto</v>
      </c>
      <c r="I41" s="4" t="str">
        <f ca="1">IFERROR(__xludf.DUMMYFUNCTION("""COMPUTED_VALUE"""),"ao exame das demais questões apresentadas no relatório da AGUERJ de outubro de 2024.
Ver manifestação Manifestação 205 (92670712)
Demais apontamentos apresentados pela AGUERJ no relatório de outubro de 2024 (84797801),(excluindo questões pertinentes à con"&amp;"duta da servidora Glória Maria Alves Ramos (matr. 38196-2), ex-Coordenadora Geral do Projeto Empoderadas 2023 no que se refere à apresentação de esclarecimentos e documentos nos autos do SEI-260006/002974/2024, conforme Manifestação 205 (92670712).")</f>
        <v>ao exame das demais questões apresentadas no relatório da AGUERJ de outubro de 2024.
Ver manifestação Manifestação 205 (92670712)
Demais apontamentos apresentados pela AGUERJ no relatório de outubro de 2024 (84797801),(excluindo questões pertinentes à conduta da servidora Glória Maria Alves Ramos (matr. 38196-2), ex-Coordenadora Geral do Projeto Empoderadas 2023 no que se refere à apresentação de esclarecimentos e documentos nos autos do SEI-260006/002974/2024, conforme Manifestação 205 (92670712).</v>
      </c>
      <c r="J41" s="4" t="str">
        <f ca="1">IFERROR(__xludf.DUMMYFUNCTION("""COMPUTED_VALUE"""),"PORTARIA Nº 140/2025 - INSTAURA Sindicância Contraditória, para, no prazo de 30 dias, contados da data da publicação, apurar eventual irregularidade objeto do Processo nº SEI-260006/002974/2024, bem como os fatos conexos que emergirem no decorrer dos trab"&amp;"alhos, DESIGNANDO para procedê-la, Comissão, integrada por MARCELO FERREIRA DE OLIVEIRA, MATR. Nº 31.161-3, HANNAH OLIVEIRA COUTINHO, MATR. Nº 36.994-2, GUSTAVO MOZART SANTOS DA SILVA, matr. nº 41.286-6, sob a presidência do primeiro. Processo nº SEI-2600"&amp;"06/002974/2024.
-------------------------------------------------------------------------
RETIFICAÇÃO D.O. DE 25.02.2025 PÁGINA 31 - 2ª COLUNA ATO DA REITORA DE 21.02.2025
Portaria nº 140/2025 - Processo nº SEI-260006/002974/2024
Onde se lê: ...Sindicânci"&amp;"a Contraditória...
Leia-se: ... Sindicância Investigativa...")</f>
        <v>PORTARIA Nº 140/2025 - INSTAURA Sindicância Contraditória, para, no prazo de 30 dias, contados da data da publicação, apurar eventual irregularidade objeto do Processo nº SEI-260006/002974/2024, bem como os fatos conexos que emergirem no decorrer dos trabalhos, DESIGNANDO para procedê-la, Comissão, integrada por MARCELO FERREIRA DE OLIVEIRA, MATR. Nº 31.161-3, HANNAH OLIVEIRA COUTINHO, MATR. Nº 36.994-2, GUSTAVO MOZART SANTOS DA SILVA, matr. nº 41.286-6, sob a presidência do primeiro. Processo nº SEI-260006/002974/2024.
-------------------------------------------------------------------------
RETIFICAÇÃO D.O. DE 25.02.2025 PÁGINA 31 - 2ª COLUNA ATO DA REITORA DE 21.02.2025
Portaria nº 140/2025 - Processo nº SEI-260006/002974/2024
Onde se lê: ...Sindicância Contraditória...
Leia-se: ... Sindicância Investigativa...</v>
      </c>
      <c r="K41" s="4"/>
      <c r="L41" s="6">
        <f ca="1">IFERROR(__xludf.DUMMYFUNCTION("""COMPUTED_VALUE"""),45709)</f>
        <v>45709</v>
      </c>
      <c r="M41" s="6">
        <f ca="1">IFERROR(__xludf.DUMMYFUNCTION("""COMPUTED_VALUE"""),45713)</f>
        <v>45713</v>
      </c>
      <c r="N41" s="6">
        <f ca="1">IFERROR(__xludf.DUMMYFUNCTION("""COMPUTED_VALUE"""),45751)</f>
        <v>45751</v>
      </c>
      <c r="O41" s="6">
        <f ca="1">IFERROR(__xludf.DUMMYFUNCTION("""COMPUTED_VALUE"""),45752)</f>
        <v>45752</v>
      </c>
      <c r="P41" s="4" t="str">
        <f ca="1">IFERROR(__xludf.DUMMYFUNCTION("""COMPUTED_VALUE"""),"Complete os campos destacados em vermelho")</f>
        <v>Complete os campos destacados em vermelho</v>
      </c>
      <c r="Q41" s="6">
        <f ca="1">IFERROR(__xludf.DUMMYFUNCTION("""COMPUTED_VALUE"""),46482)</f>
        <v>46482</v>
      </c>
      <c r="R41" s="4" t="str">
        <f ca="1">IFERROR(__xludf.DUMMYFUNCTION("""COMPUTED_VALUE"""),"Complete os campos destacados em vermelho")</f>
        <v>Complete os campos destacados em vermelho</v>
      </c>
      <c r="S41" s="6">
        <f ca="1">IFERROR(__xludf.DUMMYFUNCTION("""COMPUTED_VALUE"""),47578)</f>
        <v>47578</v>
      </c>
      <c r="T41" s="4" t="str">
        <f ca="1">IFERROR(__xludf.DUMMYFUNCTION("""COMPUTED_VALUE"""),"Marcelo Ferreira")</f>
        <v>Marcelo Ferreira</v>
      </c>
      <c r="U41" s="4" t="str">
        <f ca="1">IFERROR(__xludf.DUMMYFUNCTION("""COMPUTED_VALUE"""),"Hannah Oliveira")</f>
        <v>Hannah Oliveira</v>
      </c>
      <c r="V41" s="4" t="str">
        <f ca="1">IFERROR(__xludf.DUMMYFUNCTION("""COMPUTED_VALUE"""),"Gustavo Mozart")</f>
        <v>Gustavo Mozart</v>
      </c>
      <c r="W41" s="4" t="str">
        <f ca="1">IFERROR(__xludf.DUMMYFUNCTION("""COMPUTED_VALUE"""),"Franciane")</f>
        <v>Franciane</v>
      </c>
      <c r="X41" s="4" t="str">
        <f ca="1">IFERROR(__xludf.DUMMYFUNCTION("""COMPUTED_VALUE"""),"Não")</f>
        <v>Não</v>
      </c>
      <c r="Y41" s="4" t="str">
        <f ca="1">IFERROR(__xludf.DUMMYFUNCTION("""COMPUTED_VALUE"""),"SEI-260006/002974/2024")</f>
        <v>SEI-260006/002974/2024</v>
      </c>
      <c r="Z41" s="4" t="str">
        <f ca="1">IFERROR(__xludf.DUMMYFUNCTION("""COMPUTED_VALUE"""),"C-Envio à PG/ Encerrado.")</f>
        <v>C-Envio à PG/ Encerrado.</v>
      </c>
      <c r="AA41" s="4"/>
      <c r="AB41" s="4"/>
    </row>
    <row r="42" spans="1:28" x14ac:dyDescent="0.2">
      <c r="A42" s="4" t="str">
        <f t="shared" ca="1" si="0"/>
        <v>SEI-260006/007373/2025</v>
      </c>
      <c r="B42" s="4" t="str">
        <f t="shared" ca="1" si="1"/>
        <v>Investigativa</v>
      </c>
      <c r="C42" s="4" t="str">
        <f ca="1">IFERROR(__xludf.DUMMYFUNCTION("""COMPUTED_VALUE"""),"0076/2025")</f>
        <v>0076/2025</v>
      </c>
      <c r="D42" s="4" t="str">
        <f ca="1">IFERROR(__xludf.DUMMYFUNCTION("""COMPUTED_VALUE"""),"SEI-260006/007373/2025
Investigativa")</f>
        <v>SEI-260006/007373/2025
Investigativa</v>
      </c>
      <c r="E42" s="4"/>
      <c r="F42" s="4" t="str">
        <f ca="1">IFERROR(__xludf.DUMMYFUNCTION("""COMPUTED_VALUE"""),"Responsabilidade fiscal")</f>
        <v>Responsabilidade fiscal</v>
      </c>
      <c r="G42" s="4"/>
      <c r="H42" s="4"/>
      <c r="I42" s="4" t="str">
        <f ca="1">IFERROR(__xludf.DUMMYFUNCTION("""COMPUTED_VALUE"""),"apuração de fatos e responsabilização diante da irregularidade nos pagamentos acima do teto constitucional feitos a servidores, a despeito dos esforços incessantes do DEPPAG/SGP, que mensalmente encaminha à DAF desde 2022 a lista de servidores com pagamen"&amp;"tos a serem glosados pela administração financeira, sem que qualquer providência tenha sido tomada até o presente, além de motivações e consequências. seja da recusa da DAF em atender a recomendação de glosa de pagamentos, seja das razões pelas quais o p."&amp;"p. restou inerte por nove meses antes da decisão da servidora Nadia de encerrá-lo, quando o p.p. tinha sido enviado para conhecimento e decisão do então reitor desta Universidade. ")</f>
        <v xml:space="preserve">apuração de fatos e responsabilização diante da irregularidade nos pagamentos acima do teto constitucional feitos a servidores, a despeito dos esforços incessantes do DEPPAG/SGP, que mensalmente encaminha à DAF desde 2022 a lista de servidores com pagamentos a serem glosados pela administração financeira, sem que qualquer providência tenha sido tomada até o presente, além de motivações e consequências. seja da recusa da DAF em atender a recomendação de glosa de pagamentos, seja das razões pelas quais o p.p. restou inerte por nove meses antes da decisão da servidora Nadia de encerrá-lo, quando o p.p. tinha sido enviado para conhecimento e decisão do então reitor desta Universidade. </v>
      </c>
      <c r="J42" s="4" t="str">
        <f ca="1">IFERROR(__xludf.DUMMYFUNCTION("""COMPUTED_VALUE"""),"PORTARIA Nº 076/2025 - INSTAURA Sindicância Contraditória para, no prazo de 30 dias, contados da data da publicação, apurar eventual rregularidade objeto do processo nº SEI-260007/006859/2023, bem
 como os fatos conexos que emergirem no decorrer dos traba"&amp;"lhos, de
signando para procedê-la Comissão integrada por GABRIEL MO
RAES DE OLIVEIRA, matr. 40.015-0; MARCELO FERREIRA DE OLI
VEIRA, matr. 31.161-3; e, ARIANE SERPA DE SOUZA, matr. 06.075
6, sob a presidência do primeiro. Processo nº SEI
260007/006859/202"&amp;"3.")</f>
        <v>PORTARIA Nº 076/2025 - INSTAURA Sindicância Contraditória para, no prazo de 30 dias, contados da data da publicação, apurar eventual rregularidade objeto do processo nº SEI-260007/006859/2023, bem
 como os fatos conexos que emergirem no decorrer dos trabalhos, de
signando para procedê-la Comissão integrada por GABRIEL MO
RAES DE OLIVEIRA, matr. 40.015-0; MARCELO FERREIRA DE OLI
VEIRA, matr. 31.161-3; e, ARIANE SERPA DE SOUZA, matr. 06.075
6, sob a presidência do primeiro. Processo nº SEI
260007/006859/2023.</v>
      </c>
      <c r="K42" s="4"/>
      <c r="L42" s="8">
        <f ca="1">IFERROR(__xludf.DUMMYFUNCTION("""COMPUTED_VALUE"""),45698)</f>
        <v>45698</v>
      </c>
      <c r="M42" s="6">
        <f ca="1">IFERROR(__xludf.DUMMYFUNCTION("""COMPUTED_VALUE"""),45700)</f>
        <v>45700</v>
      </c>
      <c r="N42" s="6">
        <f ca="1">IFERROR(__xludf.DUMMYFUNCTION("""COMPUTED_VALUE"""),45738)</f>
        <v>45738</v>
      </c>
      <c r="O42" s="6">
        <f ca="1">IFERROR(__xludf.DUMMYFUNCTION("""COMPUTED_VALUE"""),45739)</f>
        <v>45739</v>
      </c>
      <c r="P42" s="4">
        <f ca="1">IFERROR(__xludf.DUMMYFUNCTION("""COMPUTED_VALUE"""),186)</f>
        <v>186</v>
      </c>
      <c r="Q42" s="6">
        <f ca="1">IFERROR(__xludf.DUMMYFUNCTION("""COMPUTED_VALUE"""),46469)</f>
        <v>46469</v>
      </c>
      <c r="R42" s="4">
        <f ca="1">IFERROR(__xludf.DUMMYFUNCTION("""COMPUTED_VALUE"""),1282)</f>
        <v>1282</v>
      </c>
      <c r="S42" s="6">
        <f ca="1">IFERROR(__xludf.DUMMYFUNCTION("""COMPUTED_VALUE"""),47565)</f>
        <v>47565</v>
      </c>
      <c r="T42" s="4" t="str">
        <f ca="1">IFERROR(__xludf.DUMMYFUNCTION("""COMPUTED_VALUE"""),"Marcelo Ferreira")</f>
        <v>Marcelo Ferreira</v>
      </c>
      <c r="U42" s="4" t="str">
        <f ca="1">IFERROR(__xludf.DUMMYFUNCTION("""COMPUTED_VALUE"""),"Ariane Serpa")</f>
        <v>Ariane Serpa</v>
      </c>
      <c r="V42" s="4" t="str">
        <f ca="1">IFERROR(__xludf.DUMMYFUNCTION("""COMPUTED_VALUE"""),"Celso Luiz Pieroni")</f>
        <v>Celso Luiz Pieroni</v>
      </c>
      <c r="W42" s="4" t="str">
        <f ca="1">IFERROR(__xludf.DUMMYFUNCTION("""COMPUTED_VALUE"""),"Franciane")</f>
        <v>Franciane</v>
      </c>
      <c r="X42" s="4" t="str">
        <f ca="1">IFERROR(__xludf.DUMMYFUNCTION("""COMPUTED_VALUE"""),"Não")</f>
        <v>Não</v>
      </c>
      <c r="Y42" s="4" t="str">
        <f ca="1">IFERROR(__xludf.DUMMYFUNCTION("""COMPUTED_VALUE"""),"SEI-260007/006859/2023")</f>
        <v>SEI-260007/006859/2023</v>
      </c>
      <c r="Z42" s="4" t="str">
        <f ca="1">IFERROR(__xludf.DUMMYFUNCTION("""COMPUTED_VALUE"""),"C-Relatório final")</f>
        <v>C-Relatório final</v>
      </c>
      <c r="AA42" s="4"/>
      <c r="AB42" s="4"/>
    </row>
    <row r="43" spans="1:28" x14ac:dyDescent="0.2">
      <c r="A43" s="4" t="str">
        <f t="shared" ca="1" si="0"/>
        <v>SEI-260006/028967/2025</v>
      </c>
      <c r="B43" s="4" t="str">
        <f t="shared" ca="1" si="1"/>
        <v>pela reitoria</v>
      </c>
      <c r="C43" s="4"/>
      <c r="D43" s="4" t="str">
        <f ca="1">IFERROR(__xludf.DUMMYFUNCTION("""COMPUTED_VALUE"""),"SEI-260006/028967/2025
contraditória avocada pela reitoria")</f>
        <v>SEI-260006/028967/2025
contraditória avocada pela reitoria</v>
      </c>
      <c r="E43" s="4" t="str">
        <f ca="1">IFERROR(__xludf.DUMMYFUNCTION("""COMPUTED_VALUE"""),"Dayse do Nascimento Wassita (matr. 27022-3)")</f>
        <v>Dayse do Nascimento Wassita (matr. 27022-3)</v>
      </c>
      <c r="F43" s="4"/>
      <c r="G43" s="4"/>
      <c r="H43" s="4"/>
      <c r="I43" s="4" t="str">
        <f ca="1">IFERROR(__xludf.DUMMYFUNCTION("""COMPUTED_VALUE"""),"indícios de violação dos deveres de (i) urbanidade, boa conduta, discrição, observância das normas legais e regulamentares, guardar sigilo sobre a documentação e os assuntos de natureza reservada de que tenha conhecimento em razão do cargo ou função (DL 2"&amp;"20/75, art. 39, III, IV, V, VII e XIII); (ii) constranger servidor ou funcionário por ter testemunhado prática de assédio moral (Lei estadual no 3.921/2002, art. 5o, parágrafo único); (iii) valer-se do cargo ou função para lograr proveito pessoal em detri"&amp;"mento da dignidade da função pública (artigo 40, III, DL 220/75); (iv) revelar fato ou informação de natureza sigilosa de que tenha ciência em razão do cargo ou função (DL 220/75, art. 40, X); (v) descumprimento de outros deveres e vedações previstos no C"&amp;"ódigo de Ética Profissional dos servidores do Poder Executivo do Estado do Rio de Janeiro (Decreto estadual no 43.583/2012, arts. 3o , ""d"", ""f"" e ""n"", e 4o, ""a"", ""c"", ""e"" e ""f""); (vi) prática de atos de intimidação e retaliação a denunciante"&amp;"s, testemunhas e informantes, e assédio moral no trabalho: faltas de natureza grave;")</f>
        <v>indícios de violação dos deveres de (i) urbanidade, boa conduta, discrição, observância das normas legais e regulamentares, guardar sigilo sobre a documentação e os assuntos de natureza reservada de que tenha conhecimento em razão do cargo ou função (DL 220/75, art. 39, III, IV, V, VII e XIII); (ii) constranger servidor ou funcionário por ter testemunhado prática de assédio moral (Lei estadual no 3.921/2002, art. 5o, parágrafo único); (iii) valer-se do cargo ou função para lograr proveito pessoal em detrimento da dignidade da função pública (artigo 40, III, DL 220/75); (iv) revelar fato ou informação de natureza sigilosa de que tenha ciência em razão do cargo ou função (DL 220/75, art. 40, X); (v) descumprimento de outros deveres e vedações previstos no Código de Ética Profissional dos servidores do Poder Executivo do Estado do Rio de Janeiro (Decreto estadual no 43.583/2012, arts. 3o , "d", "f" e "n", e 4o, "a", "c", "e" e "f"); (vi) prática de atos de intimidação e retaliação a denunciantes, testemunhas e informantes, e assédio moral no trabalho: faltas de natureza grave;</v>
      </c>
      <c r="J43" s="4" t="str">
        <f ca="1">IFERROR(__xludf.DUMMYFUNCTION("""COMPUTED_VALUE"""),"Iniciada pela PORTARIA CGUERJ SEI Nº 774/2025
-------------------------------------------------------------------------
PORTARIA Nº 420/2026 - DESIGNA GUSTAVO SEABRA SANTOS,
matr. 41.095-1, como sindicante único, em substituição aos servidores
Tarsila d"&amp;"e A. Ribeiro Lima, matr. nº 36.689-8, Ana Paula B. dos San
tos, matr. nº 37.363-9 e Luiz Frederico Passeri M. da Silva, matr. nº
38.243-2. Processo nº SEI-260006/008514/2025.")</f>
        <v>Iniciada pela PORTARIA CGUERJ SEI Nº 774/2025
-------------------------------------------------------------------------
PORTARIA Nº 420/2026 - DESIGNA GUSTAVO SEABRA SANTOS,
matr. 41.095-1, como sindicante único, em substituição aos servidores
Tarsila de A. Ribeiro Lima, matr. nº 36.689-8, Ana Paula B. dos San
tos, matr. nº 37.363-9 e Luiz Frederico Passeri M. da Silva, matr. nº
38.243-2. Processo nº SEI-260006/008514/2025.</v>
      </c>
      <c r="K43" s="4"/>
      <c r="L43" s="6">
        <f ca="1">IFERROR(__xludf.DUMMYFUNCTION("""COMPUTED_VALUE"""),45813)</f>
        <v>45813</v>
      </c>
      <c r="M43" s="6">
        <f ca="1">IFERROR(__xludf.DUMMYFUNCTION("""COMPUTED_VALUE"""),45817)</f>
        <v>45817</v>
      </c>
      <c r="N43" s="6">
        <f ca="1">IFERROR(__xludf.DUMMYFUNCTION("""COMPUTED_VALUE"""),45855)</f>
        <v>45855</v>
      </c>
      <c r="O43" s="6">
        <f ca="1">IFERROR(__xludf.DUMMYFUNCTION("""COMPUTED_VALUE"""),45856)</f>
        <v>45856</v>
      </c>
      <c r="P43" s="4">
        <f ca="1">IFERROR(__xludf.DUMMYFUNCTION("""COMPUTED_VALUE"""),303)</f>
        <v>303</v>
      </c>
      <c r="Q43" s="6">
        <f ca="1">IFERROR(__xludf.DUMMYFUNCTION("""COMPUTED_VALUE"""),46586)</f>
        <v>46586</v>
      </c>
      <c r="R43" s="4">
        <f ca="1">IFERROR(__xludf.DUMMYFUNCTION("""COMPUTED_VALUE"""),1399)</f>
        <v>1399</v>
      </c>
      <c r="S43" s="6">
        <f ca="1">IFERROR(__xludf.DUMMYFUNCTION("""COMPUTED_VALUE"""),47682)</f>
        <v>47682</v>
      </c>
      <c r="T43" s="4" t="str">
        <f ca="1">IFERROR(__xludf.DUMMYFUNCTION("""COMPUTED_VALUE"""),"Gustavo Seabra")</f>
        <v>Gustavo Seabra</v>
      </c>
      <c r="U43" s="4"/>
      <c r="V43" s="4"/>
      <c r="W43" s="4" t="str">
        <f ca="1">IFERROR(__xludf.DUMMYFUNCTION("""COMPUTED_VALUE"""),"Patrícia")</f>
        <v>Patrícia</v>
      </c>
      <c r="X43" s="4"/>
      <c r="Y43" s="4" t="str">
        <f ca="1">IFERROR(__xludf.DUMMYFUNCTION("""COMPUTED_VALUE"""),"SEI-260006/008514/2025")</f>
        <v>SEI-260006/008514/2025</v>
      </c>
      <c r="Z43" s="4" t="str">
        <f ca="1">IFERROR(__xludf.DUMMYFUNCTION("""COMPUTED_VALUE"""),"C-Em apuração")</f>
        <v>C-Em apuração</v>
      </c>
      <c r="AA43" s="4"/>
      <c r="AB43" s="4"/>
    </row>
    <row r="44" spans="1:28" x14ac:dyDescent="0.2">
      <c r="A44" s="4" t="str">
        <f t="shared" ca="1" si="0"/>
        <v>SEI-260006/031653/2025</v>
      </c>
      <c r="B44" s="4" t="str">
        <f t="shared" ca="1" si="1"/>
        <v>Contraditória</v>
      </c>
      <c r="C44" s="4" t="str">
        <f ca="1">IFERROR(__xludf.DUMMYFUNCTION("""COMPUTED_VALUE"""),"00432/2025")</f>
        <v>00432/2025</v>
      </c>
      <c r="D44" s="4" t="str">
        <f ca="1">IFERROR(__xludf.DUMMYFUNCTION("""COMPUTED_VALUE"""),"SEI-260006/031653/2025
Contraditória")</f>
        <v>SEI-260006/031653/2025
Contraditória</v>
      </c>
      <c r="E44" s="4" t="str">
        <f ca="1">IFERROR(__xludf.DUMMYFUNCTION("""COMPUTED_VALUE"""),"Luis Cesar Rodriguez Aliaga, matrícula 38.728-2,")</f>
        <v>Luis Cesar Rodriguez Aliaga, matrícula 38.728-2,</v>
      </c>
      <c r="F44" s="4"/>
      <c r="G44" s="4"/>
      <c r="H44" s="4"/>
      <c r="I44" s="4" t="str">
        <f ca="1">IFERROR(__xludf.DUMMYFUNCTION("""COMPUTED_VALUE"""),"descumprimento de normas e Resoluções da UERJ, no que tange à aplicação de prova por terceiros, não concessão de vista de prova, conteúdo de prova diverso do que foi ministrado em sala de aula, slides em inglês, o que teria dificultado o aprendizado em sa"&amp;"la de aula, entr outras irregularidades.")</f>
        <v>descumprimento de normas e Resoluções da UERJ, no que tange à aplicação de prova por terceiros, não concessão de vista de prova, conteúdo de prova diverso do que foi ministrado em sala de aula, slides em inglês, o que teria dificultado o aprendizado em sala de aula, entr outras irregularidades.</v>
      </c>
      <c r="J44" s="4" t="str">
        <f ca="1">IFERROR(__xludf.DUMMYFUNCTION("""COMPUTED_VALUE""")," PORTARIA SEI Nº 432/2025-I N S TA U R A Sindicância Contraditória
 para apurar eventual irregularidade objeto do processo nº SEI
260006/023795/2025, bem comoos fatosconexos queemergiremno
 decorrer dos trabalhos, designandopara procedê-la, noprazode30
 d"&amp;"ias contados da data da publicação no DOERJ, Comissão integrada
 pelos servidores: KAROLYNNEDE A.MARINSJOSÉROCHA, matr.
 35.698-0; PATRÍCIA GLIOCHE, matr. 33.968-9; JEANNY CORRÊA
 DE ALMEIDA PASSIGATTE, matr. 36.183-2, sob a presidência da pri
meira. Proc"&amp;"esso nº SEI-260006/023795/2025.")</f>
        <v xml:space="preserve"> PORTARIA SEI Nº 432/2025-I N S TA U R A Sindicância Contraditória
 para apurar eventual irregularidade objeto do processo nº SEI
260006/023795/2025, bem comoos fatosconexos queemergiremno
 decorrer dos trabalhos, designandopara procedê-la, noprazode30
 dias contados da data da publicação no DOERJ, Comissão integrada
 pelos servidores: KAROLYNNEDE A.MARINSJOSÉROCHA, matr.
 35.698-0; PATRÍCIA GLIOCHE, matr. 33.968-9; JEANNY CORRÊA
 DE ALMEIDA PASSIGATTE, matr. 36.183-2, sob a presidência da pri
meira. Processo nº SEI-260006/023795/2025.</v>
      </c>
      <c r="K44" s="4"/>
      <c r="L44" s="6">
        <f ca="1">IFERROR(__xludf.DUMMYFUNCTION("""COMPUTED_VALUE"""),45829)</f>
        <v>45829</v>
      </c>
      <c r="M44" s="6">
        <f ca="1">IFERROR(__xludf.DUMMYFUNCTION("""COMPUTED_VALUE"""),45834)</f>
        <v>45834</v>
      </c>
      <c r="N44" s="6">
        <f ca="1">IFERROR(__xludf.DUMMYFUNCTION("""COMPUTED_VALUE"""),45872)</f>
        <v>45872</v>
      </c>
      <c r="O44" s="6">
        <f ca="1">IFERROR(__xludf.DUMMYFUNCTION("""COMPUTED_VALUE"""),45873)</f>
        <v>45873</v>
      </c>
      <c r="P44" s="4">
        <f ca="1">IFERROR(__xludf.DUMMYFUNCTION("""COMPUTED_VALUE"""),320)</f>
        <v>320</v>
      </c>
      <c r="Q44" s="6">
        <f ca="1">IFERROR(__xludf.DUMMYFUNCTION("""COMPUTED_VALUE"""),46603)</f>
        <v>46603</v>
      </c>
      <c r="R44" s="4">
        <f ca="1">IFERROR(__xludf.DUMMYFUNCTION("""COMPUTED_VALUE"""),1416)</f>
        <v>1416</v>
      </c>
      <c r="S44" s="6">
        <f ca="1">IFERROR(__xludf.DUMMYFUNCTION("""COMPUTED_VALUE"""),47699)</f>
        <v>47699</v>
      </c>
      <c r="T44" s="4" t="str">
        <f ca="1">IFERROR(__xludf.DUMMYFUNCTION("""COMPUTED_VALUE"""),"Karolynne Rocha")</f>
        <v>Karolynne Rocha</v>
      </c>
      <c r="U44" s="4" t="str">
        <f ca="1">IFERROR(__xludf.DUMMYFUNCTION("""COMPUTED_VALUE"""),"Patrícia Glioche")</f>
        <v>Patrícia Glioche</v>
      </c>
      <c r="V44" s="4" t="str">
        <f ca="1">IFERROR(__xludf.DUMMYFUNCTION("""COMPUTED_VALUE"""),"Jeanny Passigatte")</f>
        <v>Jeanny Passigatte</v>
      </c>
      <c r="W44" s="4" t="str">
        <f ca="1">IFERROR(__xludf.DUMMYFUNCTION("""COMPUTED_VALUE"""),"Débora")</f>
        <v>Débora</v>
      </c>
      <c r="X44" s="4" t="str">
        <f ca="1">IFERROR(__xludf.DUMMYFUNCTION("""COMPUTED_VALUE"""),"Não")</f>
        <v>Não</v>
      </c>
      <c r="Y44" s="4" t="str">
        <f ca="1">IFERROR(__xludf.DUMMYFUNCTION("""COMPUTED_VALUE"""),"SEI-260006/023795/2025")</f>
        <v>SEI-260006/023795/2025</v>
      </c>
      <c r="Z44" s="4" t="str">
        <f ca="1">IFERROR(__xludf.DUMMYFUNCTION("""COMPUTED_VALUE"""),"C-Em apuração")</f>
        <v>C-Em apuração</v>
      </c>
      <c r="AA44" s="4"/>
      <c r="AB44" s="4"/>
    </row>
    <row r="45" spans="1:28" x14ac:dyDescent="0.2">
      <c r="A45" s="4" t="str">
        <f t="shared" ca="1" si="0"/>
        <v>SEI-260006/039430/2025</v>
      </c>
      <c r="B45" s="4" t="str">
        <f t="shared" ca="1" si="1"/>
        <v xml:space="preserve">vestigativa 
</v>
      </c>
      <c r="C45" s="4" t="str">
        <f ca="1">IFERROR(__xludf.DUMMYFUNCTION("""COMPUTED_VALUE"""),"00633/2025")</f>
        <v>00633/2025</v>
      </c>
      <c r="D45" s="4" t="str">
        <f ca="1">IFERROR(__xludf.DUMMYFUNCTION("""COMPUTED_VALUE"""),"SEI-260006/039430/2025
Investigativa 
")</f>
        <v xml:space="preserve">SEI-260006/039430/2025
Investigativa 
</v>
      </c>
      <c r="E45" s="4"/>
      <c r="F45" s="4"/>
      <c r="G45" s="4"/>
      <c r="H45" s="4" t="str">
        <f ca="1">IFERROR(__xludf.DUMMYFUNCTION("""COMPUTED_VALUE"""),"Projeto")</f>
        <v>Projeto</v>
      </c>
      <c r="I45" s="4" t="str">
        <f ca="1">IFERROR(__xludf.DUMMYFUNCTION("""COMPUTED_VALUE"""),"Denúncia 61089897 recebida na Ouvidoria-Geral em 26/09/2023 e posteriormente reiterada na manifestação 64212177, relatando, dentre outras questões, a suposta autorização indevida de que os denunciantes, João Raphael Alves e Paulo Roberto Sabino, permanece"&amp;"ssem exercendo atividades relacionadas a projeto de descentralização orçamentária (""FAETEC - NÚCLEOS DE QUALIFICAÇÃO"") no Gabinete da PR-3 no período de janeiro a maio de 2023, sem que houvesse o pagamento de remunerações e quando já findo o projeto em "&amp;"questão (desde dezembro de 2022) (69247097)")</f>
        <v>Denúncia 61089897 recebida na Ouvidoria-Geral em 26/09/2023 e posteriormente reiterada na manifestação 64212177, relatando, dentre outras questões, a suposta autorização indevida de que os denunciantes, João Raphael Alves e Paulo Roberto Sabino, permanecessem exercendo atividades relacionadas a projeto de descentralização orçamentária ("FAETEC - NÚCLEOS DE QUALIFICAÇÃO") no Gabinete da PR-3 no período de janeiro a maio de 2023, sem que houvesse o pagamento de remunerações e quando já findo o projeto em questão (desde dezembro de 2022) (69247097)</v>
      </c>
      <c r="J45" s="4" t="str">
        <f ca="1">IFERROR(__xludf.DUMMYFUNCTION("""COMPUTED_VALUE"""),"PORTARIA Nº 633/2025 - INSTAURA Sindicância Investigativa para, no prazo de 30 dias, contados da data da publicação, apurar eventual irregularidade objeto do processo supracitado, bem como os fatos conexos que emergirem no decorrer dos trabalhos, designan"&amp;"do para procedê-la, Comissão, integrada, sob a presidência da primeira, pelos servidores: KAROLYNNE DE A. MARINS JOSÉ ROCHA - matr. nº 35.698-0; CELSO LUIZ MOREIRA PIERONI - matr. nº 39.595-4; ARIANE SERPA DE SOUZA - matr. nº 06.075-6. Processo nº SEI2600"&amp;"07/053313/2023.")</f>
        <v>PORTARIA Nº 633/2025 - INSTAURA Sindicância Investigativa para, no prazo de 30 dias, contados da data da publicação, apurar eventual irregularidade objeto do processo supracitado, bem como os fatos conexos que emergirem no decorrer dos trabalhos, designando para procedê-la, Comissão, integrada, sob a presidência da primeira, pelos servidores: KAROLYNNE DE A. MARINS JOSÉ ROCHA - matr. nº 35.698-0; CELSO LUIZ MOREIRA PIERONI - matr. nº 39.595-4; ARIANE SERPA DE SOUZA - matr. nº 06.075-6. Processo nº SEI260007/053313/2023.</v>
      </c>
      <c r="K45" s="4"/>
      <c r="L45" s="6">
        <f ca="1">IFERROR(__xludf.DUMMYFUNCTION("""COMPUTED_VALUE"""),45874)</f>
        <v>45874</v>
      </c>
      <c r="M45" s="6">
        <f ca="1">IFERROR(__xludf.DUMMYFUNCTION("""COMPUTED_VALUE"""),45876)</f>
        <v>45876</v>
      </c>
      <c r="N45" s="6">
        <f ca="1">IFERROR(__xludf.DUMMYFUNCTION("""COMPUTED_VALUE"""),45914)</f>
        <v>45914</v>
      </c>
      <c r="O45" s="6">
        <f ca="1">IFERROR(__xludf.DUMMYFUNCTION("""COMPUTED_VALUE"""),45915)</f>
        <v>45915</v>
      </c>
      <c r="P45" s="4">
        <f ca="1">IFERROR(__xludf.DUMMYFUNCTION("""COMPUTED_VALUE"""),362)</f>
        <v>362</v>
      </c>
      <c r="Q45" s="6">
        <f ca="1">IFERROR(__xludf.DUMMYFUNCTION("""COMPUTED_VALUE"""),46645)</f>
        <v>46645</v>
      </c>
      <c r="R45" s="4">
        <f ca="1">IFERROR(__xludf.DUMMYFUNCTION("""COMPUTED_VALUE"""),1458)</f>
        <v>1458</v>
      </c>
      <c r="S45" s="6">
        <f ca="1">IFERROR(__xludf.DUMMYFUNCTION("""COMPUTED_VALUE"""),47741)</f>
        <v>47741</v>
      </c>
      <c r="T45" s="4" t="str">
        <f ca="1">IFERROR(__xludf.DUMMYFUNCTION("""COMPUTED_VALUE"""),"Karolynne Rocha")</f>
        <v>Karolynne Rocha</v>
      </c>
      <c r="U45" s="4" t="str">
        <f ca="1">IFERROR(__xludf.DUMMYFUNCTION("""COMPUTED_VALUE"""),"Ariane Serpa")</f>
        <v>Ariane Serpa</v>
      </c>
      <c r="V45" s="4" t="str">
        <f ca="1">IFERROR(__xludf.DUMMYFUNCTION("""COMPUTED_VALUE"""),"Celso Luiz Pieroni")</f>
        <v>Celso Luiz Pieroni</v>
      </c>
      <c r="W45" s="4" t="str">
        <f ca="1">IFERROR(__xludf.DUMMYFUNCTION("""COMPUTED_VALUE"""),"Débora")</f>
        <v>Débora</v>
      </c>
      <c r="X45" s="4"/>
      <c r="Y45" s="4" t="str">
        <f ca="1">IFERROR(__xludf.DUMMYFUNCTION("""COMPUTED_VALUE"""),"SEI-260007/053313/2023")</f>
        <v>SEI-260007/053313/2023</v>
      </c>
      <c r="Z45" s="4" t="str">
        <f ca="1">IFERROR(__xludf.DUMMYFUNCTION("""COMPUTED_VALUE"""),"C-Em apuração")</f>
        <v>C-Em apuração</v>
      </c>
      <c r="AA45" s="4"/>
      <c r="AB45" s="4"/>
    </row>
    <row r="46" spans="1:28" x14ac:dyDescent="0.2">
      <c r="A46" s="4" t="str">
        <f t="shared" ca="1" si="0"/>
        <v>SEI-260006/052661/2025</v>
      </c>
      <c r="B46" s="4" t="str">
        <f t="shared" ca="1" si="1"/>
        <v>pela reitoria</v>
      </c>
      <c r="C46" s="4"/>
      <c r="D46" s="4" t="str">
        <f ca="1">IFERROR(__xludf.DUMMYFUNCTION("""COMPUTED_VALUE"""),"SEI-260006/052661/2025
Investigativa
avocada pela reitoria")</f>
        <v>SEI-260006/052661/2025
Investigativa
avocada pela reitoria</v>
      </c>
      <c r="E46" s="4"/>
      <c r="F46" s="4"/>
      <c r="G46" s="4"/>
      <c r="H46" s="4"/>
      <c r="I46" s="4" t="str">
        <f ca="1">IFERROR(__xludf.DUMMYFUNCTION("""COMPUTED_VALUE"""),"apuração de duas denúncias encaminhadas à Ouvidoria desta Universidade constantes dos autos nº SEI-260006/056192/2024 relativas ao concurso realizado pelo Departamento de Arqueologia para o provimento do cargo de Professor Adjunto – Área Arqueologia com ê"&amp;"nfase em Arqueologia da Antiguidade:")</f>
        <v>apuração de duas denúncias encaminhadas à Ouvidoria desta Universidade constantes dos autos nº SEI-260006/056192/2024 relativas ao concurso realizado pelo Departamento de Arqueologia para o provimento do cargo de Professor Adjunto – Área Arqueologia com ênfase em Arqueologia da Antiguidade:</v>
      </c>
      <c r="J46" s="4" t="str">
        <f ca="1">IFERROR(__xludf.DUMMYFUNCTION("""COMPUTED_VALUE"""),"PORTARIA Nº 655/2026 - DESIGNA o servidor CELSO LUIZ M. PIERONI, matr. 39.595-4, para atuar como Sindicante Único. Processo nº
SEI-260006/052661/2025.
-------------------------------------------------------------------------
A nova portaria foi buplicada "&amp;"em 26/05/2026")</f>
        <v>PORTARIA Nº 655/2026 - DESIGNA o servidor CELSO LUIZ M. PIERONI, matr. 39.595-4, para atuar como Sindicante Único. Processo nº
SEI-260006/052661/2025.
-------------------------------------------------------------------------
A nova portaria foi buplicada em 26/05/2026</v>
      </c>
      <c r="K46" s="4"/>
      <c r="L46" s="6">
        <f ca="1">IFERROR(__xludf.DUMMYFUNCTION("""COMPUTED_VALUE"""),45901)</f>
        <v>45901</v>
      </c>
      <c r="M46" s="6">
        <f ca="1">IFERROR(__xludf.DUMMYFUNCTION("""COMPUTED_VALUE"""),45903)</f>
        <v>45903</v>
      </c>
      <c r="N46" s="6">
        <f ca="1">IFERROR(__xludf.DUMMYFUNCTION("""COMPUTED_VALUE"""),45941)</f>
        <v>45941</v>
      </c>
      <c r="O46" s="6">
        <f ca="1">IFERROR(__xludf.DUMMYFUNCTION("""COMPUTED_VALUE"""),45942)</f>
        <v>45942</v>
      </c>
      <c r="P46" s="4">
        <f ca="1">IFERROR(__xludf.DUMMYFUNCTION("""COMPUTED_VALUE"""),389)</f>
        <v>389</v>
      </c>
      <c r="Q46" s="6">
        <f ca="1">IFERROR(__xludf.DUMMYFUNCTION("""COMPUTED_VALUE"""),46672)</f>
        <v>46672</v>
      </c>
      <c r="R46" s="4">
        <f ca="1">IFERROR(__xludf.DUMMYFUNCTION("""COMPUTED_VALUE"""),1485)</f>
        <v>1485</v>
      </c>
      <c r="S46" s="6">
        <f ca="1">IFERROR(__xludf.DUMMYFUNCTION("""COMPUTED_VALUE"""),47768)</f>
        <v>47768</v>
      </c>
      <c r="T46" s="4" t="str">
        <f ca="1">IFERROR(__xludf.DUMMYFUNCTION("""COMPUTED_VALUE"""),"Celso Luiz Pieroni")</f>
        <v>Celso Luiz Pieroni</v>
      </c>
      <c r="U46" s="4"/>
      <c r="V46" s="4"/>
      <c r="W46" s="4" t="str">
        <f ca="1">IFERROR(__xludf.DUMMYFUNCTION("""COMPUTED_VALUE"""),"Franciane")</f>
        <v>Franciane</v>
      </c>
      <c r="X46" s="4"/>
      <c r="Y46" s="4" t="str">
        <f ca="1">IFERROR(__xludf.DUMMYFUNCTION("""COMPUTED_VALUE"""),"SEI-260006/044065/2025 e SEI-260006/056192/2024")</f>
        <v>SEI-260006/044065/2025 e SEI-260006/056192/2024</v>
      </c>
      <c r="Z46" s="4" t="str">
        <f ca="1">IFERROR(__xludf.DUMMYFUNCTION("""COMPUTED_VALUE"""),"C-Em apuração")</f>
        <v>C-Em apuração</v>
      </c>
      <c r="AA46" s="4"/>
      <c r="AB46" s="4"/>
    </row>
    <row r="47" spans="1:28" x14ac:dyDescent="0.2">
      <c r="A47" s="4" t="str">
        <f t="shared" ca="1" si="0"/>
        <v>SEI-260006/051750/2025</v>
      </c>
      <c r="B47" s="4" t="str">
        <f t="shared" ca="1" si="1"/>
        <v>Investigativa</v>
      </c>
      <c r="C47" s="4" t="str">
        <f ca="1">IFERROR(__xludf.DUMMYFUNCTION("""COMPUTED_VALUE"""),"994/2025")</f>
        <v>994/2025</v>
      </c>
      <c r="D47" s="4" t="str">
        <f ca="1">IFERROR(__xludf.DUMMYFUNCTION("""COMPUTED_VALUE"""),"SEI-260006/051750/2025
Investigativa")</f>
        <v>SEI-260006/051750/2025
Investigativa</v>
      </c>
      <c r="E47" s="4" t="str">
        <f ca="1">IFERROR(__xludf.DUMMYFUNCTION("""COMPUTED_VALUE"""),"Faculdade de Educação da UERJ,")</f>
        <v>Faculdade de Educação da UERJ,</v>
      </c>
      <c r="F47" s="4"/>
      <c r="G47" s="4"/>
      <c r="H47" s="4"/>
      <c r="I47" s="4" t="str">
        <f ca="1">IFERROR(__xludf.DUMMYFUNCTION("""COMPUTED_VALUE"""),"identificar se as críticas e orientações do docente excederam o poder diretivo do denunciado enquanto Chefe de Departamento, bem como acerca de seu tratamento com relação às suas subordinadas, devendo ser ouvida também, ao menos, algumas das testemunhas i"&amp;"ndicadas pela denunciante, em especial sobre o suposto excesso do denunciado em uma reunião, a fim de se examinar quais seriam, efetivamente, as possíveis condutas irregulares realizadas pelo servidor, dentre aquelas identificadas pela I. Procuradora em s"&amp;"eu parecer retro (violação dos deveres de urbanidade, boa conduta, prática de assédio moral e discriminação de gênero), e a sua gravidade.  ")</f>
        <v xml:space="preserve">identificar se as críticas e orientações do docente excederam o poder diretivo do denunciado enquanto Chefe de Departamento, bem como acerca de seu tratamento com relação às suas subordinadas, devendo ser ouvida também, ao menos, algumas das testemunhas indicadas pela denunciante, em especial sobre o suposto excesso do denunciado em uma reunião, a fim de se examinar quais seriam, efetivamente, as possíveis condutas irregulares realizadas pelo servidor, dentre aquelas identificadas pela I. Procuradora em seu parecer retro (violação dos deveres de urbanidade, boa conduta, prática de assédio moral e discriminação de gênero), e a sua gravidade.  </v>
      </c>
      <c r="J47" s="4" t="str">
        <f ca="1">IFERROR(__xludf.DUMMYFUNCTION("""COMPUTED_VALUE"""),"PORTARIA Nº 994/2025 - INSTAURA Sindicância Investigativa para, no prazo de 30 dias, contados da data da publicação, apurar eventual irregularidade objeto do processo nº SEI-260006/011858/2024, bem como os fatos conexos que emergirem no decorrer dos traba"&amp;"lhos, designando, para procedê-la JEANNY CORRÊA DE ALMEIDA PASSIG ATTE, matr. nº 36.183-2, como sindicante única. Processo nº SEI260006/011858/2024")</f>
        <v>PORTARIA Nº 994/2025 - INSTAURA Sindicância Investigativa para, no prazo de 30 dias, contados da data da publicação, apurar eventual irregularidade objeto do processo nº SEI-260006/011858/2024, bem como os fatos conexos que emergirem no decorrer dos trabalhos, designando, para procedê-la JEANNY CORRÊA DE ALMEIDA PASSIG ATTE, matr. nº 36.183-2, como sindicante única. Processo nº SEI260006/011858/2024</v>
      </c>
      <c r="K47" s="4"/>
      <c r="L47" s="6">
        <f ca="1">IFERROR(__xludf.DUMMYFUNCTION("""COMPUTED_VALUE"""),45926)</f>
        <v>45926</v>
      </c>
      <c r="M47" s="6">
        <f ca="1">IFERROR(__xludf.DUMMYFUNCTION("""COMPUTED_VALUE"""),45930)</f>
        <v>45930</v>
      </c>
      <c r="N47" s="6">
        <f ca="1">IFERROR(__xludf.DUMMYFUNCTION("""COMPUTED_VALUE"""),45968)</f>
        <v>45968</v>
      </c>
      <c r="O47" s="6">
        <f ca="1">IFERROR(__xludf.DUMMYFUNCTION("""COMPUTED_VALUE"""),45969)</f>
        <v>45969</v>
      </c>
      <c r="P47" s="4" t="str">
        <f ca="1">IFERROR(__xludf.DUMMYFUNCTION("""COMPUTED_VALUE"""),"Enviado para a PGUERJ em 18/09/2026")</f>
        <v>Enviado para a PGUERJ em 18/09/2026</v>
      </c>
      <c r="Q47" s="6">
        <f ca="1">IFERROR(__xludf.DUMMYFUNCTION("""COMPUTED_VALUE"""),46699)</f>
        <v>46699</v>
      </c>
      <c r="R47" s="4" t="str">
        <f ca="1">IFERROR(__xludf.DUMMYFUNCTION("""COMPUTED_VALUE"""),"Enviado para a PGUERJ em 18/09/2026")</f>
        <v>Enviado para a PGUERJ em 18/09/2026</v>
      </c>
      <c r="S47" s="6">
        <f ca="1">IFERROR(__xludf.DUMMYFUNCTION("""COMPUTED_VALUE"""),47795)</f>
        <v>47795</v>
      </c>
      <c r="T47" s="4" t="str">
        <f ca="1">IFERROR(__xludf.DUMMYFUNCTION("""COMPUTED_VALUE"""),"Jeanny Passigatte")</f>
        <v>Jeanny Passigatte</v>
      </c>
      <c r="U47" s="4"/>
      <c r="V47" s="4"/>
      <c r="W47" s="4" t="str">
        <f ca="1">IFERROR(__xludf.DUMMYFUNCTION("""COMPUTED_VALUE"""),"Franciane")</f>
        <v>Franciane</v>
      </c>
      <c r="X47" s="4" t="str">
        <f ca="1">IFERROR(__xludf.DUMMYFUNCTION("""COMPUTED_VALUE"""),"Não")</f>
        <v>Não</v>
      </c>
      <c r="Y47" s="4" t="str">
        <f ca="1">IFERROR(__xludf.DUMMYFUNCTION("""COMPUTED_VALUE"""),"SEI-260006/011858/2024")</f>
        <v>SEI-260006/011858/2024</v>
      </c>
      <c r="Z47" s="4" t="str">
        <f ca="1">IFERROR(__xludf.DUMMYFUNCTION("""COMPUTED_VALUE"""),"C-Envio à PG/ Encerrado.")</f>
        <v>C-Envio à PG/ Encerrado.</v>
      </c>
      <c r="AA47" s="4"/>
      <c r="AB47" s="4"/>
    </row>
    <row r="48" spans="1:28" x14ac:dyDescent="0.2">
      <c r="A48" s="4" t="str">
        <f t="shared" ca="1" si="0"/>
        <v>SEI-260006/053886/2025</v>
      </c>
      <c r="B48" s="4" t="str">
        <f t="shared" ca="1" si="1"/>
        <v>Contraditória</v>
      </c>
      <c r="C48" s="4" t="str">
        <f ca="1">IFERROR(__xludf.DUMMYFUNCTION("""COMPUTED_VALUE"""),"00104925/2025")</f>
        <v>00104925/2025</v>
      </c>
      <c r="D48" s="4" t="str">
        <f ca="1">IFERROR(__xludf.DUMMYFUNCTION("""COMPUTED_VALUE"""),"SEI-260006/053886/2025
Contraditória")</f>
        <v>SEI-260006/053886/2025
Contraditória</v>
      </c>
      <c r="E48" s="4" t="str">
        <f ca="1">IFERROR(__xludf.DUMMYFUNCTION("""COMPUTED_VALUE"""),"Thiago Correia Almeida, matr. 38785-2,")</f>
        <v>Thiago Correia Almeida, matr. 38785-2,</v>
      </c>
      <c r="F48" s="4"/>
      <c r="G48" s="4"/>
      <c r="H48" s="4" t="str">
        <f ca="1">IFERROR(__xludf.DUMMYFUNCTION("""COMPUTED_VALUE"""),"por suposta violação dos deveres contidos nos incisos III, IV, V, VI e VII do Decerto-lei 220/75 (urbanidade, discrição, boa conduta, lealdade e respeito às insituiçõesconstitucionais e administrativas a que servir, observância de normas legais e regulame"&amp;"ntares) e artigo 4o, alínea e do Código de Ética Profissional dos servidores do Poder Executivo do Estado do Rio de Janeiro -Decreto estadual no 43.583/2012 (denegrir deliberadamente a reputação de outro servidor ou de pessoas que dele dependam).")</f>
        <v>por suposta violação dos deveres contidos nos incisos III, IV, V, VI e VII do Decerto-lei 220/75 (urbanidade, discrição, boa conduta, lealdade e respeito às insituiçõesconstitucionais e administrativas a que servir, observância de normas legais e regulamentares) e artigo 4o, alínea e do Código de Ética Profissional dos servidores do Poder Executivo do Estado do Rio de Janeiro -Decreto estadual no 43.583/2012 (denegrir deliberadamente a reputação de outro servidor ou de pessoas que dele dependam).</v>
      </c>
      <c r="I48" s="4" t="str">
        <f ca="1">IFERROR(__xludf.DUMMYFUNCTION("""COMPUTED_VALUE"""),"elementos descritivos da prática de supostas irregularidades funcionais que demandam a instauração imediata de procedimento apuratório formal, uma vez que a servidora Danielle Bastos teria encaminhado um e-mail com questionamento e acusações que teriam re"&amp;"sultado no pedido de saída da Professora Juliana de Moraes Prata do NEPE; que o servidor Thiago Correia Almeida  teria descumprido a orientação quanto ao impedimento de a servidora Danielle exercer funções atinentes ao cargo público ocupado na UERJ enquan"&amp;"to perdurasse sua suspensão preventiva, uma vez que teria supostamente renovado de forma indevida o projeto de extensão da docente. Por entender que as condutas dos servidores Danielle e Thiago  configuram, em tese, violação de deveres previstos no Estatu"&amp;"to, considerando as referências acusatórias a outros profissionais (Danielle em face de Juliana e Thiago em face de Danielle),  ")</f>
        <v xml:space="preserve">elementos descritivos da prática de supostas irregularidades funcionais que demandam a instauração imediata de procedimento apuratório formal, uma vez que a servidora Danielle Bastos teria encaminhado um e-mail com questionamento e acusações que teriam resultado no pedido de saída da Professora Juliana de Moraes Prata do NEPE; que o servidor Thiago Correia Almeida  teria descumprido a orientação quanto ao impedimento de a servidora Danielle exercer funções atinentes ao cargo público ocupado na UERJ enquanto perdurasse sua suspensão preventiva, uma vez que teria supostamente renovado de forma indevida o projeto de extensão da docente. Por entender que as condutas dos servidores Danielle e Thiago  configuram, em tese, violação de deveres previstos no Estatuto, considerando as referências acusatórias a outros profissionais (Danielle em face de Juliana e Thiago em face de Danielle),  </v>
      </c>
      <c r="J48" s="4" t="str">
        <f ca="1">IFERROR(__xludf.DUMMYFUNCTION("""COMPUTED_VALUE"""),"PORTARIA Nº 1049/2025 - INSTAURA Instaurar Sindicância Contraditória para, no prazo de 30 dias, contados da data da publicação, apurar eventual irregularidade objeto do processo nº SEI260006/047150/2024, bem como os fatos conexos que emergirem no decorrer"&amp;" dos trabalhos, designando para procedê-la, Comissão, integrada pelos servidores: PATRÍCIA GLIOCHE - matr. nº 33.968-9; THIAGO LUIZ C. ROCHA - matr. nº 37.012-2; MARCELO DOS S. BENTO - matr. nº33.897-0, sob a presidência do primeiro. Processo nº SEI-26000"&amp;"6/047150/2024.")</f>
        <v>PORTARIA Nº 1049/2025 - INSTAURA Instaurar Sindicância Contraditória para, no prazo de 30 dias, contados da data da publicação, apurar eventual irregularidade objeto do processo nº SEI260006/047150/2024, bem como os fatos conexos que emergirem no decorrer dos trabalhos, designando para procedê-la, Comissão, integrada pelos servidores: PATRÍCIA GLIOCHE - matr. nº 33.968-9; THIAGO LUIZ C. ROCHA - matr. nº 37.012-2; MARCELO DOS S. BENTO - matr. nº33.897-0, sob a presidência do primeiro. Processo nº SEI-260006/047150/2024.</v>
      </c>
      <c r="K48" s="4"/>
      <c r="L48" s="6">
        <f ca="1">IFERROR(__xludf.DUMMYFUNCTION("""COMPUTED_VALUE"""),45943)</f>
        <v>45943</v>
      </c>
      <c r="M48" s="6">
        <f ca="1">IFERROR(__xludf.DUMMYFUNCTION("""COMPUTED_VALUE"""),45947)</f>
        <v>45947</v>
      </c>
      <c r="N48" s="6">
        <f ca="1">IFERROR(__xludf.DUMMYFUNCTION("""COMPUTED_VALUE"""),45985)</f>
        <v>45985</v>
      </c>
      <c r="O48" s="6">
        <f ca="1">IFERROR(__xludf.DUMMYFUNCTION("""COMPUTED_VALUE"""),45986)</f>
        <v>45986</v>
      </c>
      <c r="P48" s="4">
        <f ca="1">IFERROR(__xludf.DUMMYFUNCTION("""COMPUTED_VALUE"""),433)</f>
        <v>433</v>
      </c>
      <c r="Q48" s="6">
        <f ca="1">IFERROR(__xludf.DUMMYFUNCTION("""COMPUTED_VALUE"""),46716)</f>
        <v>46716</v>
      </c>
      <c r="R48" s="4">
        <f ca="1">IFERROR(__xludf.DUMMYFUNCTION("""COMPUTED_VALUE"""),1529)</f>
        <v>1529</v>
      </c>
      <c r="S48" s="6">
        <f ca="1">IFERROR(__xludf.DUMMYFUNCTION("""COMPUTED_VALUE"""),47812)</f>
        <v>47812</v>
      </c>
      <c r="T48" s="4" t="str">
        <f ca="1">IFERROR(__xludf.DUMMYFUNCTION("""COMPUTED_VALUE"""),"Patrícia Glioche")</f>
        <v>Patrícia Glioche</v>
      </c>
      <c r="U48" s="4" t="str">
        <f ca="1">IFERROR(__xludf.DUMMYFUNCTION("""COMPUTED_VALUE"""),"Thiago Rocha")</f>
        <v>Thiago Rocha</v>
      </c>
      <c r="V48" s="4" t="str">
        <f ca="1">IFERROR(__xludf.DUMMYFUNCTION("""COMPUTED_VALUE"""),"Marcelo Bento")</f>
        <v>Marcelo Bento</v>
      </c>
      <c r="W48" s="4" t="str">
        <f ca="1">IFERROR(__xludf.DUMMYFUNCTION("""COMPUTED_VALUE"""),"Franciane")</f>
        <v>Franciane</v>
      </c>
      <c r="X48" s="4"/>
      <c r="Y48" s="4" t="str">
        <f ca="1">IFERROR(__xludf.DUMMYFUNCTION("""COMPUTED_VALUE"""),"SEI-260006/047150/2024")</f>
        <v>SEI-260006/047150/2024</v>
      </c>
      <c r="Z48" s="4" t="str">
        <f ca="1">IFERROR(__xludf.DUMMYFUNCTION("""COMPUTED_VALUE"""),"C-Em apuração")</f>
        <v>C-Em apuração</v>
      </c>
      <c r="AA48" s="4"/>
      <c r="AB48" s="4"/>
    </row>
    <row r="49" spans="1:28" x14ac:dyDescent="0.2">
      <c r="A49" s="4" t="str">
        <f t="shared" ca="1" si="0"/>
        <v>SEI-260006/053249/2025</v>
      </c>
      <c r="B49" s="4" t="str">
        <f t="shared" ca="1" si="1"/>
        <v>Contraditória</v>
      </c>
      <c r="C49" s="4" t="str">
        <f ca="1">IFERROR(__xludf.DUMMYFUNCTION("""COMPUTED_VALUE"""),"001051/2025")</f>
        <v>001051/2025</v>
      </c>
      <c r="D49" s="4" t="str">
        <f ca="1">IFERROR(__xludf.DUMMYFUNCTION("""COMPUTED_VALUE"""),"SEI-260006/053249/2025
Contraditória")</f>
        <v>SEI-260006/053249/2025
Contraditória</v>
      </c>
      <c r="E49" s="4" t="str">
        <f ca="1">IFERROR(__xludf.DUMMYFUNCTION("""COMPUTED_VALUE"""),"Thiago Correa Almeida, matrícula nº 38785-2")</f>
        <v>Thiago Correa Almeida, matrícula nº 38785-2</v>
      </c>
      <c r="F49" s="4"/>
      <c r="G49" s="4"/>
      <c r="H49" s="4" t="str">
        <f ca="1">IFERROR(__xludf.DUMMYFUNCTION("""COMPUTED_VALUE""")," indícios de violação dos incisos VI, VII do artigo 39; inciso II do artigo 40; inciso I do artigo 50; inciso I do artigo 52 e artigo 61 do Decreto Lei 220/75 e artigos correspondentes do Decreto 2479/79; alíneas a, b, e d do artigo 3º; alíneas a e d do a"&amp;"rtigo 4º do Decreto no 43.583/2012,")</f>
        <v xml:space="preserve"> indícios de violação dos incisos VI, VII do artigo 39; inciso II do artigo 40; inciso I do artigo 50; inciso I do artigo 52 e artigo 61 do Decreto Lei 220/75 e artigos correspondentes do Decreto 2479/79; alíneas a, b, e d do artigo 3º; alíneas a e d do artigo 4º do Decreto no 43.583/2012,</v>
      </c>
      <c r="I49" s="4" t="str">
        <f ca="1">IFERROR(__xludf.DUMMYFUNCTION("""COMPUTED_VALUE"""),"Indícios de violação dos incisos VI, VII do artigo 39; inciso II do artigo
40; inciso I do artigo 50; inciso I do artigo 52 e artigo 61 do Decreto
Lei 220/75 e artigos correspondentes do Decreto 2479/79; alíneas a,
b, e d do artigo 3º; alíneas a e d do ar"&amp;"tigo 4º do Decreto no
43.583/2012")</f>
        <v>Indícios de violação dos incisos VI, VII do artigo 39; inciso II do artigo
40; inciso I do artigo 50; inciso I do artigo 52 e artigo 61 do Decreto
Lei 220/75 e artigos correspondentes do Decreto 2479/79; alíneas a,
b, e d do artigo 3º; alíneas a e d do artigo 4º do Decreto no
43.583/2012</v>
      </c>
      <c r="J49" s="4" t="str">
        <f ca="1">IFERROR(__xludf.DUMMYFUNCTION("""COMPUTED_VALUE""")," PORTARIA Nº 1051/2025- INSTAURA Instaurar Sindicância Contraditória para, no prazo de 30 dias, contados da data da publicação, apurar eventual irregularidade objeto do processo nº SE-260007/017886/2021, bem comoos fatosconexos queemergiremno decorrer dos"&amp;" trabalhos, designando para procedê-la, Comissão, integrada pelosservidores: PATRÍCIA GLIOCHE- matr. nº33.968-9; DÉBORA VIEIRA RIBEIRO, matr. nº 36.200-4; HANNAH OLIVEIRA COUTINHO, matr. nº 36.994-2, s
")</f>
        <v xml:space="preserve"> PORTARIA Nº 1051/2025- INSTAURA Instaurar Sindicância Contraditória para, no prazo de 30 dias, contados da data da publicação, apurar eventual irregularidade objeto do processo nº SE-260007/017886/2021, bem comoos fatosconexos queemergiremno decorrer dos trabalhos, designando para procedê-la, Comissão, integrada pelosservidores: PATRÍCIA GLIOCHE- matr. nº33.968-9; DÉBORA VIEIRA RIBEIRO, matr. nº 36.200-4; HANNAH OLIVEIRA COUTINHO, matr. nº 36.994-2, s
</v>
      </c>
      <c r="K49" s="4"/>
      <c r="L49" s="6">
        <f ca="1">IFERROR(__xludf.DUMMYFUNCTION("""COMPUTED_VALUE"""),45944)</f>
        <v>45944</v>
      </c>
      <c r="M49" s="8">
        <f ca="1">IFERROR(__xludf.DUMMYFUNCTION("""COMPUTED_VALUE"""),45947)</f>
        <v>45947</v>
      </c>
      <c r="N49" s="6">
        <f ca="1">IFERROR(__xludf.DUMMYFUNCTION("""COMPUTED_VALUE"""),45985)</f>
        <v>45985</v>
      </c>
      <c r="O49" s="6">
        <f ca="1">IFERROR(__xludf.DUMMYFUNCTION("""COMPUTED_VALUE"""),45986)</f>
        <v>45986</v>
      </c>
      <c r="P49" s="4">
        <f ca="1">IFERROR(__xludf.DUMMYFUNCTION("""COMPUTED_VALUE"""),433)</f>
        <v>433</v>
      </c>
      <c r="Q49" s="6">
        <f ca="1">IFERROR(__xludf.DUMMYFUNCTION("""COMPUTED_VALUE"""),46716)</f>
        <v>46716</v>
      </c>
      <c r="R49" s="4">
        <f ca="1">IFERROR(__xludf.DUMMYFUNCTION("""COMPUTED_VALUE"""),1529)</f>
        <v>1529</v>
      </c>
      <c r="S49" s="6">
        <f ca="1">IFERROR(__xludf.DUMMYFUNCTION("""COMPUTED_VALUE"""),47812)</f>
        <v>47812</v>
      </c>
      <c r="T49" s="4" t="str">
        <f ca="1">IFERROR(__xludf.DUMMYFUNCTION("""COMPUTED_VALUE"""),"Patrícia Glioche")</f>
        <v>Patrícia Glioche</v>
      </c>
      <c r="U49" s="4" t="str">
        <f ca="1">IFERROR(__xludf.DUMMYFUNCTION("""COMPUTED_VALUE"""),"Débora Ribeiro")</f>
        <v>Débora Ribeiro</v>
      </c>
      <c r="V49" s="4" t="str">
        <f ca="1">IFERROR(__xludf.DUMMYFUNCTION("""COMPUTED_VALUE"""),"Hannah Oliveira")</f>
        <v>Hannah Oliveira</v>
      </c>
      <c r="W49" s="4" t="str">
        <f ca="1">IFERROR(__xludf.DUMMYFUNCTION("""COMPUTED_VALUE"""),"Micheline")</f>
        <v>Micheline</v>
      </c>
      <c r="X49" s="4"/>
      <c r="Y49" s="4" t="str">
        <f ca="1">IFERROR(__xludf.DUMMYFUNCTION("""COMPUTED_VALUE"""),"SEI-260007/017886/2021")</f>
        <v>SEI-260007/017886/2021</v>
      </c>
      <c r="Z49" s="4" t="str">
        <f ca="1">IFERROR(__xludf.DUMMYFUNCTION("""COMPUTED_VALUE"""),"C-Em apuração")</f>
        <v>C-Em apuração</v>
      </c>
      <c r="AA49" s="4"/>
      <c r="AB49" s="4"/>
    </row>
    <row r="50" spans="1:28" x14ac:dyDescent="0.2">
      <c r="A50" s="4" t="str">
        <f t="shared" ca="1" si="0"/>
        <v>SEI-260006/053162/2025</v>
      </c>
      <c r="B50" s="4" t="str">
        <f t="shared" ca="1" si="1"/>
        <v>Investigativa</v>
      </c>
      <c r="C50" s="4" t="str">
        <f ca="1">IFERROR(__xludf.DUMMYFUNCTION("""COMPUTED_VALUE"""),"001050/2025")</f>
        <v>001050/2025</v>
      </c>
      <c r="D50" s="4" t="str">
        <f ca="1">IFERROR(__xludf.DUMMYFUNCTION("""COMPUTED_VALUE"""),"SEI-260006/053162/2025
Investigativa")</f>
        <v>SEI-260006/053162/2025
Investigativa</v>
      </c>
      <c r="E50" s="4"/>
      <c r="F50" s="4"/>
      <c r="G50" s="4"/>
      <c r="H50" s="4"/>
      <c r="I50" s="4" t="str">
        <f ca="1">IFERROR(__xludf.DUMMYFUNCTION("""COMPUTED_VALUE"""),"situação em houve a afixação, nos murais do Centro Acadêmico, de cartazes com nomes de docentes associando a Reitoria à ""criminalização estudantil"", utilização de imagem da Reitora ligada a símbolos autoritários, e manifestação de servidores utilizando "&amp;"equipamentos públicos para pedir a destituição da Reitora. conforme Parecer nº 3/2025/UERJ/PGUERJ09 (91191332), aprovado pela Manifestação.UERJ/PGUERJ09 SEI Nº155 (92130911) e pela Manifestação.UERJ/PGUERJGAB SEI Nº447 (94875139), nos quais se fixou o ent"&amp;"endimento no sentido de que as condutas descritas rompeu os limites constitucionais aplicáveis ao contexto universitário da liberdade de expressão, especialmente pelo fato de ter sido utilizado bens públicos universitários em desvio de finalidade, em cont"&amp;"rariedade ao art. 309 da CERJ e do Ato Executivo nº 374/71, além de possível violação à a vedação ao anonimato (art. 5º, IV, da CF/88) e à proteção da honra e da vida privada (art. 5º, X, da CF/88).")</f>
        <v>situação em houve a afixação, nos murais do Centro Acadêmico, de cartazes com nomes de docentes associando a Reitoria à "criminalização estudantil", utilização de imagem da Reitora ligada a símbolos autoritários, e manifestação de servidores utilizando equipamentos públicos para pedir a destituição da Reitora. conforme Parecer nº 3/2025/UERJ/PGUERJ09 (91191332), aprovado pela Manifestação.UERJ/PGUERJ09 SEI Nº155 (92130911) e pela Manifestação.UERJ/PGUERJGAB SEI Nº447 (94875139), nos quais se fixou o entendimento no sentido de que as condutas descritas rompeu os limites constitucionais aplicáveis ao contexto universitário da liberdade de expressão, especialmente pelo fato de ter sido utilizado bens públicos universitários em desvio de finalidade, em contrariedade ao art. 309 da CERJ e do Ato Executivo nº 374/71, além de possível violação à a vedação ao anonimato (art. 5º, IV, da CF/88) e à proteção da honra e da vida privada (art. 5º, X, da CF/88).</v>
      </c>
      <c r="J50" s="4" t="str">
        <f ca="1">IFERROR(__xludf.DUMMYFUNCTION("""COMPUTED_VALUE"""),"PORTARIA Nº 1050/2025 - INSTAURA Instaurar Sindicância investigativa para, no prazo de 30 dias, contados da data da publicação, apurar eventual irregularidade objeto do processo nº SEI260006/042704/2024, bem como os fatos conexos que emergirem no decorrer"&amp;" dos trabalhos, designando para procedê-la, como sindicante única VANESSA OLIVEIRA DE QUEIROZ, matr. nº 39.914-7. Processo nº SEI-260006/042704/2024.")</f>
        <v>PORTARIA Nº 1050/2025 - INSTAURA Instaurar Sindicância investigativa para, no prazo de 30 dias, contados da data da publicação, apurar eventual irregularidade objeto do processo nº SEI260006/042704/2024, bem como os fatos conexos que emergirem no decorrer dos trabalhos, designando para procedê-la, como sindicante única VANESSA OLIVEIRA DE QUEIROZ, matr. nº 39.914-7. Processo nº SEI-260006/042704/2024.</v>
      </c>
      <c r="K50" s="4"/>
      <c r="L50" s="6">
        <f ca="1">IFERROR(__xludf.DUMMYFUNCTION("""COMPUTED_VALUE"""),45944)</f>
        <v>45944</v>
      </c>
      <c r="M50" s="6">
        <f ca="1">IFERROR(__xludf.DUMMYFUNCTION("""COMPUTED_VALUE"""),45947)</f>
        <v>45947</v>
      </c>
      <c r="N50" s="6">
        <f ca="1">IFERROR(__xludf.DUMMYFUNCTION("""COMPUTED_VALUE"""),45985)</f>
        <v>45985</v>
      </c>
      <c r="O50" s="6">
        <f ca="1">IFERROR(__xludf.DUMMYFUNCTION("""COMPUTED_VALUE"""),45986)</f>
        <v>45986</v>
      </c>
      <c r="P50" s="4">
        <f ca="1">IFERROR(__xludf.DUMMYFUNCTION("""COMPUTED_VALUE"""),433)</f>
        <v>433</v>
      </c>
      <c r="Q50" s="6">
        <f ca="1">IFERROR(__xludf.DUMMYFUNCTION("""COMPUTED_VALUE"""),46716)</f>
        <v>46716</v>
      </c>
      <c r="R50" s="4">
        <f ca="1">IFERROR(__xludf.DUMMYFUNCTION("""COMPUTED_VALUE"""),1529)</f>
        <v>1529</v>
      </c>
      <c r="S50" s="6">
        <f ca="1">IFERROR(__xludf.DUMMYFUNCTION("""COMPUTED_VALUE"""),47812)</f>
        <v>47812</v>
      </c>
      <c r="T50" s="4" t="str">
        <f ca="1">IFERROR(__xludf.DUMMYFUNCTION("""COMPUTED_VALUE"""),"Vanessa Queiroz")</f>
        <v>Vanessa Queiroz</v>
      </c>
      <c r="U50" s="4"/>
      <c r="V50" s="4"/>
      <c r="W50" s="4" t="str">
        <f ca="1">IFERROR(__xludf.DUMMYFUNCTION("""COMPUTED_VALUE"""),"Débora")</f>
        <v>Débora</v>
      </c>
      <c r="X50" s="4" t="str">
        <f ca="1">IFERROR(__xludf.DUMMYFUNCTION("""COMPUTED_VALUE"""),"Não")</f>
        <v>Não</v>
      </c>
      <c r="Y50" s="4" t="str">
        <f ca="1">IFERROR(__xludf.DUMMYFUNCTION("""COMPUTED_VALUE"""),"SEI-260006/042704/2024")</f>
        <v>SEI-260006/042704/2024</v>
      </c>
      <c r="Z50" s="4" t="str">
        <f ca="1">IFERROR(__xludf.DUMMYFUNCTION("""COMPUTED_VALUE"""),"C-Em apuração")</f>
        <v>C-Em apuração</v>
      </c>
      <c r="AA50" s="4"/>
      <c r="AB50" s="4"/>
    </row>
    <row r="51" spans="1:28" x14ac:dyDescent="0.2">
      <c r="A51" s="4" t="str">
        <f t="shared" ca="1" si="0"/>
        <v>SEI-260006/061761/2025</v>
      </c>
      <c r="B51" s="4" t="str">
        <f t="shared" ca="1" si="1"/>
        <v>Investigativa</v>
      </c>
      <c r="C51" s="4" t="str">
        <f ca="1">IFERROR(__xludf.DUMMYFUNCTION("""COMPUTED_VALUE"""),"1158/2025")</f>
        <v>1158/2025</v>
      </c>
      <c r="D51" s="4" t="str">
        <f ca="1">IFERROR(__xludf.DUMMYFUNCTION("""COMPUTED_VALUE"""),"SEI-260006/061761/2025
Investigativa")</f>
        <v>SEI-260006/061761/2025
Investigativa</v>
      </c>
      <c r="E51" s="4" t="str">
        <f ca="1">IFERROR(__xludf.DUMMYFUNCTION("""COMPUTED_VALUE"""),"CEPUERJ")</f>
        <v>CEPUERJ</v>
      </c>
      <c r="F51" s="4" t="str">
        <f ca="1">IFERROR(__xludf.DUMMYFUNCTION("""COMPUTED_VALUE"""),"Assédio moral/sexual/discriminação.")</f>
        <v>Assédio moral/sexual/discriminação.</v>
      </c>
      <c r="G51" s="4" t="str">
        <f ca="1">IFERROR(__xludf.DUMMYFUNCTION("""COMPUTED_VALUE"""),"Outros., Assédio moral/sexual/discriminação.")</f>
        <v>Outros., Assédio moral/sexual/discriminação.</v>
      </c>
      <c r="H51" s="4" t="str">
        <f ca="1">IFERROR(__xludf.DUMMYFUNCTION("""COMPUTED_VALUE"""),"Denúncia, Assédio moral/sexual/discriminação., Outros.")</f>
        <v>Denúncia, Assédio moral/sexual/discriminação., Outros.</v>
      </c>
      <c r="I51" s="4" t="str">
        <f ca="1">IFERROR(__xludf.DUMMYFUNCTION("""COMPUTED_VALUE"""),"Apuração de denúncia formulada por candidata participante do Processo Seletivo de Residência em Saúde UERJ 2026 – Programa de Residência em Serviço Social, relatando ter sido vítima de racismo institucional durante a aplicação da prova realizada no dia 25"&amp;" de outubro de 2025.")</f>
        <v>Apuração de denúncia formulada por candidata participante do Processo Seletivo de Residência em Saúde UERJ 2026 – Programa de Residência em Serviço Social, relatando ter sido vítima de racismo institucional durante a aplicação da prova realizada no dia 25 de outubro de 2025.</v>
      </c>
      <c r="J51" s="4" t="str">
        <f ca="1">IFERROR(__xludf.DUMMYFUNCTION("""COMPUTED_VALUE"""),"PORTARIA Nº 1158/REITORIA/2025 - INSTAURA sindicância investigativa para, no prazo de 30 dias, contados da data da publicação, apurar eventual irregularidade objeto do processo supracitado, bem como os fatos conexos que emergirem no decorrer dos trabalhos"&amp;", designando para procedê-la KAROLYNNE DE A. M. JOSÉ ROCHA, matr. 35.698-0. Processo nº SEI-260006/055655/2025.")</f>
        <v>PORTARIA Nº 1158/REITORIA/2025 - INSTAURA sindicância investigativa para, no prazo de 30 dias, contados da data da publicação, apurar eventual irregularidade objeto do processo supracitado, bem como os fatos conexos que emergirem no decorrer dos trabalhos, designando para procedê-la KAROLYNNE DE A. M. JOSÉ ROCHA, matr. 35.698-0. Processo nº SEI-260006/055655/2025.</v>
      </c>
      <c r="K51" s="4"/>
      <c r="L51" s="6">
        <f ca="1">IFERROR(__xludf.DUMMYFUNCTION("""COMPUTED_VALUE"""),45986)</f>
        <v>45986</v>
      </c>
      <c r="M51" s="6">
        <f ca="1">IFERROR(__xludf.DUMMYFUNCTION("""COMPUTED_VALUE"""),45988)</f>
        <v>45988</v>
      </c>
      <c r="N51" s="6">
        <f ca="1">IFERROR(__xludf.DUMMYFUNCTION("""COMPUTED_VALUE"""),46026)</f>
        <v>46026</v>
      </c>
      <c r="O51" s="6">
        <f ca="1">IFERROR(__xludf.DUMMYFUNCTION("""COMPUTED_VALUE"""),46027)</f>
        <v>46027</v>
      </c>
      <c r="P51" s="4">
        <f ca="1">IFERROR(__xludf.DUMMYFUNCTION("""COMPUTED_VALUE"""),474)</f>
        <v>474</v>
      </c>
      <c r="Q51" s="6">
        <f ca="1">IFERROR(__xludf.DUMMYFUNCTION("""COMPUTED_VALUE"""),46757)</f>
        <v>46757</v>
      </c>
      <c r="R51" s="4">
        <f ca="1">IFERROR(__xludf.DUMMYFUNCTION("""COMPUTED_VALUE"""),1570)</f>
        <v>1570</v>
      </c>
      <c r="S51" s="6">
        <f ca="1">IFERROR(__xludf.DUMMYFUNCTION("""COMPUTED_VALUE"""),47853)</f>
        <v>47853</v>
      </c>
      <c r="T51" s="4" t="str">
        <f ca="1">IFERROR(__xludf.DUMMYFUNCTION("""COMPUTED_VALUE"""),"Karolynne Rocha")</f>
        <v>Karolynne Rocha</v>
      </c>
      <c r="U51" s="4"/>
      <c r="V51" s="4"/>
      <c r="W51" s="4" t="str">
        <f ca="1">IFERROR(__xludf.DUMMYFUNCTION("""COMPUTED_VALUE"""),"Isadora")</f>
        <v>Isadora</v>
      </c>
      <c r="X51" s="4" t="str">
        <f ca="1">IFERROR(__xludf.DUMMYFUNCTION("""COMPUTED_VALUE"""),"Não")</f>
        <v>Não</v>
      </c>
      <c r="Y51" s="4" t="str">
        <f ca="1">IFERROR(__xludf.DUMMYFUNCTION("""COMPUTED_VALUE"""),"SEI-260006/055655/2025")</f>
        <v>SEI-260006/055655/2025</v>
      </c>
      <c r="Z51" s="4" t="str">
        <f ca="1">IFERROR(__xludf.DUMMYFUNCTION("""COMPUTED_VALUE"""),"C-Em apuração")</f>
        <v>C-Em apuração</v>
      </c>
      <c r="AA51" s="4"/>
      <c r="AB51" s="4"/>
    </row>
    <row r="52" spans="1:28" x14ac:dyDescent="0.2">
      <c r="A52" s="4" t="str">
        <f t="shared" ca="1" si="0"/>
        <v>SEI-260006/063747/2025</v>
      </c>
      <c r="B52" s="4" t="str">
        <f t="shared" ca="1" si="1"/>
        <v>Contraditória</v>
      </c>
      <c r="C52" s="4" t="str">
        <f ca="1">IFERROR(__xludf.DUMMYFUNCTION("""COMPUTED_VALUE"""),"1171/2025")</f>
        <v>1171/2025</v>
      </c>
      <c r="D52" s="4" t="str">
        <f ca="1">IFERROR(__xludf.DUMMYFUNCTION("""COMPUTED_VALUE"""),"SEI-260006/063747/2025
Contraditória")</f>
        <v>SEI-260006/063747/2025
Contraditória</v>
      </c>
      <c r="E52" s="4" t="str">
        <f ca="1">IFERROR(__xludf.DUMMYFUNCTION("""COMPUTED_VALUE"""),"Daniel Augusto Pereira Silva, matr. 42494-5")</f>
        <v>Daniel Augusto Pereira Silva, matr. 42494-5</v>
      </c>
      <c r="F52" s="4" t="str">
        <f ca="1">IFERROR(__xludf.DUMMYFUNCTION("""COMPUTED_VALUE"""),"Desvio de conduta")</f>
        <v>Desvio de conduta</v>
      </c>
      <c r="G52" s="4" t="str">
        <f ca="1">IFERROR(__xludf.DUMMYFUNCTION("""COMPUTED_VALUE"""),"Outros")</f>
        <v>Outros</v>
      </c>
      <c r="H52" s="4" t="str">
        <f ca="1">IFERROR(__xludf.DUMMYFUNCTION("""COMPUTED_VALUE"""),"Indícios de violação dos deveres impostos nos incisos III, IV, V e VII do Decreto-Lei 220/75 e nas alíneas c, d, e, f, g, n do artigo 3 o e alínea a do artigo 4 o do Decreto n o 43.583 de 11 de maio de 2012;")</f>
        <v>Indícios de violação dos deveres impostos nos incisos III, IV, V e VII do Decreto-Lei 220/75 e nas alíneas c, d, e, f, g, n do artigo 3 o e alínea a do artigo 4 o do Decreto n o 43.583 de 11 de maio de 2012;</v>
      </c>
      <c r="I52" s="4" t="str">
        <f ca="1">IFERROR(__xludf.DUMMYFUNCTION("""COMPUTED_VALUE"""),"Apuração da denúncia formulada perante a Ouvidoria Geral pela discente Ilza Mara Ribeiro relatando suposto comportamento irregular do docente Daniel Augusto Pereira da Silva")</f>
        <v>Apuração da denúncia formulada perante a Ouvidoria Geral pela discente Ilza Mara Ribeiro relatando suposto comportamento irregular do docente Daniel Augusto Pereira da Silva</v>
      </c>
      <c r="J52" s="4" t="str">
        <f ca="1">IFERROR(__xludf.DUMMYFUNCTION("""COMPUTED_VALUE"""),"PORTARIA Nº 1171/2025 - INSTAURA Sindicância Contraditória para, no prazo de 30 dias, contados da data da publicação, apurar eventual irregularidade objeto do processo supracitado, bem como os fatos conexos que emergirem no decorrer dos trabalhos, designa"&amp;"ndo para procedê-la, Comissão, integrada, sob a presidência do primeiro, pelos servidores: VANESSA OLIVEIRA DE QUEIROZ, matr. nº 39.914-7; CELSO LUIZ MOREIRA PIERONI, matr. nº 39.595-4; FELIPE PERDIGÃO CORRÊA, matr. nº 37.977-6. Processo nº SEI260006/0345"&amp;"10/2025")</f>
        <v>PORTARIA Nº 1171/2025 - INSTAURA Sindicância Contraditória para, no prazo de 30 dias, contados da data da publicação, apurar eventual irregularidade objeto do processo supracitado, bem como os fatos conexos que emergirem no decorrer dos trabalhos, designando para procedê-la, Comissão, integrada, sob a presidência do primeiro, pelos servidores: VANESSA OLIVEIRA DE QUEIROZ, matr. nº 39.914-7; CELSO LUIZ MOREIRA PIERONI, matr. nº 39.595-4; FELIPE PERDIGÃO CORRÊA, matr. nº 37.977-6. Processo nº SEI260006/034510/2025</v>
      </c>
      <c r="K52" s="4"/>
      <c r="L52" s="6">
        <f ca="1">IFERROR(__xludf.DUMMYFUNCTION("""COMPUTED_VALUE"""),45992)</f>
        <v>45992</v>
      </c>
      <c r="M52" s="6">
        <f ca="1">IFERROR(__xludf.DUMMYFUNCTION("""COMPUTED_VALUE"""),45994)</f>
        <v>45994</v>
      </c>
      <c r="N52" s="6">
        <f ca="1">IFERROR(__xludf.DUMMYFUNCTION("""COMPUTED_VALUE"""),46032)</f>
        <v>46032</v>
      </c>
      <c r="O52" s="6">
        <f ca="1">IFERROR(__xludf.DUMMYFUNCTION("""COMPUTED_VALUE"""),46033)</f>
        <v>46033</v>
      </c>
      <c r="P52" s="4">
        <f ca="1">IFERROR(__xludf.DUMMYFUNCTION("""COMPUTED_VALUE"""),480)</f>
        <v>480</v>
      </c>
      <c r="Q52" s="6">
        <f ca="1">IFERROR(__xludf.DUMMYFUNCTION("""COMPUTED_VALUE"""),46763)</f>
        <v>46763</v>
      </c>
      <c r="R52" s="4">
        <f ca="1">IFERROR(__xludf.DUMMYFUNCTION("""COMPUTED_VALUE"""),1576)</f>
        <v>1576</v>
      </c>
      <c r="S52" s="6">
        <f ca="1">IFERROR(__xludf.DUMMYFUNCTION("""COMPUTED_VALUE"""),47859)</f>
        <v>47859</v>
      </c>
      <c r="T52" s="4" t="str">
        <f ca="1">IFERROR(__xludf.DUMMYFUNCTION("""COMPUTED_VALUE"""),"Vanessa Queiroz")</f>
        <v>Vanessa Queiroz</v>
      </c>
      <c r="U52" s="4" t="str">
        <f ca="1">IFERROR(__xludf.DUMMYFUNCTION("""COMPUTED_VALUE"""),"Celso Luiz Pieroni")</f>
        <v>Celso Luiz Pieroni</v>
      </c>
      <c r="V52" s="4" t="str">
        <f ca="1">IFERROR(__xludf.DUMMYFUNCTION("""COMPUTED_VALUE"""),"Felipe Perdigão")</f>
        <v>Felipe Perdigão</v>
      </c>
      <c r="W52" s="4" t="str">
        <f ca="1">IFERROR(__xludf.DUMMYFUNCTION("""COMPUTED_VALUE"""),"Isadora")</f>
        <v>Isadora</v>
      </c>
      <c r="X52" s="4" t="str">
        <f ca="1">IFERROR(__xludf.DUMMYFUNCTION("""COMPUTED_VALUE"""),"Não")</f>
        <v>Não</v>
      </c>
      <c r="Y52" s="4" t="str">
        <f ca="1">IFERROR(__xludf.DUMMYFUNCTION("""COMPUTED_VALUE"""),"SEI-260006/034510/2025")</f>
        <v>SEI-260006/034510/2025</v>
      </c>
      <c r="Z52" s="4" t="str">
        <f ca="1">IFERROR(__xludf.DUMMYFUNCTION("""COMPUTED_VALUE"""),"C-Em apuração")</f>
        <v>C-Em apuração</v>
      </c>
      <c r="AA52" s="4"/>
      <c r="AB52" s="4"/>
    </row>
    <row r="53" spans="1:28" x14ac:dyDescent="0.2">
      <c r="A53" s="4" t="str">
        <f t="shared" ca="1" si="0"/>
        <v>SEI-260006/001094/2026</v>
      </c>
      <c r="B53" s="4" t="str">
        <f t="shared" ca="1" si="1"/>
        <v>investigativa</v>
      </c>
      <c r="C53" s="4" t="str">
        <f ca="1">IFERROR(__xludf.DUMMYFUNCTION("""COMPUTED_VALUE"""),"1187/2025")</f>
        <v>1187/2025</v>
      </c>
      <c r="D53" s="4" t="str">
        <f ca="1">IFERROR(__xludf.DUMMYFUNCTION("""COMPUTED_VALUE"""),"SEI-260006/001094/2026
investigativa")</f>
        <v>SEI-260006/001094/2026
investigativa</v>
      </c>
      <c r="E53" s="4" t="str">
        <f ca="1">IFERROR(__xludf.DUMMYFUNCTION("""COMPUTED_VALUE"""),"PPC")</f>
        <v>PPC</v>
      </c>
      <c r="F53" s="4" t="str">
        <f ca="1">IFERROR(__xludf.DUMMYFUNCTION("""COMPUTED_VALUE"""),"Nepotismo")</f>
        <v>Nepotismo</v>
      </c>
      <c r="G53" s="4" t="str">
        <f ca="1">IFERROR(__xludf.DUMMYFUNCTION("""COMPUTED_VALUE"""),"Nepotismo")</f>
        <v>Nepotismo</v>
      </c>
      <c r="H53" s="4" t="str">
        <f ca="1">IFERROR(__xludf.DUMMYFUNCTION("""COMPUTED_VALUE"""),"Nepotismo")</f>
        <v>Nepotismo</v>
      </c>
      <c r="I53" s="4" t="str">
        <f ca="1">IFERROR(__xludf.DUMMYFUNCTION("""COMPUTED_VALUE"""),"Sindicância Investigativa instaurada para apuração das notícias do jornal Hora H, de 20.07.2023, através da Portaria 1187/REITORIA/2025. ")</f>
        <v xml:space="preserve">Sindicância Investigativa instaurada para apuração das notícias do jornal Hora H, de 20.07.2023, através da Portaria 1187/REITORIA/2025. </v>
      </c>
      <c r="J53" s="4" t="str">
        <f ca="1">IFERROR(__xludf.DUMMYFUNCTION("""COMPUTED_VALUE"""),"PORTARIA Nº 1187/2025 - INSTAURA Sindicância Investigativa para, no prazo de 30 dias, contados da data da publicação, apurar eventual irregularidade objeto do processo supracitado Processo nº SEI260007/051745/2023, bem como os fatos conexos que emergirem "&amp;"no decorrer dos trabalhos, designando para procedê-la, Comissão, integrada, sob a presidência da primeira, pelos servidores: PAULA ASSED GONÇALVES DE SOUZA, matr. 33.885-5; CELSO LUIZ MOREIRA PIERONI, matr. 39.595 4; MARCELO FERREIRA DE OLIVEIRA, matr. 31"&amp;".161-3. Processo nº SEI-260007/051745/2023.")</f>
        <v>PORTARIA Nº 1187/2025 - INSTAURA Sindicância Investigativa para, no prazo de 30 dias, contados da data da publicação, apurar eventual irregularidade objeto do processo supracitado Processo nº SEI260007/051745/2023, bem como os fatos conexos que emergirem no decorrer dos trabalhos, designando para procedê-la, Comissão, integrada, sob a presidência da primeira, pelos servidores: PAULA ASSED GONÇALVES DE SOUZA, matr. 33.885-5; CELSO LUIZ MOREIRA PIERONI, matr. 39.595 4; MARCELO FERREIRA DE OLIVEIRA, matr. 31.161-3. Processo nº SEI-260007/051745/2023.</v>
      </c>
      <c r="K53" s="4"/>
      <c r="L53" s="6">
        <f ca="1">IFERROR(__xludf.DUMMYFUNCTION("""COMPUTED_VALUE"""),45999)</f>
        <v>45999</v>
      </c>
      <c r="M53" s="6">
        <f ca="1">IFERROR(__xludf.DUMMYFUNCTION("""COMPUTED_VALUE"""),46001)</f>
        <v>46001</v>
      </c>
      <c r="N53" s="6">
        <f ca="1">IFERROR(__xludf.DUMMYFUNCTION("""COMPUTED_VALUE"""),46039)</f>
        <v>46039</v>
      </c>
      <c r="O53" s="6">
        <f ca="1">IFERROR(__xludf.DUMMYFUNCTION("""COMPUTED_VALUE"""),46040)</f>
        <v>46040</v>
      </c>
      <c r="P53" s="4">
        <f ca="1">IFERROR(__xludf.DUMMYFUNCTION("""COMPUTED_VALUE"""),487)</f>
        <v>487</v>
      </c>
      <c r="Q53" s="6">
        <f ca="1">IFERROR(__xludf.DUMMYFUNCTION("""COMPUTED_VALUE"""),46770)</f>
        <v>46770</v>
      </c>
      <c r="R53" s="4">
        <f ca="1">IFERROR(__xludf.DUMMYFUNCTION("""COMPUTED_VALUE"""),1583)</f>
        <v>1583</v>
      </c>
      <c r="S53" s="6">
        <f ca="1">IFERROR(__xludf.DUMMYFUNCTION("""COMPUTED_VALUE"""),47866)</f>
        <v>47866</v>
      </c>
      <c r="T53" s="4" t="str">
        <f ca="1">IFERROR(__xludf.DUMMYFUNCTION("""COMPUTED_VALUE"""),"Rodrigo Marcellino")</f>
        <v>Rodrigo Marcellino</v>
      </c>
      <c r="U53" s="4" t="str">
        <f ca="1">IFERROR(__xludf.DUMMYFUNCTION("""COMPUTED_VALUE"""),"Celso Luiz Pieroni")</f>
        <v>Celso Luiz Pieroni</v>
      </c>
      <c r="V53" s="4" t="str">
        <f ca="1">IFERROR(__xludf.DUMMYFUNCTION("""COMPUTED_VALUE"""),"Marcelo Ferreira")</f>
        <v>Marcelo Ferreira</v>
      </c>
      <c r="W53" s="4" t="str">
        <f ca="1">IFERROR(__xludf.DUMMYFUNCTION("""COMPUTED_VALUE"""),"Isadora")</f>
        <v>Isadora</v>
      </c>
      <c r="X53" s="4" t="str">
        <f ca="1">IFERROR(__xludf.DUMMYFUNCTION("""COMPUTED_VALUE"""),"Não")</f>
        <v>Não</v>
      </c>
      <c r="Y53" s="4" t="str">
        <f ca="1">IFERROR(__xludf.DUMMYFUNCTION("""COMPUTED_VALUE"""),"SEI-260007/051745/2023")</f>
        <v>SEI-260007/051745/2023</v>
      </c>
      <c r="Z53" s="4" t="str">
        <f ca="1">IFERROR(__xludf.DUMMYFUNCTION("""COMPUTED_VALUE"""),"C-Em apuração")</f>
        <v>C-Em apuração</v>
      </c>
      <c r="AA53" s="4"/>
      <c r="AB53" s="4"/>
    </row>
    <row r="54" spans="1:28" x14ac:dyDescent="0.2">
      <c r="A54" s="4" t="str">
        <f t="shared" ca="1" si="0"/>
        <v>SEI-260006/065290/2025</v>
      </c>
      <c r="B54" s="4" t="str">
        <f t="shared" ca="1" si="1"/>
        <v>Investigativa</v>
      </c>
      <c r="C54" s="4" t="str">
        <f ca="1">IFERROR(__xludf.DUMMYFUNCTION("""COMPUTED_VALUE"""),"1188/2025")</f>
        <v>1188/2025</v>
      </c>
      <c r="D54" s="4" t="str">
        <f ca="1">IFERROR(__xludf.DUMMYFUNCTION("""COMPUTED_VALUE"""),"SEI-260006/065290/2025
 Investigativa")</f>
        <v>SEI-260006/065290/2025
 Investigativa</v>
      </c>
      <c r="E54" s="4" t="str">
        <f ca="1">IFERROR(__xludf.DUMMYFUNCTION("""COMPUTED_VALUE"""),"IPRJ")</f>
        <v>IPRJ</v>
      </c>
      <c r="F54" s="4"/>
      <c r="G54" s="4"/>
      <c r="H54" s="4" t="str">
        <f ca="1">IFERROR(__xludf.DUMMYFUNCTION("""COMPUTED_VALUE"""),"condutas imputadas à denunciada, em tese, poderiam configurar o descumprimento de
deveres dispostos no Estatuto (DL 220/75, arts. 39, III, IV, V, e VII), em seu regulamento (D. 2.479/79,
arts. 285, III, IV, V, e VII), e no Código de Ética Profissional d"&amp;"os servidores do Poder Executivo do
Estado do Rio de Janeiro (Decreto estadual no 43.583/2012 (art. 3o, alíneas ""d"", ""f"" e ""n"", e 4o, ""e"" e ""f"")")</f>
        <v>condutas imputadas à denunciada, em tese, poderiam configurar o descumprimento de
deveres dispostos no Estatuto (DL 220/75, arts. 39, III, IV, V, e VII), em seu regulamento (D. 2.479/79,
arts. 285, III, IV, V, e VII), e no Código de Ética Profissional dos servidores do Poder Executivo do
Estado do Rio de Janeiro (Decreto estadual no 43.583/2012 (art. 3o, alíneas "d", "f" e "n", e 4o, "e" e "f")</v>
      </c>
      <c r="I54" s="4" t="str">
        <f ca="1">IFERROR(__xludf.DUMMYFUNCTION("""COMPUTED_VALUE"""),"a prática de suposto ato irregular pela servidora docente Solange Francisco do Nascimento por suposta prática irregular, constrangendo o docente. ")</f>
        <v xml:space="preserve">a prática de suposto ato irregular pela servidora docente Solange Francisco do Nascimento por suposta prática irregular, constrangendo o docente. </v>
      </c>
      <c r="J54" s="4" t="str">
        <f ca="1">IFERROR(__xludf.DUMMYFUNCTION("""COMPUTED_VALUE"""),"PORTARIA Nº 1188/2025 - INSTAURA Sindicância Investigativa para, no prazo de 30 dias, contados da data da publicação, apurar eventual irregularidade objeto do Processo nº SEI-260006/025837/2025, bem como os fatos conexos que emergirem no decorrer dos trab"&amp;"alhos, designando para procedê-la, Comissão, integrada, sob a presidência do primeiro, pelos servidores: GUSTAVO SEABRA SANTOS, matr. nº 41.095-1; CELSO LUIZ MOREIRA PIERONI, matr. nº 39.595-4; MARCELO FERREIRA DE OLIVEIRA, matr. 31.161-3. Processo nº SEI"&amp;"260006/025837/2025")</f>
        <v>PORTARIA Nº 1188/2025 - INSTAURA Sindicância Investigativa para, no prazo de 30 dias, contados da data da publicação, apurar eventual irregularidade objeto do Processo nº SEI-260006/025837/2025, bem como os fatos conexos que emergirem no decorrer dos trabalhos, designando para procedê-la, Comissão, integrada, sob a presidência do primeiro, pelos servidores: GUSTAVO SEABRA SANTOS, matr. nº 41.095-1; CELSO LUIZ MOREIRA PIERONI, matr. nº 39.595-4; MARCELO FERREIRA DE OLIVEIRA, matr. 31.161-3. Processo nº SEI260006/025837/2025</v>
      </c>
      <c r="K54" s="4"/>
      <c r="L54" s="6">
        <f ca="1">IFERROR(__xludf.DUMMYFUNCTION("""COMPUTED_VALUE"""),46000)</f>
        <v>46000</v>
      </c>
      <c r="M54" s="6">
        <f ca="1">IFERROR(__xludf.DUMMYFUNCTION("""COMPUTED_VALUE"""),46002)</f>
        <v>46002</v>
      </c>
      <c r="N54" s="6">
        <f ca="1">IFERROR(__xludf.DUMMYFUNCTION("""COMPUTED_VALUE"""),46040)</f>
        <v>46040</v>
      </c>
      <c r="O54" s="6">
        <f ca="1">IFERROR(__xludf.DUMMYFUNCTION("""COMPUTED_VALUE"""),46041)</f>
        <v>46041</v>
      </c>
      <c r="P54" s="4">
        <f ca="1">IFERROR(__xludf.DUMMYFUNCTION("""COMPUTED_VALUE"""),488)</f>
        <v>488</v>
      </c>
      <c r="Q54" s="6">
        <f ca="1">IFERROR(__xludf.DUMMYFUNCTION("""COMPUTED_VALUE"""),46771)</f>
        <v>46771</v>
      </c>
      <c r="R54" s="4">
        <f ca="1">IFERROR(__xludf.DUMMYFUNCTION("""COMPUTED_VALUE"""),1584)</f>
        <v>1584</v>
      </c>
      <c r="S54" s="6">
        <f ca="1">IFERROR(__xludf.DUMMYFUNCTION("""COMPUTED_VALUE"""),47867)</f>
        <v>47867</v>
      </c>
      <c r="T54" s="4" t="str">
        <f ca="1">IFERROR(__xludf.DUMMYFUNCTION("""COMPUTED_VALUE"""),"Gustavo Seabra")</f>
        <v>Gustavo Seabra</v>
      </c>
      <c r="U54" s="4" t="str">
        <f ca="1">IFERROR(__xludf.DUMMYFUNCTION("""COMPUTED_VALUE"""),"Celso Luiz Pieroni")</f>
        <v>Celso Luiz Pieroni</v>
      </c>
      <c r="V54" s="4" t="str">
        <f ca="1">IFERROR(__xludf.DUMMYFUNCTION("""COMPUTED_VALUE"""),"Marcelo Ferreira")</f>
        <v>Marcelo Ferreira</v>
      </c>
      <c r="W54" s="4" t="str">
        <f ca="1">IFERROR(__xludf.DUMMYFUNCTION("""COMPUTED_VALUE"""),"Micheline")</f>
        <v>Micheline</v>
      </c>
      <c r="X54" s="4" t="str">
        <f ca="1">IFERROR(__xludf.DUMMYFUNCTION("""COMPUTED_VALUE"""),"Não")</f>
        <v>Não</v>
      </c>
      <c r="Y54" s="4" t="str">
        <f ca="1">IFERROR(__xludf.DUMMYFUNCTION("""COMPUTED_VALUE"""),"SEI-260006/025837/2025")</f>
        <v>SEI-260006/025837/2025</v>
      </c>
      <c r="Z54" s="4" t="str">
        <f ca="1">IFERROR(__xludf.DUMMYFUNCTION("""COMPUTED_VALUE"""),"C-Em apuração")</f>
        <v>C-Em apuração</v>
      </c>
      <c r="AA54" s="4"/>
      <c r="AB54" s="4"/>
    </row>
    <row r="55" spans="1:28" x14ac:dyDescent="0.2">
      <c r="A55" s="4" t="str">
        <f t="shared" ca="1" si="0"/>
        <v>SEI-260006/004904/2026</v>
      </c>
      <c r="B55" s="4" t="str">
        <f t="shared" ca="1" si="1"/>
        <v>contraditória</v>
      </c>
      <c r="C55" s="4" t="str">
        <f ca="1">IFERROR(__xludf.DUMMYFUNCTION("""COMPUTED_VALUE"""),"1226/2025")</f>
        <v>1226/2025</v>
      </c>
      <c r="D55" s="4" t="str">
        <f ca="1">IFERROR(__xludf.DUMMYFUNCTION("""COMPUTED_VALUE"""),"SEI-260006/004904/2026
contraditória")</f>
        <v>SEI-260006/004904/2026
contraditória</v>
      </c>
      <c r="E55" s="4" t="str">
        <f ca="1">IFERROR(__xludf.DUMMYFUNCTION("""COMPUTED_VALUE"""),"Caroline Martins de Melo Bottino, 414680")</f>
        <v>Caroline Martins de Melo Bottino, 414680</v>
      </c>
      <c r="F55" s="4"/>
      <c r="G55" s="4"/>
      <c r="H55" s="4"/>
      <c r="I55" s="4"/>
      <c r="J55" s="4" t="str">
        <f ca="1">IFERROR(__xludf.DUMMYFUNCTION("""COMPUTED_VALUE"""),"PORTARIA Nº 1226/2025 - INSTAURA sindicância contraditória para, no prazo de 30 dias, contados da data da publicação, apurar eventual irregularidade objeto do processo nº SEI-260006/050605/2025, bem como os fatos conexos que emergirem no decorrer dos trab"&amp;"alhos, designando para procedê-la, Comissão integrada por GUSTAVO SEABRA SANTOS, matr. nº 41.095-1; CELSO LUIZ MOREIRA PIERONI, matr. nº 39.595-4; HANNAH OLIVEIRA COUTINHO, matr: nº 36.994-2, sob a presidência do primeiro. Processo nº SEI-260006/050605/20"&amp;"25")</f>
        <v>PORTARIA Nº 1226/2025 - INSTAURA sindicância contraditória para, no prazo de 30 dias, contados da data da publicação, apurar eventual irregularidade objeto do processo nº SEI-260006/050605/2025, bem como os fatos conexos que emergirem no decorrer dos trabalhos, designando para procedê-la, Comissão integrada por GUSTAVO SEABRA SANTOS, matr. nº 41.095-1; CELSO LUIZ MOREIRA PIERONI, matr. nº 39.595-4; HANNAH OLIVEIRA COUTINHO, matr: nº 36.994-2, sob a presidência do primeiro. Processo nº SEI-260006/050605/2025</v>
      </c>
      <c r="K55" s="4"/>
      <c r="L55" s="6">
        <f ca="1">IFERROR(__xludf.DUMMYFUNCTION("""COMPUTED_VALUE"""),46002)</f>
        <v>46002</v>
      </c>
      <c r="M55" s="6">
        <f ca="1">IFERROR(__xludf.DUMMYFUNCTION("""COMPUTED_VALUE"""),46007)</f>
        <v>46007</v>
      </c>
      <c r="N55" s="6">
        <f ca="1">IFERROR(__xludf.DUMMYFUNCTION("""COMPUTED_VALUE"""),46045)</f>
        <v>46045</v>
      </c>
      <c r="O55" s="6">
        <f ca="1">IFERROR(__xludf.DUMMYFUNCTION("""COMPUTED_VALUE"""),46046)</f>
        <v>46046</v>
      </c>
      <c r="P55" s="4">
        <f ca="1">IFERROR(__xludf.DUMMYFUNCTION("""COMPUTED_VALUE"""),493)</f>
        <v>493</v>
      </c>
      <c r="Q55" s="6">
        <f ca="1">IFERROR(__xludf.DUMMYFUNCTION("""COMPUTED_VALUE"""),46776)</f>
        <v>46776</v>
      </c>
      <c r="R55" s="4">
        <f ca="1">IFERROR(__xludf.DUMMYFUNCTION("""COMPUTED_VALUE"""),1589)</f>
        <v>1589</v>
      </c>
      <c r="S55" s="6">
        <f ca="1">IFERROR(__xludf.DUMMYFUNCTION("""COMPUTED_VALUE"""),47872)</f>
        <v>47872</v>
      </c>
      <c r="T55" s="4" t="str">
        <f ca="1">IFERROR(__xludf.DUMMYFUNCTION("""COMPUTED_VALUE"""),"Gustavo Seabra")</f>
        <v>Gustavo Seabra</v>
      </c>
      <c r="U55" s="4" t="str">
        <f ca="1">IFERROR(__xludf.DUMMYFUNCTION("""COMPUTED_VALUE"""),"Celso Luiz Pieroni")</f>
        <v>Celso Luiz Pieroni</v>
      </c>
      <c r="V55" s="4" t="str">
        <f ca="1">IFERROR(__xludf.DUMMYFUNCTION("""COMPUTED_VALUE"""),"Hannah Oliveira")</f>
        <v>Hannah Oliveira</v>
      </c>
      <c r="W55" s="4" t="str">
        <f ca="1">IFERROR(__xludf.DUMMYFUNCTION("""COMPUTED_VALUE"""),"Micheline")</f>
        <v>Micheline</v>
      </c>
      <c r="X55" s="4" t="str">
        <f ca="1">IFERROR(__xludf.DUMMYFUNCTION("""COMPUTED_VALUE"""),"Não")</f>
        <v>Não</v>
      </c>
      <c r="Y55" s="4" t="str">
        <f ca="1">IFERROR(__xludf.DUMMYFUNCTION("""COMPUTED_VALUE"""),"SEI-260006/001423/2025")</f>
        <v>SEI-260006/001423/2025</v>
      </c>
      <c r="Z55" s="4" t="str">
        <f ca="1">IFERROR(__xludf.DUMMYFUNCTION("""COMPUTED_VALUE"""),"C-Em apuração")</f>
        <v>C-Em apuração</v>
      </c>
      <c r="AA55" s="4"/>
      <c r="AB55" s="4"/>
    </row>
    <row r="56" spans="1:28" x14ac:dyDescent="0.2">
      <c r="A56" s="4" t="str">
        <f t="shared" ca="1" si="0"/>
        <v>SEI-260006/001087/2026</v>
      </c>
      <c r="B56" s="4" t="str">
        <f t="shared" ca="1" si="1"/>
        <v>Contraditória</v>
      </c>
      <c r="C56" s="4" t="str">
        <f ca="1">IFERROR(__xludf.DUMMYFUNCTION("""COMPUTED_VALUE"""),"1241/2025")</f>
        <v>1241/2025</v>
      </c>
      <c r="D56" s="4" t="str">
        <f ca="1">IFERROR(__xludf.DUMMYFUNCTION("""COMPUTED_VALUE"""),"SEI-260006/001087/2026
Contraditória")</f>
        <v>SEI-260006/001087/2026
Contraditória</v>
      </c>
      <c r="E56" s="4" t="str">
        <f ca="1">IFERROR(__xludf.DUMMYFUNCTION("""COMPUTED_VALUE"""),"Armando Dias Tavares Junior, matr. 4862-9")</f>
        <v>Armando Dias Tavares Junior, matr. 4862-9</v>
      </c>
      <c r="F56" s="4" t="str">
        <f ca="1">IFERROR(__xludf.DUMMYFUNCTION("""COMPUTED_VALUE"""),"Desvio de conduta")</f>
        <v>Desvio de conduta</v>
      </c>
      <c r="G56" s="4" t="str">
        <f ca="1">IFERROR(__xludf.DUMMYFUNCTION("""COMPUTED_VALUE"""),"Assédio moral
Outros")</f>
        <v>Assédio moral
Outros</v>
      </c>
      <c r="H56" s="4" t="str">
        <f ca="1">IFERROR(__xludf.DUMMYFUNCTION("""COMPUTED_VALUE"""),"Assédio moral
Outros")</f>
        <v>Assédio moral
Outros</v>
      </c>
      <c r="I56" s="4" t="str">
        <f ca="1">IFERROR(__xludf.DUMMYFUNCTION("""COMPUTED_VALUE"""),"Sindicância Contraditória instaurada em face ao professor Armando Dias Taraves Junior, matr. 4862-9, através da Portaria 1241/REITORIA/2025, visando apurar denúncias de suposto assédio moral feitas por alunos.")</f>
        <v>Sindicância Contraditória instaurada em face ao professor Armando Dias Taraves Junior, matr. 4862-9, através da Portaria 1241/REITORIA/2025, visando apurar denúncias de suposto assédio moral feitas por alunos.</v>
      </c>
      <c r="J56" s="4" t="str">
        <f ca="1">IFERROR(__xludf.DUMMYFUNCTION("""COMPUTED_VALUE"""),"PORTARIA Nº 1241/2025 - INSTAURA Sindicância Contraditória para, no prazo de 30 dias, contados da data da publicação, apurar eventual irregularidade objeto do Processo nº SEI-260007/045209/2023, bem como os fatos conexos que emergirem no decorrer dos trab"&amp;"alhos, de signando para procedê-la, Comissão, integrada, sob a presidência do primeiro, pelos servidores: JEANNY CORRÊA DE ALMEIDA PASSIGATTE - matr. nº 36.183-2; CELSO LUIZ MOREIRA PIERONI- matr. nº 39.595-4; HANNAH OLIVEIRA COUTINHO- matr. nº 36.994-2; "&amp;"Processo nº SEI-260007/045209/2023.")</f>
        <v>PORTARIA Nº 1241/2025 - INSTAURA Sindicância Contraditória para, no prazo de 30 dias, contados da data da publicação, apurar eventual irregularidade objeto do Processo nº SEI-260007/045209/2023, bem como os fatos conexos que emergirem no decorrer dos trabalhos, de signando para procedê-la, Comissão, integrada, sob a presidência do primeiro, pelos servidores: JEANNY CORRÊA DE ALMEIDA PASSIGATTE - matr. nº 36.183-2; CELSO LUIZ MOREIRA PIERONI- matr. nº 39.595-4; HANNAH OLIVEIRA COUTINHO- matr. nº 36.994-2; Processo nº SEI-260007/045209/2023.</v>
      </c>
      <c r="K56" s="4"/>
      <c r="L56" s="6">
        <f ca="1">IFERROR(__xludf.DUMMYFUNCTION("""COMPUTED_VALUE"""),46009)</f>
        <v>46009</v>
      </c>
      <c r="M56" s="6">
        <f ca="1">IFERROR(__xludf.DUMMYFUNCTION("""COMPUTED_VALUE"""),46028)</f>
        <v>46028</v>
      </c>
      <c r="N56" s="6">
        <f ca="1">IFERROR(__xludf.DUMMYFUNCTION("""COMPUTED_VALUE"""),46066)</f>
        <v>46066</v>
      </c>
      <c r="O56" s="6">
        <f ca="1">IFERROR(__xludf.DUMMYFUNCTION("""COMPUTED_VALUE"""),46067)</f>
        <v>46067</v>
      </c>
      <c r="P56" s="4">
        <f ca="1">IFERROR(__xludf.DUMMYFUNCTION("""COMPUTED_VALUE"""),514)</f>
        <v>514</v>
      </c>
      <c r="Q56" s="6">
        <f ca="1">IFERROR(__xludf.DUMMYFUNCTION("""COMPUTED_VALUE"""),46797)</f>
        <v>46797</v>
      </c>
      <c r="R56" s="4">
        <f ca="1">IFERROR(__xludf.DUMMYFUNCTION("""COMPUTED_VALUE"""),1610)</f>
        <v>1610</v>
      </c>
      <c r="S56" s="6">
        <f ca="1">IFERROR(__xludf.DUMMYFUNCTION("""COMPUTED_VALUE"""),47893)</f>
        <v>47893</v>
      </c>
      <c r="T56" s="4" t="str">
        <f ca="1">IFERROR(__xludf.DUMMYFUNCTION("""COMPUTED_VALUE"""),"Jeanny Passigatte")</f>
        <v>Jeanny Passigatte</v>
      </c>
      <c r="U56" s="4" t="str">
        <f ca="1">IFERROR(__xludf.DUMMYFUNCTION("""COMPUTED_VALUE"""),"Celso Luiz Pieroni")</f>
        <v>Celso Luiz Pieroni</v>
      </c>
      <c r="V56" s="4" t="str">
        <f ca="1">IFERROR(__xludf.DUMMYFUNCTION("""COMPUTED_VALUE"""),"Hannah Oliveira")</f>
        <v>Hannah Oliveira</v>
      </c>
      <c r="W56" s="4" t="str">
        <f ca="1">IFERROR(__xludf.DUMMYFUNCTION("""COMPUTED_VALUE"""),"Isadora")</f>
        <v>Isadora</v>
      </c>
      <c r="X56" s="4" t="str">
        <f ca="1">IFERROR(__xludf.DUMMYFUNCTION("""COMPUTED_VALUE"""),"Não")</f>
        <v>Não</v>
      </c>
      <c r="Y56" s="4" t="str">
        <f ca="1">IFERROR(__xludf.DUMMYFUNCTION("""COMPUTED_VALUE"""),"SEI-260007/045209/2023")</f>
        <v>SEI-260007/045209/2023</v>
      </c>
      <c r="Z56" s="4" t="str">
        <f ca="1">IFERROR(__xludf.DUMMYFUNCTION("""COMPUTED_VALUE"""),"C-Em apuração")</f>
        <v>C-Em apuração</v>
      </c>
      <c r="AA56" s="4"/>
      <c r="AB56" s="4"/>
    </row>
    <row r="57" spans="1:28" x14ac:dyDescent="0.2">
      <c r="A57" s="4" t="str">
        <f t="shared" ca="1" si="0"/>
        <v>SEI-260006/003406/2026</v>
      </c>
      <c r="B57" s="4" t="str">
        <f t="shared" ca="1" si="1"/>
        <v>Contraditória</v>
      </c>
      <c r="C57" s="4" t="str">
        <f ca="1">IFERROR(__xludf.DUMMYFUNCTION("""COMPUTED_VALUE"""),"030/2026")</f>
        <v>030/2026</v>
      </c>
      <c r="D57" s="4" t="str">
        <f ca="1">IFERROR(__xludf.DUMMYFUNCTION("""COMPUTED_VALUE"""),"SEI-260006/003406/2026
Contraditória")</f>
        <v>SEI-260006/003406/2026
Contraditória</v>
      </c>
      <c r="E57" s="4" t="str">
        <f ca="1">IFERROR(__xludf.DUMMYFUNCTION("""COMPUTED_VALUE"""),"Thiago Correa Almeida, matr. 38785-2")</f>
        <v>Thiago Correa Almeida, matr. 38785-2</v>
      </c>
      <c r="F57" s="4" t="str">
        <f ca="1">IFERROR(__xludf.DUMMYFUNCTION("""COMPUTED_VALUE"""),"Desvio de conduta")</f>
        <v>Desvio de conduta</v>
      </c>
      <c r="G57" s="4" t="str">
        <f ca="1">IFERROR(__xludf.DUMMYFUNCTION("""COMPUTED_VALUE"""),"Omissão")</f>
        <v>Omissão</v>
      </c>
      <c r="H57" s="4"/>
      <c r="I57" s="4" t="str">
        <f ca="1">IFERROR(__xludf.DUMMYFUNCTION("""COMPUTED_VALUE"""),"suposta omissão ilícita quanto à apuração formal da denúncia recebida em 2023,")</f>
        <v>suposta omissão ilícita quanto à apuração formal da denúncia recebida em 2023,</v>
      </c>
      <c r="J57" s="4" t="str">
        <f ca="1">IFERROR(__xludf.DUMMYFUNCTION("""COMPUTED_VALUE"""),"PORTARIA Nº 030/2026 - INSTAURA Sindicância Contraditória para, no prazo de 30 dias, contados da data da publicação, apurar eventual irregularidade objeto do Processo nº SEI-260006/013943/2025 (item ""b""/104888317), bem como os fatos conexos que emergire"&amp;"m no decorrer dos trabalhos, designando para procedê-la, Comissão integrada por GUSTAVO SEABRA SANTOS, matr. nº 41.095-1; PATRÍCIA GLIOCHE, matr. nº 33.968-9, HANNAH OLIVEIRA COUTINHO, matr. nº 36.994-2, sob a presidência do primeiro. Processo nº SEI26000"&amp;"6/013943/2025.")</f>
        <v>PORTARIA Nº 030/2026 - INSTAURA Sindicância Contraditória para, no prazo de 30 dias, contados da data da publicação, apurar eventual irregularidade objeto do Processo nº SEI-260006/013943/2025 (item "b"/104888317), bem como os fatos conexos que emergirem no decorrer dos trabalhos, designando para procedê-la, Comissão integrada por GUSTAVO SEABRA SANTOS, matr. nº 41.095-1; PATRÍCIA GLIOCHE, matr. nº 33.968-9, HANNAH OLIVEIRA COUTINHO, matr. nº 36.994-2, sob a presidência do primeiro. Processo nº SEI260006/013943/2025.</v>
      </c>
      <c r="K57" s="4"/>
      <c r="L57" s="6">
        <f ca="1">IFERROR(__xludf.DUMMYFUNCTION("""COMPUTED_VALUE"""),46034)</f>
        <v>46034</v>
      </c>
      <c r="M57" s="6">
        <f ca="1">IFERROR(__xludf.DUMMYFUNCTION("""COMPUTED_VALUE"""),46036)</f>
        <v>46036</v>
      </c>
      <c r="N57" s="6">
        <f ca="1">IFERROR(__xludf.DUMMYFUNCTION("""COMPUTED_VALUE"""),46074)</f>
        <v>46074</v>
      </c>
      <c r="O57" s="6">
        <f ca="1">IFERROR(__xludf.DUMMYFUNCTION("""COMPUTED_VALUE"""),46075)</f>
        <v>46075</v>
      </c>
      <c r="P57" s="4">
        <f ca="1">IFERROR(__xludf.DUMMYFUNCTION("""COMPUTED_VALUE"""),522)</f>
        <v>522</v>
      </c>
      <c r="Q57" s="6">
        <f ca="1">IFERROR(__xludf.DUMMYFUNCTION("""COMPUTED_VALUE"""),46805)</f>
        <v>46805</v>
      </c>
      <c r="R57" s="4">
        <f ca="1">IFERROR(__xludf.DUMMYFUNCTION("""COMPUTED_VALUE"""),1618)</f>
        <v>1618</v>
      </c>
      <c r="S57" s="6">
        <f ca="1">IFERROR(__xludf.DUMMYFUNCTION("""COMPUTED_VALUE"""),47901)</f>
        <v>47901</v>
      </c>
      <c r="T57" s="4" t="str">
        <f ca="1">IFERROR(__xludf.DUMMYFUNCTION("""COMPUTED_VALUE"""),"Gustavo Seabra")</f>
        <v>Gustavo Seabra</v>
      </c>
      <c r="U57" s="4" t="str">
        <f ca="1">IFERROR(__xludf.DUMMYFUNCTION("""COMPUTED_VALUE"""),"Hannah Oliveira")</f>
        <v>Hannah Oliveira</v>
      </c>
      <c r="V57" s="4" t="str">
        <f ca="1">IFERROR(__xludf.DUMMYFUNCTION("""COMPUTED_VALUE"""),"Patrícia Glioche")</f>
        <v>Patrícia Glioche</v>
      </c>
      <c r="W57" s="4" t="str">
        <f ca="1">IFERROR(__xludf.DUMMYFUNCTION("""COMPUTED_VALUE"""),"Isadora")</f>
        <v>Isadora</v>
      </c>
      <c r="X57" s="4" t="str">
        <f ca="1">IFERROR(__xludf.DUMMYFUNCTION("""COMPUTED_VALUE"""),"Não")</f>
        <v>Não</v>
      </c>
      <c r="Y57" s="4" t="str">
        <f ca="1">IFERROR(__xludf.DUMMYFUNCTION("""COMPUTED_VALUE""")," SEI-260006/013943/2025")</f>
        <v xml:space="preserve"> SEI-260006/013943/2025</v>
      </c>
      <c r="Z57" s="4" t="str">
        <f ca="1">IFERROR(__xludf.DUMMYFUNCTION("""COMPUTED_VALUE"""),"C-Em apuração")</f>
        <v>C-Em apuração</v>
      </c>
      <c r="AA57" s="4"/>
      <c r="AB57" s="4"/>
    </row>
    <row r="58" spans="1:28" x14ac:dyDescent="0.2">
      <c r="A58" s="4" t="str">
        <f t="shared" ca="1" si="0"/>
        <v>SEI-260006/003433/2026</v>
      </c>
      <c r="B58" s="4" t="str">
        <f t="shared" ca="1" si="1"/>
        <v>Investigativa</v>
      </c>
      <c r="C58" s="4" t="str">
        <f ca="1">IFERROR(__xludf.DUMMYFUNCTION("""COMPUTED_VALUE"""),"062/2026")</f>
        <v>062/2026</v>
      </c>
      <c r="D58" s="4" t="str">
        <f ca="1">IFERROR(__xludf.DUMMYFUNCTION("""COMPUTED_VALUE"""),"SEI-260006/003433/2026
Investigativa")</f>
        <v>SEI-260006/003433/2026
Investigativa</v>
      </c>
      <c r="E58" s="4" t="str">
        <f ca="1">IFERROR(__xludf.DUMMYFUNCTION("""COMPUTED_VALUE"""),"Projeto Empoderadas 2023")</f>
        <v>Projeto Empoderadas 2023</v>
      </c>
      <c r="F58" s="4"/>
      <c r="G58" s="4"/>
      <c r="H58" s="4"/>
      <c r="I58" s="4" t="str">
        <f ca="1">IFERROR(__xludf.DUMMYFUNCTION("""COMPUTED_VALUE"""),"apurar responsabilidade: a. quanto à irregularidade administrativa nos saques realizados e entrega de numerário a autônomos, identificado no Achado nº3;  b. quanto à irregularidade administrativa no fracionamento de despesas, identificados nos Achados nº "&amp;"5, 11, 15, 16 e 18;  c. quanto à compra irregular identificada no Achado nº11; referente à prestação de contas do “Projeto Empoderadas 2023”, em auditoria feita pela AGUERJ, realizadas no período de 04/07/2023 a 22/12/2023, na prestação de contas das desp"&amp;"esas realizadas com SIDES referente ao exercício de 2023 da Diretoria de Administração Financeira - DAF.
")</f>
        <v xml:space="preserve">apurar responsabilidade: a. quanto à irregularidade administrativa nos saques realizados e entrega de numerário a autônomos, identificado no Achado nº3;  b. quanto à irregularidade administrativa no fracionamento de despesas, identificados nos Achados nº 5, 11, 15, 16 e 18;  c. quanto à compra irregular identificada no Achado nº11; referente à prestação de contas do “Projeto Empoderadas 2023”, em auditoria feita pela AGUERJ, realizadas no período de 04/07/2023 a 22/12/2023, na prestação de contas das despesas realizadas com SIDES referente ao exercício de 2023 da Diretoria de Administração Financeira - DAF.
</v>
      </c>
      <c r="J58" s="4" t="str">
        <f ca="1">IFERROR(__xludf.DUMMYFUNCTION("""COMPUTED_VALUE"""),"PORTARIA Nº 062/2026 - INSTAURA Sindicância Investigativa para, no prazo de 30 dias, contados da data da publicação, apurar eventual irregularidade objeto do processo nº SEI-260006/008798/2024, bem como os fatos conexos que emergirem no decorrer dos traba"&amp;"lhos, designando para procedê-la como sindicante único FELIPE PERDIGÃO CORRÊA, matr. nº 37.977-6. Processo nº SEI-260006/008798/2024.")</f>
        <v>PORTARIA Nº 062/2026 - INSTAURA Sindicância Investigativa para, no prazo de 30 dias, contados da data da publicação, apurar eventual irregularidade objeto do processo nº SEI-260006/008798/2024, bem como os fatos conexos que emergirem no decorrer dos trabalhos, designando para procedê-la como sindicante único FELIPE PERDIGÃO CORRÊA, matr. nº 37.977-6. Processo nº SEI-260006/008798/2024.</v>
      </c>
      <c r="K58" s="4"/>
      <c r="L58" s="6">
        <f ca="1">IFERROR(__xludf.DUMMYFUNCTION("""COMPUTED_VALUE"""),46043)</f>
        <v>46043</v>
      </c>
      <c r="M58" s="6">
        <f ca="1">IFERROR(__xludf.DUMMYFUNCTION("""COMPUTED_VALUE"""),46045)</f>
        <v>46045</v>
      </c>
      <c r="N58" s="6">
        <f ca="1">IFERROR(__xludf.DUMMYFUNCTION("""COMPUTED_VALUE"""),46083)</f>
        <v>46083</v>
      </c>
      <c r="O58" s="6">
        <f ca="1">IFERROR(__xludf.DUMMYFUNCTION("""COMPUTED_VALUE"""),46084)</f>
        <v>46084</v>
      </c>
      <c r="P58" s="4" t="str">
        <f ca="1">IFERROR(__xludf.DUMMYFUNCTION("""COMPUTED_VALUE"""),"Complete os campos destacados em vermelho")</f>
        <v>Complete os campos destacados em vermelho</v>
      </c>
      <c r="Q58" s="6">
        <f ca="1">IFERROR(__xludf.DUMMYFUNCTION("""COMPUTED_VALUE"""),46815)</f>
        <v>46815</v>
      </c>
      <c r="R58" s="4" t="str">
        <f ca="1">IFERROR(__xludf.DUMMYFUNCTION("""COMPUTED_VALUE"""),"Complete os campos destacados em vermelho")</f>
        <v>Complete os campos destacados em vermelho</v>
      </c>
      <c r="S58" s="6">
        <f ca="1">IFERROR(__xludf.DUMMYFUNCTION("""COMPUTED_VALUE"""),47910)</f>
        <v>47910</v>
      </c>
      <c r="T58" s="4" t="str">
        <f ca="1">IFERROR(__xludf.DUMMYFUNCTION("""COMPUTED_VALUE"""),"Felipe Perdigão")</f>
        <v>Felipe Perdigão</v>
      </c>
      <c r="U58" s="4"/>
      <c r="V58" s="4"/>
      <c r="W58" s="4" t="str">
        <f ca="1">IFERROR(__xludf.DUMMYFUNCTION("""COMPUTED_VALUE"""),"Franciane")</f>
        <v>Franciane</v>
      </c>
      <c r="X58" s="4" t="str">
        <f ca="1">IFERROR(__xludf.DUMMYFUNCTION("""COMPUTED_VALUE"""),"Não")</f>
        <v>Não</v>
      </c>
      <c r="Y58" s="4" t="str">
        <f ca="1">IFERROR(__xludf.DUMMYFUNCTION("""COMPUTED_VALUE"""),"SEI-260006/008798/2024")</f>
        <v>SEI-260006/008798/2024</v>
      </c>
      <c r="Z58" s="4" t="str">
        <f ca="1">IFERROR(__xludf.DUMMYFUNCTION("""COMPUTED_VALUE"""),"C-Envio à PG/ Encerrado.")</f>
        <v>C-Envio à PG/ Encerrado.</v>
      </c>
      <c r="AA58" s="4"/>
      <c r="AB58" s="4"/>
    </row>
    <row r="59" spans="1:28" x14ac:dyDescent="0.2">
      <c r="A59" s="4" t="str">
        <f t="shared" ca="1" si="0"/>
        <v>SEI-260006/003562/2026</v>
      </c>
      <c r="B59" s="4" t="str">
        <f t="shared" ca="1" si="1"/>
        <v>Investigativa</v>
      </c>
      <c r="C59" s="4" t="str">
        <f ca="1">IFERROR(__xludf.DUMMYFUNCTION("""COMPUTED_VALUE"""),"084/2026")</f>
        <v>084/2026</v>
      </c>
      <c r="D59" s="4" t="str">
        <f ca="1">IFERROR(__xludf.DUMMYFUNCTION("""COMPUTED_VALUE"""),"SEI-260006/003562/2026
Investigativa")</f>
        <v>SEI-260006/003562/2026
Investigativa</v>
      </c>
      <c r="E59" s="4"/>
      <c r="F59" s="4"/>
      <c r="G59" s="4"/>
      <c r="H59" s="4"/>
      <c r="I59" s="4" t="str">
        <f ca="1">IFERROR(__xludf.DUMMYFUNCTION("""COMPUTED_VALUE"""),"apuração das infrações administrativas e de eventual responsabilidade de agente público envolvido, que ensejaram a situação irregular.na rescisão do Contrato nº 012/2024, celebrado entre a Universidade do Estado do Rio de Janeiro e a empresa GREEN4T SOLUÇ"&amp;"ÕES TI S.A., cujo objeto é a “aquisição de Solução de Hiperconvegência e Solução de Backup, incluindo instalação, montagem e treinamento (transferência de conhecimento), para atender às necessidades da Diretoria-Geral de Tecnologia da Informação (DGTI) da"&amp;" Universidade do Estado do Rio de Janeiro – UERJ”.")</f>
        <v>apuração das infrações administrativas e de eventual responsabilidade de agente público envolvido, que ensejaram a situação irregular.na rescisão do Contrato nº 012/2024, celebrado entre a Universidade do Estado do Rio de Janeiro e a empresa GREEN4T SOLUÇÕES TI S.A., cujo objeto é a “aquisição de Solução de Hiperconvegência e Solução de Backup, incluindo instalação, montagem e treinamento (transferência de conhecimento), para atender às necessidades da Diretoria-Geral de Tecnologia da Informação (DGTI) da Universidade do Estado do Rio de Janeiro – UERJ”.</v>
      </c>
      <c r="J59" s="4" t="str">
        <f ca="1">IFERROR(__xludf.DUMMYFUNCTION("""COMPUTED_VALUE"""),"PORTARIA Nº 084/2026 - INSTAURA Sindicância Investigativa para, no prazo de 30 dias, contados da data da publicação, apurar eventual irregularidade objeto do Processo nº SEI-260006/057976/2024, bem como os fatos conexos que emergirem no decorrer dos traba"&amp;"lhos, designando para procedê-la Comissão, integrada por GABRIEL MORAES DE OLIVEIRA, matr. nº 40.015-0; THIAGO LUIZ CARREIRO ROCHA, matr. nº 37.012-2; MARCELO FERREIRA DE OLIVEIRA, matr. nº 31.161-3; sob a presidência do primeiro. Processo nº SEI260006/05"&amp;"7976/2024.")</f>
        <v>PORTARIA Nº 084/2026 - INSTAURA Sindicância Investigativa para, no prazo de 30 dias, contados da data da publicação, apurar eventual irregularidade objeto do Processo nº SEI-260006/057976/2024, bem como os fatos conexos que emergirem no decorrer dos trabalhos, designando para procedê-la Comissão, integrada por GABRIEL MORAES DE OLIVEIRA, matr. nº 40.015-0; THIAGO LUIZ CARREIRO ROCHA, matr. nº 37.012-2; MARCELO FERREIRA DE OLIVEIRA, matr. nº 31.161-3; sob a presidência do primeiro. Processo nº SEI260006/057976/2024.</v>
      </c>
      <c r="K59" s="4"/>
      <c r="L59" s="6">
        <f ca="1">IFERROR(__xludf.DUMMYFUNCTION("""COMPUTED_VALUE"""),46048)</f>
        <v>46048</v>
      </c>
      <c r="M59" s="6">
        <f ca="1">IFERROR(__xludf.DUMMYFUNCTION("""COMPUTED_VALUE"""),46050)</f>
        <v>46050</v>
      </c>
      <c r="N59" s="6">
        <f ca="1">IFERROR(__xludf.DUMMYFUNCTION("""COMPUTED_VALUE"""),46088)</f>
        <v>46088</v>
      </c>
      <c r="O59" s="6">
        <f ca="1">IFERROR(__xludf.DUMMYFUNCTION("""COMPUTED_VALUE"""),46089)</f>
        <v>46089</v>
      </c>
      <c r="P59" s="4" t="str">
        <f ca="1">IFERROR(__xludf.DUMMYFUNCTION("""COMPUTED_VALUE"""),"Enviado para a PGUERJ em 10/06/2026")</f>
        <v>Enviado para a PGUERJ em 10/06/2026</v>
      </c>
      <c r="Q59" s="6">
        <f ca="1">IFERROR(__xludf.DUMMYFUNCTION("""COMPUTED_VALUE"""),46820)</f>
        <v>46820</v>
      </c>
      <c r="R59" s="4" t="str">
        <f ca="1">IFERROR(__xludf.DUMMYFUNCTION("""COMPUTED_VALUE"""),"Enviado para a PGUERJ em 10/06/2026")</f>
        <v>Enviado para a PGUERJ em 10/06/2026</v>
      </c>
      <c r="S59" s="6">
        <f ca="1">IFERROR(__xludf.DUMMYFUNCTION("""COMPUTED_VALUE"""),47915)</f>
        <v>47915</v>
      </c>
      <c r="T59" s="4" t="str">
        <f ca="1">IFERROR(__xludf.DUMMYFUNCTION("""COMPUTED_VALUE"""),"Gabriel Moraes")</f>
        <v>Gabriel Moraes</v>
      </c>
      <c r="U59" s="4" t="str">
        <f ca="1">IFERROR(__xludf.DUMMYFUNCTION("""COMPUTED_VALUE"""),"Marcelo Ferreira")</f>
        <v>Marcelo Ferreira</v>
      </c>
      <c r="V59" s="4" t="str">
        <f ca="1">IFERROR(__xludf.DUMMYFUNCTION("""COMPUTED_VALUE"""),"Thiago Rocha")</f>
        <v>Thiago Rocha</v>
      </c>
      <c r="W59" s="4" t="str">
        <f ca="1">IFERROR(__xludf.DUMMYFUNCTION("""COMPUTED_VALUE"""),"Micheline")</f>
        <v>Micheline</v>
      </c>
      <c r="X59" s="4" t="str">
        <f ca="1">IFERROR(__xludf.DUMMYFUNCTION("""COMPUTED_VALUE"""),"Não")</f>
        <v>Não</v>
      </c>
      <c r="Y59" s="4" t="str">
        <f ca="1">IFERROR(__xludf.DUMMYFUNCTION("""COMPUTED_VALUE"""),"SEI-260006/057976/2024")</f>
        <v>SEI-260006/057976/2024</v>
      </c>
      <c r="Z59" s="4" t="str">
        <f ca="1">IFERROR(__xludf.DUMMYFUNCTION("""COMPUTED_VALUE"""),"C-Envio à PG/ Encerrado.")</f>
        <v>C-Envio à PG/ Encerrado.</v>
      </c>
      <c r="AA59" s="4"/>
      <c r="AB59" s="4"/>
    </row>
    <row r="60" spans="1:28" x14ac:dyDescent="0.2">
      <c r="A60" s="4" t="str">
        <f t="shared" ca="1" si="0"/>
        <v>SEI-260006/003415/2026</v>
      </c>
      <c r="B60" s="4" t="str">
        <f t="shared" ca="1" si="1"/>
        <v>Contraditória</v>
      </c>
      <c r="C60" s="4" t="str">
        <f ca="1">IFERROR(__xludf.DUMMYFUNCTION("""COMPUTED_VALUE"""),"031/2026")</f>
        <v>031/2026</v>
      </c>
      <c r="D60" s="4" t="str">
        <f ca="1">IFERROR(__xludf.DUMMYFUNCTION("""COMPUTED_VALUE"""),"SEI-260006/003415/2026
Contraditória")</f>
        <v>SEI-260006/003415/2026
Contraditória</v>
      </c>
      <c r="E60" s="4" t="str">
        <f ca="1">IFERROR(__xludf.DUMMYFUNCTION("""COMPUTED_VALUE"""),"Amarildo Pereira Olivar, 201110375211")</f>
        <v>Amarildo Pereira Olivar, 201110375211</v>
      </c>
      <c r="F60" s="4" t="str">
        <f ca="1">IFERROR(__xludf.DUMMYFUNCTION("""COMPUTED_VALUE"""),"Desvio de conduta")</f>
        <v>Desvio de conduta</v>
      </c>
      <c r="G60" s="4" t="str">
        <f ca="1">IFERROR(__xludf.DUMMYFUNCTION("""COMPUTED_VALUE"""),"Assédio")</f>
        <v>Assédio</v>
      </c>
      <c r="H60" s="4" t="str">
        <f ca="1">IFERROR(__xludf.DUMMYFUNCTION("""COMPUTED_VALUE"""),"Assédio")</f>
        <v>Assédio</v>
      </c>
      <c r="I60" s="4" t="str">
        <f ca="1">IFERROR(__xludf.DUMMYFUNCTION("""COMPUTED_VALUE"""),"o discente Amarildo Pereira Olivar (matr. 201110375211) teria sido acusado por alunas do primeiro ano do Ensino Médio de praticar atos de assédio no interior do CAp em março de 2023; sobre possível assédio por parte do discente Amarildo Pereira Olivar (ma"&amp;"tr. 201110375211)")</f>
        <v>o discente Amarildo Pereira Olivar (matr. 201110375211) teria sido acusado por alunas do primeiro ano do Ensino Médio de praticar atos de assédio no interior do CAp em março de 2023; sobre possível assédio por parte do discente Amarildo Pereira Olivar (matr. 201110375211)</v>
      </c>
      <c r="J60" s="4" t="str">
        <f ca="1">IFERROR(__xludf.DUMMYFUNCTION("""COMPUTED_VALUE"""),"PORTARIA Nº 031/2026 - INSTAURA Sindicância Contraditória para, no prazo de 30 dias, contados da data da publicação, apurar eventual irregularidade objeto do Processo nº SEI-260006/013943/2025 (item ""a""/104888317), bem como os fatos conexos que emergire"&amp;"m no decorrer dos trabalhos, designando para procedê-la, Comissão integrada por GUSTAVO SEABRA SANTOS, matr. nº 41.095-1; PATRÍCIA GLIOCHE, matr. nº 33.968-9, HANNAH OLIVEIRA COUTINHO, matr. nº 36.994-2, sob a presidência do primeiro. Processo nº SEI26000"&amp;"6/013943/2025.")</f>
        <v>PORTARIA Nº 031/2026 - INSTAURA Sindicância Contraditória para, no prazo de 30 dias, contados da data da publicação, apurar eventual irregularidade objeto do Processo nº SEI-260006/013943/2025 (item "a"/104888317), bem como os fatos conexos que emergirem no decorrer dos trabalhos, designando para procedê-la, Comissão integrada por GUSTAVO SEABRA SANTOS, matr. nº 41.095-1; PATRÍCIA GLIOCHE, matr. nº 33.968-9, HANNAH OLIVEIRA COUTINHO, matr. nº 36.994-2, sob a presidência do primeiro. Processo nº SEI260006/013943/2025.</v>
      </c>
      <c r="K60" s="4"/>
      <c r="L60" s="6">
        <f ca="1">IFERROR(__xludf.DUMMYFUNCTION("""COMPUTED_VALUE"""),46034)</f>
        <v>46034</v>
      </c>
      <c r="M60" s="6">
        <f ca="1">IFERROR(__xludf.DUMMYFUNCTION("""COMPUTED_VALUE"""),46036)</f>
        <v>46036</v>
      </c>
      <c r="N60" s="6">
        <f ca="1">IFERROR(__xludf.DUMMYFUNCTION("""COMPUTED_VALUE"""),46074)</f>
        <v>46074</v>
      </c>
      <c r="O60" s="6">
        <f ca="1">IFERROR(__xludf.DUMMYFUNCTION("""COMPUTED_VALUE"""),46075)</f>
        <v>46075</v>
      </c>
      <c r="P60" s="4">
        <f ca="1">IFERROR(__xludf.DUMMYFUNCTION("""COMPUTED_VALUE"""),522)</f>
        <v>522</v>
      </c>
      <c r="Q60" s="6">
        <f ca="1">IFERROR(__xludf.DUMMYFUNCTION("""COMPUTED_VALUE"""),46805)</f>
        <v>46805</v>
      </c>
      <c r="R60" s="4">
        <f ca="1">IFERROR(__xludf.DUMMYFUNCTION("""COMPUTED_VALUE"""),1618)</f>
        <v>1618</v>
      </c>
      <c r="S60" s="6">
        <f ca="1">IFERROR(__xludf.DUMMYFUNCTION("""COMPUTED_VALUE"""),47901)</f>
        <v>47901</v>
      </c>
      <c r="T60" s="4" t="str">
        <f ca="1">IFERROR(__xludf.DUMMYFUNCTION("""COMPUTED_VALUE"""),"Gustavo Seabra")</f>
        <v>Gustavo Seabra</v>
      </c>
      <c r="U60" s="4" t="str">
        <f ca="1">IFERROR(__xludf.DUMMYFUNCTION("""COMPUTED_VALUE"""),"Hannah Oliveira")</f>
        <v>Hannah Oliveira</v>
      </c>
      <c r="V60" s="4" t="str">
        <f ca="1">IFERROR(__xludf.DUMMYFUNCTION("""COMPUTED_VALUE"""),"Patrícia Glioche")</f>
        <v>Patrícia Glioche</v>
      </c>
      <c r="W60" s="4" t="str">
        <f ca="1">IFERROR(__xludf.DUMMYFUNCTION("""COMPUTED_VALUE"""),"Isadora")</f>
        <v>Isadora</v>
      </c>
      <c r="X60" s="4" t="str">
        <f ca="1">IFERROR(__xludf.DUMMYFUNCTION("""COMPUTED_VALUE"""),"Não")</f>
        <v>Não</v>
      </c>
      <c r="Y60" s="4" t="str">
        <f ca="1">IFERROR(__xludf.DUMMYFUNCTION("""COMPUTED_VALUE""")," SEI-260006/013943/2025")</f>
        <v xml:space="preserve"> SEI-260006/013943/2025</v>
      </c>
      <c r="Z60" s="4" t="str">
        <f ca="1">IFERROR(__xludf.DUMMYFUNCTION("""COMPUTED_VALUE"""),"C-Em apuração")</f>
        <v>C-Em apuração</v>
      </c>
      <c r="AA60" s="4"/>
      <c r="AB60" s="4"/>
    </row>
    <row r="61" spans="1:28" x14ac:dyDescent="0.2">
      <c r="A61" s="4" t="str">
        <f t="shared" ca="1" si="0"/>
        <v>SEI-260006/003425/2026</v>
      </c>
      <c r="B61" s="4" t="str">
        <f t="shared" ca="1" si="1"/>
        <v>Contraditória</v>
      </c>
      <c r="C61" s="4" t="str">
        <f ca="1">IFERROR(__xludf.DUMMYFUNCTION("""COMPUTED_VALUE"""),"032/2026")</f>
        <v>032/2026</v>
      </c>
      <c r="D61" s="4" t="str">
        <f ca="1">IFERROR(__xludf.DUMMYFUNCTION("""COMPUTED_VALUE"""),"SEI-260006/003425/2026
Contraditória")</f>
        <v>SEI-260006/003425/2026
Contraditória</v>
      </c>
      <c r="E61" s="4" t="str">
        <f ca="1">IFERROR(__xludf.DUMMYFUNCTION("""COMPUTED_VALUE""")," Matheus Nicolas Domiciano Ferreira (matr. 202122210111)")</f>
        <v xml:space="preserve"> Matheus Nicolas Domiciano Ferreira (matr. 202122210111)</v>
      </c>
      <c r="F61" s="4"/>
      <c r="G61" s="4"/>
      <c r="H61" s="4"/>
      <c r="I61" s="4" t="str">
        <f ca="1">IFERROR(__xludf.DUMMYFUNCTION("""COMPUTED_VALUE"""),"possível prática, salvo melhor juízo, de atos que podem configurar a prática de crime cuja natureza da ação penal é pública incondicionada, como é o caso da importunação sexual ")</f>
        <v xml:space="preserve">possível prática, salvo melhor juízo, de atos que podem configurar a prática de crime cuja natureza da ação penal é pública incondicionada, como é o caso da importunação sexual </v>
      </c>
      <c r="J61" s="4" t="str">
        <f ca="1">IFERROR(__xludf.DUMMYFUNCTION("""COMPUTED_VALUE"""),"PORTARIA Nº 032/2026 - INSTAURA Sindicância Contraditória para, no prazo de 30 dias, contados da data da publicação, apurar eventual irregularidade objeto do Processo nº SEI-260006/028091/2025, bem como os fatos conexos que emergirem no decorrer dos traba"&amp;"lhos, designando para procedê-la, Comissão integrada por GUSTAVO SEABRA SANTOS, matr. nº 41.095-1; GUSTAVO MOZART SANTOS DA
S I LVA , matr. nº 41.286-6; JEANNY CORRÊA DE ALMEIDA PASSIG AT T E , matr. nº 36.183-2, sob a presidência do primeiro. Processo nº"&amp;" SEI-260006/013943/2025.
______________________________________________
RETIFICAÇÃO D.O. DE 16.01.2026
PÁGINA 20 - 3ª COLUNA Portaria nº 032/2026
Onde se lê: ...Processo nº SEI-260006/013943/2025
Leia-se: ...Processo nº SEI-260006/028091/2025")</f>
        <v>PORTARIA Nº 032/2026 - INSTAURA Sindicância Contraditória para, no prazo de 30 dias, contados da data da publicação, apurar eventual irregularidade objeto do Processo nº SEI-260006/028091/2025, bem como os fatos conexos que emergirem no decorrer dos trabalhos, designando para procedê-la, Comissão integrada por GUSTAVO SEABRA SANTOS, matr. nº 41.095-1; GUSTAVO MOZART SANTOS DA
S I LVA , matr. nº 41.286-6; JEANNY CORRÊA DE ALMEIDA PASSIG AT T E , matr. nº 36.183-2, sob a presidência do primeiro. Processo nº SEI-260006/013943/2025.
______________________________________________
RETIFICAÇÃO D.O. DE 16.01.2026
PÁGINA 20 - 3ª COLUNA Portaria nº 032/2026
Onde se lê: ...Processo nº SEI-260006/013943/2025
Leia-se: ...Processo nº SEI-260006/028091/2025</v>
      </c>
      <c r="K61" s="4"/>
      <c r="L61" s="6">
        <f ca="1">IFERROR(__xludf.DUMMYFUNCTION("""COMPUTED_VALUE"""),46035)</f>
        <v>46035</v>
      </c>
      <c r="M61" s="6">
        <f ca="1">IFERROR(__xludf.DUMMYFUNCTION("""COMPUTED_VALUE"""),46038)</f>
        <v>46038</v>
      </c>
      <c r="N61" s="6">
        <f ca="1">IFERROR(__xludf.DUMMYFUNCTION("""COMPUTED_VALUE"""),46076)</f>
        <v>46076</v>
      </c>
      <c r="O61" s="6">
        <f ca="1">IFERROR(__xludf.DUMMYFUNCTION("""COMPUTED_VALUE"""),46077)</f>
        <v>46077</v>
      </c>
      <c r="P61" s="4">
        <f ca="1">IFERROR(__xludf.DUMMYFUNCTION("""COMPUTED_VALUE"""),524)</f>
        <v>524</v>
      </c>
      <c r="Q61" s="6">
        <f ca="1">IFERROR(__xludf.DUMMYFUNCTION("""COMPUTED_VALUE"""),46807)</f>
        <v>46807</v>
      </c>
      <c r="R61" s="4">
        <f ca="1">IFERROR(__xludf.DUMMYFUNCTION("""COMPUTED_VALUE"""),1620)</f>
        <v>1620</v>
      </c>
      <c r="S61" s="6">
        <f ca="1">IFERROR(__xludf.DUMMYFUNCTION("""COMPUTED_VALUE"""),47903)</f>
        <v>47903</v>
      </c>
      <c r="T61" s="4" t="str">
        <f ca="1">IFERROR(__xludf.DUMMYFUNCTION("""COMPUTED_VALUE"""),"Gustavo Seabra")</f>
        <v>Gustavo Seabra</v>
      </c>
      <c r="U61" s="4" t="str">
        <f ca="1">IFERROR(__xludf.DUMMYFUNCTION("""COMPUTED_VALUE"""),"Gustavo Mozart")</f>
        <v>Gustavo Mozart</v>
      </c>
      <c r="V61" s="4" t="str">
        <f ca="1">IFERROR(__xludf.DUMMYFUNCTION("""COMPUTED_VALUE"""),"Jeanny Passigatte")</f>
        <v>Jeanny Passigatte</v>
      </c>
      <c r="W61" s="4" t="str">
        <f ca="1">IFERROR(__xludf.DUMMYFUNCTION("""COMPUTED_VALUE"""),"Isadora")</f>
        <v>Isadora</v>
      </c>
      <c r="X61" s="4" t="str">
        <f ca="1">IFERROR(__xludf.DUMMYFUNCTION("""COMPUTED_VALUE"""),"Não")</f>
        <v>Não</v>
      </c>
      <c r="Y61" s="4" t="str">
        <f ca="1">IFERROR(__xludf.DUMMYFUNCTION("""COMPUTED_VALUE"""),"SEI-260006/028091/2025")</f>
        <v>SEI-260006/028091/2025</v>
      </c>
      <c r="Z61" s="4" t="str">
        <f ca="1">IFERROR(__xludf.DUMMYFUNCTION("""COMPUTED_VALUE"""),"C-Em apuração")</f>
        <v>C-Em apuração</v>
      </c>
      <c r="AA61" s="4"/>
      <c r="AB61" s="4"/>
    </row>
    <row r="62" spans="1:28" x14ac:dyDescent="0.2">
      <c r="A62" s="4" t="str">
        <f t="shared" ca="1" si="0"/>
        <v>SEI-260006/006524/2026</v>
      </c>
      <c r="B62" s="4" t="str">
        <f t="shared" ca="1" si="1"/>
        <v>Investigativa</v>
      </c>
      <c r="C62" s="4" t="str">
        <f ca="1">IFERROR(__xludf.DUMMYFUNCTION("""COMPUTED_VALUE"""),"107/2026")</f>
        <v>107/2026</v>
      </c>
      <c r="D62" s="4" t="str">
        <f ca="1">IFERROR(__xludf.DUMMYFUNCTION("""COMPUTED_VALUE"""),"SEI-260006/006524/2026
Investigativa")</f>
        <v>SEI-260006/006524/2026
Investigativa</v>
      </c>
      <c r="E62" s="4"/>
      <c r="F62" s="4"/>
      <c r="G62" s="4"/>
      <c r="H62" s="4"/>
      <c r="I62" s="4"/>
      <c r="J62" s="4" t="str">
        <f ca="1">IFERROR(__xludf.DUMMYFUNCTION("""COMPUTED_VALUE"""),"PORTARIA Nº 107/2026 - INSTAURA Sindicância Investigativa para, no prazo de 30 dias, contados da data da publicação, apurar eventual irregularidade objeto dos processos nºs SEI-260006/024933/2024, SEI 260006/023514/2024 e SEI 260006/016750/2024, bem comoo"&amp;"s fatos conexos que emergiremno decorrer dos trabalhos, designandopara procedê-la, Comissão, integradasob a presidência doprimeiro, pelos servidores: RODRIGO MARCELINO DA C. BELO, matr. nº 35.002-4; THIAGO LUIZ C. ROCHA, matr. nº 37.012-2; DÉBORA VIEIRA R"&amp;"IBEIRO, matr. nº 36.200-4. Processo nº SEI-260006/017297/2024.")</f>
        <v>PORTARIA Nº 107/2026 - INSTAURA Sindicância Investigativa para, no prazo de 30 dias, contados da data da publicação, apurar eventual irregularidade objeto dos processos nºs SEI-260006/024933/2024, SEI 260006/023514/2024 e SEI 260006/016750/2024, bem comoos fatos conexos que emergiremno decorrer dos trabalhos, designandopara procedê-la, Comissão, integradasob a presidência doprimeiro, pelos servidores: RODRIGO MARCELINO DA C. BELO, matr. nº 35.002-4; THIAGO LUIZ C. ROCHA, matr. nº 37.012-2; DÉBORA VIEIRA RIBEIRO, matr. nº 36.200-4. Processo nº SEI-260006/017297/2024.</v>
      </c>
      <c r="K62" s="4"/>
      <c r="L62" s="6">
        <f ca="1">IFERROR(__xludf.DUMMYFUNCTION("""COMPUTED_VALUE"""),46052)</f>
        <v>46052</v>
      </c>
      <c r="M62" s="6">
        <f ca="1">IFERROR(__xludf.DUMMYFUNCTION("""COMPUTED_VALUE"""),46056)</f>
        <v>46056</v>
      </c>
      <c r="N62" s="6">
        <f ca="1">IFERROR(__xludf.DUMMYFUNCTION("""COMPUTED_VALUE"""),46094)</f>
        <v>46094</v>
      </c>
      <c r="O62" s="6">
        <f ca="1">IFERROR(__xludf.DUMMYFUNCTION("""COMPUTED_VALUE"""),46095)</f>
        <v>46095</v>
      </c>
      <c r="P62" s="4">
        <f ca="1">IFERROR(__xludf.DUMMYFUNCTION("""COMPUTED_VALUE"""),543)</f>
        <v>543</v>
      </c>
      <c r="Q62" s="6">
        <f ca="1">IFERROR(__xludf.DUMMYFUNCTION("""COMPUTED_VALUE"""),46826)</f>
        <v>46826</v>
      </c>
      <c r="R62" s="4">
        <f ca="1">IFERROR(__xludf.DUMMYFUNCTION("""COMPUTED_VALUE"""),1638)</f>
        <v>1638</v>
      </c>
      <c r="S62" s="6">
        <f ca="1">IFERROR(__xludf.DUMMYFUNCTION("""COMPUTED_VALUE"""),47921)</f>
        <v>47921</v>
      </c>
      <c r="T62" s="4" t="str">
        <f ca="1">IFERROR(__xludf.DUMMYFUNCTION("""COMPUTED_VALUE"""),"Rodrigo Marcellino")</f>
        <v>Rodrigo Marcellino</v>
      </c>
      <c r="U62" s="4" t="str">
        <f ca="1">IFERROR(__xludf.DUMMYFUNCTION("""COMPUTED_VALUE"""),"Débora Ribeiro")</f>
        <v>Débora Ribeiro</v>
      </c>
      <c r="V62" s="4" t="str">
        <f ca="1">IFERROR(__xludf.DUMMYFUNCTION("""COMPUTED_VALUE"""),"Thiago Rocha")</f>
        <v>Thiago Rocha</v>
      </c>
      <c r="W62" s="4" t="str">
        <f ca="1">IFERROR(__xludf.DUMMYFUNCTION("""COMPUTED_VALUE"""),"Patrícia")</f>
        <v>Patrícia</v>
      </c>
      <c r="X62" s="4"/>
      <c r="Y62" s="4" t="str">
        <f ca="1">IFERROR(__xludf.DUMMYFUNCTION("""COMPUTED_VALUE"""),"SEI-260006/017297/2024
SEI-260006/024933/2024
SEI-260006/023514/2024
SEI-260006/016750/2024")</f>
        <v>SEI-260006/017297/2024
SEI-260006/024933/2024
SEI-260006/023514/2024
SEI-260006/016750/2024</v>
      </c>
      <c r="Z62" s="4" t="str">
        <f ca="1">IFERROR(__xludf.DUMMYFUNCTION("""COMPUTED_VALUE"""),"C-Em apuração")</f>
        <v>C-Em apuração</v>
      </c>
      <c r="AA62" s="4"/>
      <c r="AB62" s="4"/>
    </row>
    <row r="63" spans="1:28" x14ac:dyDescent="0.2">
      <c r="A63" s="4" t="str">
        <f t="shared" ca="1" si="0"/>
        <v>SEI-260006/005649/2026</v>
      </c>
      <c r="B63" s="4" t="str">
        <f t="shared" ca="1" si="1"/>
        <v>Contraditória</v>
      </c>
      <c r="C63" s="4" t="str">
        <f ca="1">IFERROR(__xludf.DUMMYFUNCTION("""COMPUTED_VALUE"""),"111/2026")</f>
        <v>111/2026</v>
      </c>
      <c r="D63" s="4" t="str">
        <f ca="1">IFERROR(__xludf.DUMMYFUNCTION("""COMPUTED_VALUE"""),"SEI-260006/005649/2026
Contraditória")</f>
        <v>SEI-260006/005649/2026
Contraditória</v>
      </c>
      <c r="E63" s="4" t="str">
        <f ca="1">IFERROR(__xludf.DUMMYFUNCTION("""COMPUTED_VALUE"""),"Selidji Juste Agossou (discente)")</f>
        <v>Selidji Juste Agossou (discente)</v>
      </c>
      <c r="F63" s="4" t="str">
        <f ca="1">IFERROR(__xludf.DUMMYFUNCTION("""COMPUTED_VALUE"""),"Desvio de conduta")</f>
        <v>Desvio de conduta</v>
      </c>
      <c r="G63" s="4" t="str">
        <f ca="1">IFERROR(__xludf.DUMMYFUNCTION("""COMPUTED_VALUE"""),"Assédio e importunação sexual")</f>
        <v>Assédio e importunação sexual</v>
      </c>
      <c r="H63" s="4" t="str">
        <f ca="1">IFERROR(__xludf.DUMMYFUNCTION("""COMPUTED_VALUE"""),"Assédio e importunação sexual")</f>
        <v>Assédio e importunação sexual</v>
      </c>
      <c r="I63" s="4" t="str">
        <f ca="1">IFERROR(__xludf.DUMMYFUNCTION("""COMPUTED_VALUE"""),"Sindicância Contraditória instaurada em face ao discente Selidji Juste Agossou após denúncias de supostos atos de assédio/importunação sexual, conforme Portaria 111/REITORIA/2026;")</f>
        <v>Sindicância Contraditória instaurada em face ao discente Selidji Juste Agossou após denúncias de supostos atos de assédio/importunação sexual, conforme Portaria 111/REITORIA/2026;</v>
      </c>
      <c r="J63" s="4" t="str">
        <f ca="1">IFERROR(__xludf.DUMMYFUNCTION("""COMPUTED_VALUE"""),"PORTARIA Nº 111 /2026 - AVOCA a sindicância que tramita no Processo nº SEI-260006/034183/2025, alterando a natureza da sindicância para contraditória, a fim de que a apuração seja conduzida pela CINQA, tendo como objeto a apuração dos supostos atos irregu"&amp;"lares noticiados neste feito e no Processo nº SEI-260006/015111/2024, por conexão, ampliando o objeto da sindicância para abarcar a apuração dos supostos atos irregulares noticiados neste feito e no processo SEI-260006/015111/2024, por conexão, designando"&amp;" como sindicante único CELSO LUIZ MOREIRA PIERONI, matr. nº 39.595-4. Processo nº SEI-260006/026928/2025.")</f>
        <v>PORTARIA Nº 111 /2026 - AVOCA a sindicância que tramita no Processo nº SEI-260006/034183/2025, alterando a natureza da sindicância para contraditória, a fim de que a apuração seja conduzida pela CINQA, tendo como objeto a apuração dos supostos atos irregulares noticiados neste feito e no Processo nº SEI-260006/015111/2024, por conexão, ampliando o objeto da sindicância para abarcar a apuração dos supostos atos irregulares noticiados neste feito e no processo SEI-260006/015111/2024, por conexão, designando como sindicante único CELSO LUIZ MOREIRA PIERONI, matr. nº 39.595-4. Processo nº SEI-260006/026928/2025.</v>
      </c>
      <c r="K63" s="4"/>
      <c r="L63" s="6">
        <f ca="1">IFERROR(__xludf.DUMMYFUNCTION("""COMPUTED_VALUE"""),46055)</f>
        <v>46055</v>
      </c>
      <c r="M63" s="6">
        <f ca="1">IFERROR(__xludf.DUMMYFUNCTION("""COMPUTED_VALUE"""),46058)</f>
        <v>46058</v>
      </c>
      <c r="N63" s="6">
        <f ca="1">IFERROR(__xludf.DUMMYFUNCTION("""COMPUTED_VALUE"""),46096)</f>
        <v>46096</v>
      </c>
      <c r="O63" s="6">
        <f ca="1">IFERROR(__xludf.DUMMYFUNCTION("""COMPUTED_VALUE"""),46097)</f>
        <v>46097</v>
      </c>
      <c r="P63" s="4">
        <f ca="1">IFERROR(__xludf.DUMMYFUNCTION("""COMPUTED_VALUE"""),545)</f>
        <v>545</v>
      </c>
      <c r="Q63" s="6">
        <f ca="1">IFERROR(__xludf.DUMMYFUNCTION("""COMPUTED_VALUE"""),46828)</f>
        <v>46828</v>
      </c>
      <c r="R63" s="4">
        <f ca="1">IFERROR(__xludf.DUMMYFUNCTION("""COMPUTED_VALUE"""),1640)</f>
        <v>1640</v>
      </c>
      <c r="S63" s="6">
        <f ca="1">IFERROR(__xludf.DUMMYFUNCTION("""COMPUTED_VALUE"""),47923)</f>
        <v>47923</v>
      </c>
      <c r="T63" s="4" t="str">
        <f ca="1">IFERROR(__xludf.DUMMYFUNCTION("""COMPUTED_VALUE"""),"Celso Luiz Pieroni")</f>
        <v>Celso Luiz Pieroni</v>
      </c>
      <c r="U63" s="4"/>
      <c r="V63" s="4"/>
      <c r="W63" s="4" t="str">
        <f ca="1">IFERROR(__xludf.DUMMYFUNCTION("""COMPUTED_VALUE"""),"Isadora")</f>
        <v>Isadora</v>
      </c>
      <c r="X63" s="4"/>
      <c r="Y63" s="4" t="str">
        <f ca="1">IFERROR(__xludf.DUMMYFUNCTION("""COMPUTED_VALUE"""),"SEI-260006/026928/2025
SEI-260006/034183/2025
SEI-260006/015111/2024")</f>
        <v>SEI-260006/026928/2025
SEI-260006/034183/2025
SEI-260006/015111/2024</v>
      </c>
      <c r="Z63" s="4" t="str">
        <f ca="1">IFERROR(__xludf.DUMMYFUNCTION("""COMPUTED_VALUE"""),"C-Em apuração")</f>
        <v>C-Em apuração</v>
      </c>
      <c r="AA63" s="4"/>
      <c r="AB63" s="4"/>
    </row>
    <row r="64" spans="1:28" x14ac:dyDescent="0.2">
      <c r="A64" s="4" t="str">
        <f t="shared" si="0"/>
        <v/>
      </c>
      <c r="B64" s="4" t="str">
        <f t="shared" si="1"/>
        <v/>
      </c>
      <c r="C64" s="4" t="str">
        <f ca="1">IFERROR(__xludf.DUMMYFUNCTION("""COMPUTED_VALUE"""),"152/2026")</f>
        <v>152/2026</v>
      </c>
      <c r="D64" s="4"/>
      <c r="E64" s="4"/>
      <c r="F64" s="4"/>
      <c r="G64" s="4"/>
      <c r="H64" s="4"/>
      <c r="I64" s="4"/>
      <c r="J64" s="4" t="str">
        <f ca="1">IFERROR(__xludf.DUMMYFUNCTION("""COMPUTED_VALUE"""),"PORTARIA Nº 152/2026 - INSTAURA Sindicância Investigativa para, no prazo de 30 dias, contados da data da publicação, apurar eventual irregularidade objeto do processo nº SEI-260006/002242/2026, bem como os fatos conexos que emergirem no decorrer dos traba"&amp;"lhos, designando para procedê-la Comissão integrada por RODRIGO MARCELINO DA COSTA BELO, matr. nº 35002-4; THIAGO LUIZ CARREIRO ROCHA, matr. nº 37.012-2; CELSO LUIZ MOREIRA PIERONI, matr. nº 39.595-4. Processo nº SEI-260006/002242/2026. 
DOERJ 17/03/2026 "&amp;"pg 33--------------------------------------
PROCESSO Nº SEI-260006/002242/2026 - Considerando as observações da CGUERJ 126312040 e da PGUERJ-01 126753284, para eventual exercício da autotutela administrativa no que se refere à decisão de instauração de si"&amp;"ndicância investigativa. Fica SEM EFEITO a decisão 124134693 e DETERMINO a dispensa da instauração de sindicância administrativa no caso concreto.")</f>
        <v>PORTARIA Nº 152/2026 - INSTAURA Sindicância Investigativa para, no prazo de 30 dias, contados da data da publicação, apurar eventual irregularidade objeto do processo nº SEI-260006/002242/2026, bem como os fatos conexos que emergirem no decorrer dos trabalhos, designando para procedê-la Comissão integrada por RODRIGO MARCELINO DA COSTA BELO, matr. nº 35002-4; THIAGO LUIZ CARREIRO ROCHA, matr. nº 37.012-2; CELSO LUIZ MOREIRA PIERONI, matr. nº 39.595-4. Processo nº SEI-260006/002242/2026. 
DOERJ 17/03/2026 pg 33--------------------------------------
PROCESSO Nº SEI-260006/002242/2026 - Considerando as observações da CGUERJ 126312040 e da PGUERJ-01 126753284, para eventual exercício da autotutela administrativa no que se refere à decisão de instauração de sindicância investigativa. Fica SEM EFEITO a decisão 124134693 e DETERMINO a dispensa da instauração de sindicância administrativa no caso concreto.</v>
      </c>
      <c r="K64" s="4"/>
      <c r="L64" s="6">
        <f ca="1">IFERROR(__xludf.DUMMYFUNCTION("""COMPUTED_VALUE"""),46062)</f>
        <v>46062</v>
      </c>
      <c r="M64" s="6">
        <f ca="1">IFERROR(__xludf.DUMMYFUNCTION("""COMPUTED_VALUE"""),46064)</f>
        <v>46064</v>
      </c>
      <c r="N64" s="6">
        <f ca="1">IFERROR(__xludf.DUMMYFUNCTION("""COMPUTED_VALUE"""),46102)</f>
        <v>46102</v>
      </c>
      <c r="O64" s="6">
        <f ca="1">IFERROR(__xludf.DUMMYFUNCTION("""COMPUTED_VALUE"""),46103)</f>
        <v>46103</v>
      </c>
      <c r="P64" s="4" t="str">
        <f ca="1">IFERROR(__xludf.DUMMYFUNCTION("""COMPUTED_VALUE"""),"Portaria de abertura revogada")</f>
        <v>Portaria de abertura revogada</v>
      </c>
      <c r="Q64" s="6">
        <f ca="1">IFERROR(__xludf.DUMMYFUNCTION("""COMPUTED_VALUE"""),46834)</f>
        <v>46834</v>
      </c>
      <c r="R64" s="4" t="str">
        <f ca="1">IFERROR(__xludf.DUMMYFUNCTION("""COMPUTED_VALUE"""),"Portaria de abertura revogada")</f>
        <v>Portaria de abertura revogada</v>
      </c>
      <c r="S64" s="6">
        <f ca="1">IFERROR(__xludf.DUMMYFUNCTION("""COMPUTED_VALUE"""),47929)</f>
        <v>47929</v>
      </c>
      <c r="T64" s="4"/>
      <c r="U64" s="4"/>
      <c r="V64" s="4"/>
      <c r="W64" s="4"/>
      <c r="X64" s="4"/>
      <c r="Y64" s="4" t="str">
        <f ca="1">IFERROR(__xludf.DUMMYFUNCTION("""COMPUTED_VALUE"""),"SEI-260006/002242/2026")</f>
        <v>SEI-260006/002242/2026</v>
      </c>
      <c r="Z64" s="4" t="str">
        <f ca="1">IFERROR(__xludf.DUMMYFUNCTION("""COMPUTED_VALUE"""),"Portaria de abertura revogada.")</f>
        <v>Portaria de abertura revogada.</v>
      </c>
      <c r="AA64" s="4"/>
      <c r="AB64" s="4"/>
    </row>
    <row r="65" spans="1:28" x14ac:dyDescent="0.2">
      <c r="A65" s="4" t="str">
        <f t="shared" ca="1" si="0"/>
        <v>SEI-260006/005684/2026</v>
      </c>
      <c r="B65" s="4" t="str">
        <f t="shared" ca="1" si="1"/>
        <v>Contraditória</v>
      </c>
      <c r="C65" s="4" t="str">
        <f ca="1">IFERROR(__xludf.DUMMYFUNCTION("""COMPUTED_VALUE"""),"109/2026")</f>
        <v>109/2026</v>
      </c>
      <c r="D65" s="4" t="str">
        <f ca="1">IFERROR(__xludf.DUMMYFUNCTION("""COMPUTED_VALUE"""),"SEI-260006/005684/2026
Contraditória")</f>
        <v>SEI-260006/005684/2026
Contraditória</v>
      </c>
      <c r="E65" s="4" t="str">
        <f ca="1">IFERROR(__xludf.DUMMYFUNCTION("""COMPUTED_VALUE"""),"Sandra Rabello de Frias, matrícula 4399-2,")</f>
        <v>Sandra Rabello de Frias, matrícula 4399-2,</v>
      </c>
      <c r="F65" s="4"/>
      <c r="G65" s="4"/>
      <c r="H65" s="4" t="str">
        <f ca="1">IFERROR(__xludf.DUMMYFUNCTION("""COMPUTED_VALUE"""),"Mariana Borges, estagiária da Coordenadoria de Extensão do Núcleo
de Envelhecimento Humano da UERJ, venho formalizar uma denúncia contra a servidora
Sandra Rabello de Frias, coordenadora de extensão
Trata-se de denúncia formulada perante a Ouvidoria-Ge"&amp;"ral da UERJ por Mariana Sthefany
Silva Borges acerca de suposta prática de atos de assédio moral pelas servidoras Sandra Rabello de
Frias, matrícula 4399-2, Andreia de Souza de Carvalho, matrícula 32253-7 e Juliana Rosas Rodrigues,
matrícula 39274-6, l"&amp;"otadas no Núcleo de Envelhecimento Humanoconforme documento SEI 85545815.
")</f>
        <v xml:space="preserve">Mariana Borges, estagiária da Coordenadoria de Extensão do Núcleo
de Envelhecimento Humano da UERJ, venho formalizar uma denúncia contra a servidora
Sandra Rabello de Frias, coordenadora de extensão
Trata-se de denúncia formulada perante a Ouvidoria-Geral da UERJ por Mariana Sthefany
Silva Borges acerca de suposta prática de atos de assédio moral pelas servidoras Sandra Rabello de
Frias, matrícula 4399-2, Andreia de Souza de Carvalho, matrícula 32253-7 e Juliana Rosas Rodrigues,
matrícula 39274-6, lotadas no Núcleo de Envelhecimento Humanoconforme documento SEI 85545815.
</v>
      </c>
      <c r="I65" s="4" t="str">
        <f ca="1">IFERROR(__xludf.DUMMYFUNCTION("""COMPUTED_VALUE"""),"denúncia formulada perante a Ouvidoria-Geral da UERJ por Mariana Sthefany Silva Borges acerca de suposta prática de atos de assédio moral pelas servidoras Sandra Rabello de Frias, matrícula 4399-2, Andreia de Souza de Carvalho, matrícula 32253-7 e Juliana"&amp;" Rosas Rodrigues, matrícula 39274-6, lotadas no Núcleo de Envelhecimento Humano.")</f>
        <v>denúncia formulada perante a Ouvidoria-Geral da UERJ por Mariana Sthefany Silva Borges acerca de suposta prática de atos de assédio moral pelas servidoras Sandra Rabello de Frias, matrícula 4399-2, Andreia de Souza de Carvalho, matrícula 32253-7 e Juliana Rosas Rodrigues, matrícula 39274-6, lotadas no Núcleo de Envelhecimento Humano.</v>
      </c>
      <c r="J65" s="4" t="str">
        <f ca="1">IFERROR(__xludf.DUMMYFUNCTION("""COMPUTED_VALUE"""),"PORTARIA Nº 109/2026 - AVOCA a Sindicância Contraditória que tramita no SEI nº 260006/028754/2025, a fim de que o feito seja conduzido pela CINQA, designando para procedê-la, Comissão, sob a
presidência do primeiro, integrada por GUSTAVO MOZART SANTOS
DA "&amp;"SILVA, matr. nº 41.286-6; ARIANE SERPA DE SOUZA, matr. nº
06.075-6; DÉBORA VIEIRA RIBEIRO, matr. nº 36.200-4. Processo nº
SEI-260006/046784/2024.")</f>
        <v>PORTARIA Nº 109/2026 - AVOCA a Sindicância Contraditória que tramita no SEI nº 260006/028754/2025, a fim de que o feito seja conduzido pela CINQA, designando para procedê-la, Comissão, sob a
presidência do primeiro, integrada por GUSTAVO MOZART SANTOS
DA SILVA, matr. nº 41.286-6; ARIANE SERPA DE SOUZA, matr. nº
06.075-6; DÉBORA VIEIRA RIBEIRO, matr. nº 36.200-4. Processo nº
SEI-260006/046784/2024.</v>
      </c>
      <c r="K65" s="4"/>
      <c r="L65" s="6">
        <f ca="1">IFERROR(__xludf.DUMMYFUNCTION("""COMPUTED_VALUE"""),46055)</f>
        <v>46055</v>
      </c>
      <c r="M65" s="6">
        <f ca="1">IFERROR(__xludf.DUMMYFUNCTION("""COMPUTED_VALUE"""),46058)</f>
        <v>46058</v>
      </c>
      <c r="N65" s="6">
        <f ca="1">IFERROR(__xludf.DUMMYFUNCTION("""COMPUTED_VALUE"""),46096)</f>
        <v>46096</v>
      </c>
      <c r="O65" s="6">
        <f ca="1">IFERROR(__xludf.DUMMYFUNCTION("""COMPUTED_VALUE"""),46097)</f>
        <v>46097</v>
      </c>
      <c r="P65" s="4">
        <f ca="1">IFERROR(__xludf.DUMMYFUNCTION("""COMPUTED_VALUE"""),545)</f>
        <v>545</v>
      </c>
      <c r="Q65" s="6">
        <f ca="1">IFERROR(__xludf.DUMMYFUNCTION("""COMPUTED_VALUE"""),46828)</f>
        <v>46828</v>
      </c>
      <c r="R65" s="4">
        <f ca="1">IFERROR(__xludf.DUMMYFUNCTION("""COMPUTED_VALUE"""),1640)</f>
        <v>1640</v>
      </c>
      <c r="S65" s="6">
        <f ca="1">IFERROR(__xludf.DUMMYFUNCTION("""COMPUTED_VALUE"""),47923)</f>
        <v>47923</v>
      </c>
      <c r="T65" s="4" t="str">
        <f ca="1">IFERROR(__xludf.DUMMYFUNCTION("""COMPUTED_VALUE"""),"Gustavo Mozart")</f>
        <v>Gustavo Mozart</v>
      </c>
      <c r="U65" s="4" t="str">
        <f ca="1">IFERROR(__xludf.DUMMYFUNCTION("""COMPUTED_VALUE"""),"Ariane Serpa")</f>
        <v>Ariane Serpa</v>
      </c>
      <c r="V65" s="4" t="str">
        <f ca="1">IFERROR(__xludf.DUMMYFUNCTION("""COMPUTED_VALUE"""),"Débora Ribeiro")</f>
        <v>Débora Ribeiro</v>
      </c>
      <c r="W65" s="4" t="str">
        <f ca="1">IFERROR(__xludf.DUMMYFUNCTION("""COMPUTED_VALUE"""),"Patrícia")</f>
        <v>Patrícia</v>
      </c>
      <c r="X65" s="4"/>
      <c r="Y65" s="4" t="str">
        <f ca="1">IFERROR(__xludf.DUMMYFUNCTION("""COMPUTED_VALUE"""),"SEI-260006/046784/2024")</f>
        <v>SEI-260006/046784/2024</v>
      </c>
      <c r="Z65" s="4" t="str">
        <f ca="1">IFERROR(__xludf.DUMMYFUNCTION("""COMPUTED_VALUE"""),"C-Em apuração")</f>
        <v>C-Em apuração</v>
      </c>
      <c r="AA65" s="4"/>
      <c r="AB65" s="4"/>
    </row>
    <row r="66" spans="1:28" x14ac:dyDescent="0.2">
      <c r="A66" s="4" t="str">
        <f t="shared" ca="1" si="0"/>
        <v>SEI-260006/006530/2026</v>
      </c>
      <c r="B66" s="4" t="str">
        <f t="shared" ca="1" si="1"/>
        <v>Contraditória</v>
      </c>
      <c r="C66" s="4" t="str">
        <f ca="1">IFERROR(__xludf.DUMMYFUNCTION("""COMPUTED_VALUE"""),"122/2026 ")</f>
        <v xml:space="preserve">122/2026 </v>
      </c>
      <c r="D66" s="4" t="str">
        <f ca="1">IFERROR(__xludf.DUMMYFUNCTION("""COMPUTED_VALUE"""),"SEI-260006/006530/2026
Contraditória")</f>
        <v>SEI-260006/006530/2026
Contraditória</v>
      </c>
      <c r="E66" s="4" t="str">
        <f ca="1">IFERROR(__xludf.DUMMYFUNCTION("""COMPUTED_VALUE"""),"Anderson Luiz dos Santos Ribeiro, matrícula nº 37.076-7.")</f>
        <v>Anderson Luiz dos Santos Ribeiro, matrícula nº 37.076-7.</v>
      </c>
      <c r="F66" s="4"/>
      <c r="G66" s="4"/>
      <c r="H66" s="4" t="str">
        <f ca="1">IFERROR(__xludf.DUMMYFUNCTION("""COMPUTED_VALUE""")," suposta violação ao disposto nos incisos II, IV, V, VI e VII do artigo 39 do DL ")</f>
        <v xml:space="preserve"> suposta violação ao disposto nos incisos II, IV, V, VI e VII do artigo 39 do DL </v>
      </c>
      <c r="I66" s="4" t="str">
        <f ca="1">IFERROR(__xludf.DUMMYFUNCTION("""COMPUTED_VALUE"""),"CONDUTAS INCOMPATÍVEIS COM AS NORMAS DE FUNCIONAMENTO E SEGURANÇA DA UNIDADE. IMPORTUNAÇÃO DE VIGILANTES NO EXERCÍCIO REGULAR DE SUAS FUNÇÕES. TENTATIVA DE INGRESSO EM RECINTO DE ACESSO RESTRITO SEM AUTORIZAÇÃO. UTILIZAÇÃO INDEVIDA DE EQUIPAMENTO DE USO E"&amp;"XCLUSIVO DA EQUIPE DE SEGURANÇA. VIOLAÇÃO AOS DEVERES FUNCIONAIS DE URBANIDADE, DISCRIÇÃO, BOA CONDUTA, LEALDADE INSTITUCIONAL E OBSERVÂNCIA DAS NORMAS LEGAIS E REGULAMENTARES (ARTS. 38 E 39, II, IV, V, VI E VII, DO DECRETO-LEI Nº 220/75). POTENCIAL GRAVI"&amp;"DADE DA TENTATIVA DE ACESSO A ÁREA RESTRITA, COM AFRONTA AOS PROTOCOLOS DE SEGURANÇA. NECESSIDADE DE APURAÇÃO FORMAL DOS FATOS. ")</f>
        <v xml:space="preserve">CONDUTAS INCOMPATÍVEIS COM AS NORMAS DE FUNCIONAMENTO E SEGURANÇA DA UNIDADE. IMPORTUNAÇÃO DE VIGILANTES NO EXERCÍCIO REGULAR DE SUAS FUNÇÕES. TENTATIVA DE INGRESSO EM RECINTO DE ACESSO RESTRITO SEM AUTORIZAÇÃO. UTILIZAÇÃO INDEVIDA DE EQUIPAMENTO DE USO EXCLUSIVO DA EQUIPE DE SEGURANÇA. VIOLAÇÃO AOS DEVERES FUNCIONAIS DE URBANIDADE, DISCRIÇÃO, BOA CONDUTA, LEALDADE INSTITUCIONAL E OBSERVÂNCIA DAS NORMAS LEGAIS E REGULAMENTARES (ARTS. 38 E 39, II, IV, V, VI E VII, DO DECRETO-LEI Nº 220/75). POTENCIAL GRAVIDADE DA TENTATIVA DE ACESSO A ÁREA RESTRITA, COM AFRONTA AOS PROTOCOLOS DE SEGURANÇA. NECESSIDADE DE APURAÇÃO FORMAL DOS FATOS. </v>
      </c>
      <c r="J66" s="4" t="str">
        <f ca="1">IFERROR(__xludf.DUMMYFUNCTION("""COMPUTED_VALUE"""),"PORTARIA Nº 122/2026 - I N S TA U R A Sindicância Contraditória para,
no prazo de 30 dias, contados da data da publicação, apurar eventual
irregularidade objeto do processo nº SEI-260006/057153/2025, bem
como os fatos conexos que emergirem no decorrer dos"&amp;" trabalhos, de
signando Comissão, integrada por GABRIEL MORAES DE OLIVEIRA,
matr. nº 40.015-0; CELSO LUIZ MOREIRA PIERONI, matr. nº 39.595
4; JEANNY CORRÊA DE ALMEIDA PASSIGATTE, matr. nº 36.183-2,
sob a presidência do primeiro. Processo nº SEI-260006/057"&amp;"153/2025.")</f>
        <v>PORTARIA Nº 122/2026 - I N S TA U R A Sindicância Contraditória para,
no prazo de 30 dias, contados da data da publicação, apurar eventual
irregularidade objeto do processo nº SEI-260006/057153/2025, bem
como os fatos conexos que emergirem no decorrer dos trabalhos, de
signando Comissão, integrada por GABRIEL MORAES DE OLIVEIRA,
matr. nº 40.015-0; CELSO LUIZ MOREIRA PIERONI, matr. nº 39.595
4; JEANNY CORRÊA DE ALMEIDA PASSIGATTE, matr. nº 36.183-2,
sob a presidência do primeiro. Processo nº SEI-260006/057153/2025.</v>
      </c>
      <c r="K66" s="4"/>
      <c r="L66" s="6">
        <f ca="1">IFERROR(__xludf.DUMMYFUNCTION("""COMPUTED_VALUE"""),46057)</f>
        <v>46057</v>
      </c>
      <c r="M66" s="6">
        <f ca="1">IFERROR(__xludf.DUMMYFUNCTION("""COMPUTED_VALUE"""),46059)</f>
        <v>46059</v>
      </c>
      <c r="N66" s="6">
        <f ca="1">IFERROR(__xludf.DUMMYFUNCTION("""COMPUTED_VALUE"""),46097)</f>
        <v>46097</v>
      </c>
      <c r="O66" s="6">
        <f ca="1">IFERROR(__xludf.DUMMYFUNCTION("""COMPUTED_VALUE"""),46098)</f>
        <v>46098</v>
      </c>
      <c r="P66" s="4">
        <f ca="1">IFERROR(__xludf.DUMMYFUNCTION("""COMPUTED_VALUE"""),546)</f>
        <v>546</v>
      </c>
      <c r="Q66" s="6">
        <f ca="1">IFERROR(__xludf.DUMMYFUNCTION("""COMPUTED_VALUE"""),46829)</f>
        <v>46829</v>
      </c>
      <c r="R66" s="4">
        <f ca="1">IFERROR(__xludf.DUMMYFUNCTION("""COMPUTED_VALUE"""),1641)</f>
        <v>1641</v>
      </c>
      <c r="S66" s="6">
        <f ca="1">IFERROR(__xludf.DUMMYFUNCTION("""COMPUTED_VALUE"""),47924)</f>
        <v>47924</v>
      </c>
      <c r="T66" s="4" t="str">
        <f ca="1">IFERROR(__xludf.DUMMYFUNCTION("""COMPUTED_VALUE"""),"Gabriel Moraes")</f>
        <v>Gabriel Moraes</v>
      </c>
      <c r="U66" s="4" t="str">
        <f ca="1">IFERROR(__xludf.DUMMYFUNCTION("""COMPUTED_VALUE"""),"Celso Luiz Pieroni")</f>
        <v>Celso Luiz Pieroni</v>
      </c>
      <c r="V66" s="4" t="str">
        <f ca="1">IFERROR(__xludf.DUMMYFUNCTION("""COMPUTED_VALUE"""),"Jeanny Passigatte")</f>
        <v>Jeanny Passigatte</v>
      </c>
      <c r="W66" s="4" t="str">
        <f ca="1">IFERROR(__xludf.DUMMYFUNCTION("""COMPUTED_VALUE"""),"Patrícia")</f>
        <v>Patrícia</v>
      </c>
      <c r="X66" s="4"/>
      <c r="Y66" s="4" t="str">
        <f ca="1">IFERROR(__xludf.DUMMYFUNCTION("""COMPUTED_VALUE"""),"SEI-260006/057153/2025")</f>
        <v>SEI-260006/057153/2025</v>
      </c>
      <c r="Z66" s="4" t="str">
        <f ca="1">IFERROR(__xludf.DUMMYFUNCTION("""COMPUTED_VALUE"""),"C-Em apuração")</f>
        <v>C-Em apuração</v>
      </c>
      <c r="AA66" s="4"/>
      <c r="AB66" s="4"/>
    </row>
    <row r="67" spans="1:28" x14ac:dyDescent="0.2">
      <c r="A67" s="4" t="str">
        <f t="shared" ca="1" si="0"/>
        <v>SEI-260006/020867/2026</v>
      </c>
      <c r="B67" s="4" t="str">
        <f t="shared" ca="1" si="1"/>
        <v>investigativa</v>
      </c>
      <c r="C67" s="4"/>
      <c r="D67" s="4" t="str">
        <f ca="1">IFERROR(__xludf.DUMMYFUNCTION("""COMPUTED_VALUE"""),"SEI-260006/020867/2026
investigativa")</f>
        <v>SEI-260006/020867/2026
investigativa</v>
      </c>
      <c r="E67" s="4"/>
      <c r="F67" s="4"/>
      <c r="G67" s="4"/>
      <c r="H67" s="4"/>
      <c r="I67" s="4" t="str">
        <f ca="1">IFERROR(__xludf.DUMMYFUNCTION("""COMPUTED_VALUE"""),"apurar  a existência de possíveis irregularidades na execução de contratos emergenciais celebrados entre a Universidade do Estado do Rio de Janeiro e a empresa Verde Gestão de Serviços e Resíduos, para atendimento da demanda do Complexo de Saúde da Uerj ("&amp;"HUPE e PPC).")</f>
        <v>apurar  a existência de possíveis irregularidades na execução de contratos emergenciais celebrados entre a Universidade do Estado do Rio de Janeiro e a empresa Verde Gestão de Serviços e Resíduos, para atendimento da demanda do Complexo de Saúde da Uerj (HUPE e PPC).</v>
      </c>
      <c r="J67" s="4" t="str">
        <f ca="1">IFERROR(__xludf.DUMMYFUNCTION("""COMPUTED_VALUE"""),"PORTARIA Nº 264/2026 - INSTAURASindicância Investigativa para, no prazo de 30 dias, contados da data da publicação, apurar eventual irregularidadeobjetodoprocessosupracitado, bemcomoos fatos conexos queemergirem nodecorrer dos trabalhos, Designao servidor"&amp;" Rodrigo Marcelino da C. Belo, matr. 35.002-4, para realização da Sindicância. Processo nº SEI E-26/007/1595/2016.")</f>
        <v>PORTARIA Nº 264/2026 - INSTAURASindicância Investigativa para, no prazo de 30 dias, contados da data da publicação, apurar eventual irregularidadeobjetodoprocessosupracitado, bemcomoos fatos conexos queemergirem nodecorrer dos trabalhos, Designao servidor Rodrigo Marcelino da C. Belo, matr. 35.002-4, para realização da Sindicância. Processo nº SEI E-26/007/1595/2016.</v>
      </c>
      <c r="K67" s="4"/>
      <c r="L67" s="6">
        <f ca="1">IFERROR(__xludf.DUMMYFUNCTION("""COMPUTED_VALUE"""),46100)</f>
        <v>46100</v>
      </c>
      <c r="M67" s="6">
        <f ca="1">IFERROR(__xludf.DUMMYFUNCTION("""COMPUTED_VALUE"""),46105)</f>
        <v>46105</v>
      </c>
      <c r="N67" s="6">
        <f ca="1">IFERROR(__xludf.DUMMYFUNCTION("""COMPUTED_VALUE"""),46143)</f>
        <v>46143</v>
      </c>
      <c r="O67" s="6">
        <f ca="1">IFERROR(__xludf.DUMMYFUNCTION("""COMPUTED_VALUE"""),46144)</f>
        <v>46144</v>
      </c>
      <c r="P67" s="4">
        <f ca="1">IFERROR(__xludf.DUMMYFUNCTION("""COMPUTED_VALUE"""),592)</f>
        <v>592</v>
      </c>
      <c r="Q67" s="6">
        <f ca="1">IFERROR(__xludf.DUMMYFUNCTION("""COMPUTED_VALUE"""),46875)</f>
        <v>46875</v>
      </c>
      <c r="R67" s="4">
        <f ca="1">IFERROR(__xludf.DUMMYFUNCTION("""COMPUTED_VALUE"""),1687)</f>
        <v>1687</v>
      </c>
      <c r="S67" s="6">
        <f ca="1">IFERROR(__xludf.DUMMYFUNCTION("""COMPUTED_VALUE"""),47970)</f>
        <v>47970</v>
      </c>
      <c r="T67" s="4" t="str">
        <f ca="1">IFERROR(__xludf.DUMMYFUNCTION("""COMPUTED_VALUE"""),"Rodrigo Marcellino")</f>
        <v>Rodrigo Marcellino</v>
      </c>
      <c r="U67" s="4"/>
      <c r="V67" s="4"/>
      <c r="W67" s="4" t="str">
        <f ca="1">IFERROR(__xludf.DUMMYFUNCTION("""COMPUTED_VALUE"""),"Débora")</f>
        <v>Débora</v>
      </c>
      <c r="X67" s="4"/>
      <c r="Y67" s="4" t="str">
        <f ca="1">IFERROR(__xludf.DUMMYFUNCTION("""COMPUTED_VALUE"""),"E-26/007/1595/2016")</f>
        <v>E-26/007/1595/2016</v>
      </c>
      <c r="Z67" s="4" t="str">
        <f ca="1">IFERROR(__xludf.DUMMYFUNCTION("""COMPUTED_VALUE"""),"C-Em apuração")</f>
        <v>C-Em apuração</v>
      </c>
      <c r="AA67" s="4"/>
      <c r="AB67" s="4"/>
    </row>
    <row r="68" spans="1:28" x14ac:dyDescent="0.2">
      <c r="A68" s="4" t="str">
        <f t="shared" ca="1" si="0"/>
        <v>SEI-260006/031053/2026</v>
      </c>
      <c r="B68" s="4" t="str">
        <f t="shared" ca="1" si="1"/>
        <v>contraditória</v>
      </c>
      <c r="C68" s="4" t="str">
        <f ca="1">IFERROR(__xludf.DUMMYFUNCTION("""COMPUTED_VALUE"""),"0266/2026")</f>
        <v>0266/2026</v>
      </c>
      <c r="D68" s="4" t="str">
        <f ca="1">IFERROR(__xludf.DUMMYFUNCTION("""COMPUTED_VALUE"""),"SEI-260006/031053/2026
análogo ao de sindicância contraditória")</f>
        <v>SEI-260006/031053/2026
análogo ao de sindicância contraditória</v>
      </c>
      <c r="E68" s="4" t="str">
        <f ca="1">IFERROR(__xludf.DUMMYFUNCTION("""COMPUTED_VALUE"""),"Richard Neto Esteves (discente)")</f>
        <v>Richard Neto Esteves (discente)</v>
      </c>
      <c r="F68" s="4" t="str">
        <f ca="1">IFERROR(__xludf.DUMMYFUNCTION("""COMPUTED_VALUE"""),"Assédio moral/sexual/discriminação.")</f>
        <v>Assédio moral/sexual/discriminação.</v>
      </c>
      <c r="G68" s="4" t="str">
        <f ca="1">IFERROR(__xludf.DUMMYFUNCTION("""COMPUTED_VALUE"""),"Assédio moral/sexual/discriminação.")</f>
        <v>Assédio moral/sexual/discriminação.</v>
      </c>
      <c r="H68" s="4" t="str">
        <f ca="1">IFERROR(__xludf.DUMMYFUNCTION("""COMPUTED_VALUE"""),"Assédio moral/sexual/discriminação, Denúncia")</f>
        <v>Assédio moral/sexual/discriminação, Denúncia</v>
      </c>
      <c r="I68" s="4" t="str">
        <f ca="1">IFERROR(__xludf.DUMMYFUNCTION("""COMPUTED_VALUE"""),"Apuração de denúncia apresentada por discente da Faculdade de Educação da Baixada Fluminense (FEBF) que relata ter sido vítima de crime de conotação sexual praticado por outro discente da mesma unidade no dia 16/08/2024, no Centro Acadêmico de Pedagogia ("&amp;"CAPED), pois o denunciado teria praticado atos libidinosos em detrimento dela (toques no corpo) em momento no qual ela estava sob efeito de álcool e droga.
")</f>
        <v xml:space="preserve">Apuração de denúncia apresentada por discente da Faculdade de Educação da Baixada Fluminense (FEBF) que relata ter sido vítima de crime de conotação sexual praticado por outro discente da mesma unidade no dia 16/08/2024, no Centro Acadêmico de Pedagogia (CAPED), pois o denunciado teria praticado atos libidinosos em detrimento dela (toques no corpo) em momento no qual ela estava sob efeito de álcool e droga.
</v>
      </c>
      <c r="J68" s="4" t="str">
        <f ca="1">IFERROR(__xludf.DUMMYFUNCTION("""COMPUTED_VALUE"""),"PORTARIA Nº 266/2026 - I N S TA U R A processo administrativo apuratório análogo ao de sindicância contraditória para, no prazo de 30 dias, contados da data dapublicação, apurar eventual irregularidade objeto do processo nº SEI-260006/052692/2025, bem com"&amp;"o os fatos conexos que emergiremno decorrer dos trabalhos, designandopara procedê-la, Comissão, integrada por BIANCA FAERTESN. BARBOSA, matr. nº 36.194-9; RODRIGO MARCELINO DA C. BELO, matr. nº 35.002-4; GUSTAVO MOZART S. DA SILVAmatr. nº 41.286-6, sob a "&amp;"presidência da primeira. Processo nº SEI-260006/052692/2025.")</f>
        <v>PORTARIA Nº 266/2026 - I N S TA U R A processo administrativo apuratório análogo ao de sindicância contraditória para, no prazo de 30 dias, contados da data dapublicação, apurar eventual irregularidade objeto do processo nº SEI-260006/052692/2025, bem como os fatos conexos que emergiremno decorrer dos trabalhos, designandopara procedê-la, Comissão, integrada por BIANCA FAERTESN. BARBOSA, matr. nº 36.194-9; RODRIGO MARCELINO DA C. BELO, matr. nº 35.002-4; GUSTAVO MOZART S. DA SILVAmatr. nº 41.286-6, sob a presidência da primeira. Processo nº SEI-260006/052692/2025.</v>
      </c>
      <c r="K68" s="4" t="str">
        <f ca="1">IFERROR(__xludf.DUMMYFUNCTION("""COMPUTED_VALUE"""),"Não")</f>
        <v>Não</v>
      </c>
      <c r="L68" s="6">
        <f ca="1">IFERROR(__xludf.DUMMYFUNCTION("""COMPUTED_VALUE"""),46104)</f>
        <v>46104</v>
      </c>
      <c r="M68" s="6">
        <f ca="1">IFERROR(__xludf.DUMMYFUNCTION("""COMPUTED_VALUE"""),46120)</f>
        <v>46120</v>
      </c>
      <c r="N68" s="6">
        <f ca="1">IFERROR(__xludf.DUMMYFUNCTION("""COMPUTED_VALUE"""),46158)</f>
        <v>46158</v>
      </c>
      <c r="O68" s="6">
        <f ca="1">IFERROR(__xludf.DUMMYFUNCTION("""COMPUTED_VALUE"""),46159)</f>
        <v>46159</v>
      </c>
      <c r="P68" s="4">
        <f ca="1">IFERROR(__xludf.DUMMYFUNCTION("""COMPUTED_VALUE"""),607)</f>
        <v>607</v>
      </c>
      <c r="Q68" s="6">
        <f ca="1">IFERROR(__xludf.DUMMYFUNCTION("""COMPUTED_VALUE"""),46890)</f>
        <v>46890</v>
      </c>
      <c r="R68" s="4">
        <f ca="1">IFERROR(__xludf.DUMMYFUNCTION("""COMPUTED_VALUE"""),1702)</f>
        <v>1702</v>
      </c>
      <c r="S68" s="6">
        <f ca="1">IFERROR(__xludf.DUMMYFUNCTION("""COMPUTED_VALUE"""),47985)</f>
        <v>47985</v>
      </c>
      <c r="T68" s="4" t="str">
        <f ca="1">IFERROR(__xludf.DUMMYFUNCTION("""COMPUTED_VALUE"""),"Bianca Faertes")</f>
        <v>Bianca Faertes</v>
      </c>
      <c r="U68" s="4" t="str">
        <f ca="1">IFERROR(__xludf.DUMMYFUNCTION("""COMPUTED_VALUE"""),"Rodrigo Marcellino")</f>
        <v>Rodrigo Marcellino</v>
      </c>
      <c r="V68" s="4" t="str">
        <f ca="1">IFERROR(__xludf.DUMMYFUNCTION("""COMPUTED_VALUE"""),"Gustavo Mozart")</f>
        <v>Gustavo Mozart</v>
      </c>
      <c r="W68" s="4" t="str">
        <f ca="1">IFERROR(__xludf.DUMMYFUNCTION("""COMPUTED_VALUE"""),"Isadora")</f>
        <v>Isadora</v>
      </c>
      <c r="X68" s="4" t="str">
        <f ca="1">IFERROR(__xludf.DUMMYFUNCTION("""COMPUTED_VALUE"""),"Não")</f>
        <v>Não</v>
      </c>
      <c r="Y68" s="4" t="str">
        <f ca="1">IFERROR(__xludf.DUMMYFUNCTION("""COMPUTED_VALUE"""),"SEI-260006/052692/2025")</f>
        <v>SEI-260006/052692/2025</v>
      </c>
      <c r="Z68" s="4" t="str">
        <f ca="1">IFERROR(__xludf.DUMMYFUNCTION("""COMPUTED_VALUE"""),"C-Em apuração")</f>
        <v>C-Em apuração</v>
      </c>
      <c r="AA68" s="4"/>
      <c r="AB68" s="4"/>
    </row>
    <row r="69" spans="1:28" x14ac:dyDescent="0.2">
      <c r="A69" s="4" t="str">
        <f t="shared" ca="1" si="0"/>
        <v>SEI-260006/017551/2026</v>
      </c>
      <c r="B69" s="4" t="str">
        <f t="shared" ca="1" si="1"/>
        <v>contraditória</v>
      </c>
      <c r="C69" s="4"/>
      <c r="D69" s="4" t="str">
        <f ca="1">IFERROR(__xludf.DUMMYFUNCTION("""COMPUTED_VALUE"""),"SEI-260006/017551/2026
contraditória")</f>
        <v>SEI-260006/017551/2026
contraditória</v>
      </c>
      <c r="E69" s="4" t="str">
        <f ca="1">IFERROR(__xludf.DUMMYFUNCTION("""COMPUTED_VALUE"""),"Guilherme Portugal (matr. 35273-2)")</f>
        <v>Guilherme Portugal (matr. 35273-2)</v>
      </c>
      <c r="F69" s="4"/>
      <c r="G69" s="4"/>
      <c r="H69" s="4"/>
      <c r="I69" s="4" t="str">
        <f ca="1">IFERROR(__xludf.DUMMYFUNCTION("""COMPUTED_VALUE"""),"apurar a motivação fática e jurídica que ensejou a emissão das folhas de pagamento complementares não reconhecidas pela Coordenação do PPGCGP; a discriminação pormenorizada das atribuições supostamente desempenhadas pelos beneficiários, bem como a comprov"&amp;"ação de sua efetiva execução; a aferição da regularidade, proporcionalidade e razoabilidade dos valores despendidos, em cotejo com as funções alegadamente exercidas; e a delimitação das responsabilidades administrativas e gerenciais pela autorização e pro"&amp;"cessamento dos pagamentos em tela.")</f>
        <v>apurar a motivação fática e jurídica que ensejou a emissão das folhas de pagamento complementares não reconhecidas pela Coordenação do PPGCGP; a discriminação pormenorizada das atribuições supostamente desempenhadas pelos beneficiários, bem como a comprovação de sua efetiva execução; a aferição da regularidade, proporcionalidade e razoabilidade dos valores despendidos, em cotejo com as funções alegadamente exercidas; e a delimitação das responsabilidades administrativas e gerenciais pela autorização e processamento dos pagamentos em tela.</v>
      </c>
      <c r="J69" s="4" t="str">
        <f ca="1">IFERROR(__xludf.DUMMYFUNCTION("""COMPUTED_VALUE"""),"PORTARIANº 356/2026-INSTAURA Sindicância Investigativa para, no prazo de 30 dias, contados da data da publicação, apurar eventual
irregularidade objeto do processo nº SEI-260006/045302/2024, bem como os fatos conexos que emergirem no decorrer dos trabalho"&amp;"s, de
signando para procedê-la, Comissão, integrada, soba presidênciado primeiro, pelosservidores: GABRIELM. DEOLIVEIRA, matr. 40.015
0; CELSO LUIZ M. PIERONI, matr. 39.595-4; RODRIGO MARCELINO DA C. BELO, matr. 35.002-4. Processo nº SEI-260006/045302/202"&amp;"4.")</f>
        <v>PORTARIANº 356/2026-INSTAURA Sindicância Investigativa para, no prazo de 30 dias, contados da data da publicação, apurar eventual
irregularidade objeto do processo nº SEI-260006/045302/2024, bem como os fatos conexos que emergirem no decorrer dos trabalhos, de
signando para procedê-la, Comissão, integrada, soba presidênciado primeiro, pelosservidores: GABRIELM. DEOLIVEIRA, matr. 40.015
0; CELSO LUIZ M. PIERONI, matr. 39.595-4; RODRIGO MARCELINO DA C. BELO, matr. 35.002-4. Processo nº SEI-260006/045302/2024.</v>
      </c>
      <c r="K69" s="4"/>
      <c r="L69" s="6">
        <f ca="1">IFERROR(__xludf.DUMMYFUNCTION("""COMPUTED_VALUE"""),46125)</f>
        <v>46125</v>
      </c>
      <c r="M69" s="6">
        <f ca="1">IFERROR(__xludf.DUMMYFUNCTION("""COMPUTED_VALUE"""),46127)</f>
        <v>46127</v>
      </c>
      <c r="N69" s="6">
        <f ca="1">IFERROR(__xludf.DUMMYFUNCTION("""COMPUTED_VALUE"""),46165)</f>
        <v>46165</v>
      </c>
      <c r="O69" s="6">
        <f ca="1">IFERROR(__xludf.DUMMYFUNCTION("""COMPUTED_VALUE"""),46166)</f>
        <v>46166</v>
      </c>
      <c r="P69" s="4">
        <f ca="1">IFERROR(__xludf.DUMMYFUNCTION("""COMPUTED_VALUE"""),614)</f>
        <v>614</v>
      </c>
      <c r="Q69" s="6">
        <f ca="1">IFERROR(__xludf.DUMMYFUNCTION("""COMPUTED_VALUE"""),46897)</f>
        <v>46897</v>
      </c>
      <c r="R69" s="4">
        <f ca="1">IFERROR(__xludf.DUMMYFUNCTION("""COMPUTED_VALUE"""),1709)</f>
        <v>1709</v>
      </c>
      <c r="S69" s="6">
        <f ca="1">IFERROR(__xludf.DUMMYFUNCTION("""COMPUTED_VALUE"""),47992)</f>
        <v>47992</v>
      </c>
      <c r="T69" s="4" t="str">
        <f ca="1">IFERROR(__xludf.DUMMYFUNCTION("""COMPUTED_VALUE"""),"Gabriel Moraes")</f>
        <v>Gabriel Moraes</v>
      </c>
      <c r="U69" s="4" t="str">
        <f ca="1">IFERROR(__xludf.DUMMYFUNCTION("""COMPUTED_VALUE"""),"Celso Luiz Pieroni")</f>
        <v>Celso Luiz Pieroni</v>
      </c>
      <c r="V69" s="4" t="str">
        <f ca="1">IFERROR(__xludf.DUMMYFUNCTION("""COMPUTED_VALUE"""),"Rodrigo Marcellino")</f>
        <v>Rodrigo Marcellino</v>
      </c>
      <c r="W69" s="4" t="str">
        <f ca="1">IFERROR(__xludf.DUMMYFUNCTION("""COMPUTED_VALUE"""),"Franciane")</f>
        <v>Franciane</v>
      </c>
      <c r="X69" s="4"/>
      <c r="Y69" s="4" t="str">
        <f ca="1">IFERROR(__xludf.DUMMYFUNCTION("""COMPUTED_VALUE"""),"SEI-260006/045302/2024")</f>
        <v>SEI-260006/045302/2024</v>
      </c>
      <c r="Z69" s="4" t="str">
        <f ca="1">IFERROR(__xludf.DUMMYFUNCTION("""COMPUTED_VALUE"""),"C-Em apuração")</f>
        <v>C-Em apuração</v>
      </c>
      <c r="AA69" s="4"/>
      <c r="AB69" s="4"/>
    </row>
    <row r="70" spans="1:28" x14ac:dyDescent="0.2">
      <c r="A70" s="4" t="str">
        <f t="shared" ca="1" si="0"/>
        <v>SEI-260006/017555/2026</v>
      </c>
      <c r="B70" s="4" t="str">
        <f t="shared" ca="1" si="1"/>
        <v>investigativa</v>
      </c>
      <c r="C70" s="4"/>
      <c r="D70" s="4" t="str">
        <f ca="1">IFERROR(__xludf.DUMMYFUNCTION("""COMPUTED_VALUE"""),"SEI-260006/017555/2026
investigativa")</f>
        <v>SEI-260006/017555/2026
investigativa</v>
      </c>
      <c r="E70" s="4"/>
      <c r="F70" s="4"/>
      <c r="G70" s="4"/>
      <c r="H70" s="4"/>
      <c r="I70" s="4" t="str">
        <f ca="1">IFERROR(__xludf.DUMMYFUNCTION("""COMPUTED_VALUE"""),"apurar eventual responsabilidade do gestor do contrato no descumprimento do seu dever de controle das garantias contratuais, a respeito empresa Zeniz Planejamentos Comerciais LTDA acerca da necessidade de apresentação de garantia de execução após a entreg"&amp;"a do objeto e recebimento pela Administração, conforme solicitação em Despacho 126781053.")</f>
        <v>apurar eventual responsabilidade do gestor do contrato no descumprimento do seu dever de controle das garantias contratuais, a respeito empresa Zeniz Planejamentos Comerciais LTDA acerca da necessidade de apresentação de garantia de execução após a entrega do objeto e recebimento pela Administração, conforme solicitação em Despacho 126781053.</v>
      </c>
      <c r="J70" s="4" t="str">
        <f ca="1">IFERROR(__xludf.DUMMYFUNCTION("""COMPUTED_VALUE"""),"PORTARIANº 359/2026- INSTAURA sindicância para apurar possíveis irregularidades descritas no processo SEI-260006/016266/2024, DESIGNANDO para procedê-la, como sindicante único, GABRIEL MORAES DE OLIVEIRA - matr. nº 40.015-0. Processo nº SEI-260006/016266/"&amp;"2024")</f>
        <v>PORTARIANº 359/2026- INSTAURA sindicância para apurar possíveis irregularidades descritas no processo SEI-260006/016266/2024, DESIGNANDO para procedê-la, como sindicante único, GABRIEL MORAES DE OLIVEIRA - matr. nº 40.015-0. Processo nº SEI-260006/016266/2024</v>
      </c>
      <c r="K70" s="4"/>
      <c r="L70" s="6">
        <f ca="1">IFERROR(__xludf.DUMMYFUNCTION("""COMPUTED_VALUE"""),46125)</f>
        <v>46125</v>
      </c>
      <c r="M70" s="6">
        <f ca="1">IFERROR(__xludf.DUMMYFUNCTION("""COMPUTED_VALUE"""),46127)</f>
        <v>46127</v>
      </c>
      <c r="N70" s="6">
        <f ca="1">IFERROR(__xludf.DUMMYFUNCTION("""COMPUTED_VALUE"""),46165)</f>
        <v>46165</v>
      </c>
      <c r="O70" s="6">
        <f ca="1">IFERROR(__xludf.DUMMYFUNCTION("""COMPUTED_VALUE"""),46166)</f>
        <v>46166</v>
      </c>
      <c r="P70" s="4">
        <f ca="1">IFERROR(__xludf.DUMMYFUNCTION("""COMPUTED_VALUE"""),614)</f>
        <v>614</v>
      </c>
      <c r="Q70" s="6">
        <f ca="1">IFERROR(__xludf.DUMMYFUNCTION("""COMPUTED_VALUE"""),46897)</f>
        <v>46897</v>
      </c>
      <c r="R70" s="4">
        <f ca="1">IFERROR(__xludf.DUMMYFUNCTION("""COMPUTED_VALUE"""),1709)</f>
        <v>1709</v>
      </c>
      <c r="S70" s="6">
        <f ca="1">IFERROR(__xludf.DUMMYFUNCTION("""COMPUTED_VALUE"""),47992)</f>
        <v>47992</v>
      </c>
      <c r="T70" s="4" t="str">
        <f ca="1">IFERROR(__xludf.DUMMYFUNCTION("""COMPUTED_VALUE"""),"Gabriel Moraes")</f>
        <v>Gabriel Moraes</v>
      </c>
      <c r="U70" s="4"/>
      <c r="V70" s="4"/>
      <c r="W70" s="4" t="str">
        <f ca="1">IFERROR(__xludf.DUMMYFUNCTION("""COMPUTED_VALUE"""),"Micheline")</f>
        <v>Micheline</v>
      </c>
      <c r="X70" s="4"/>
      <c r="Y70" s="4" t="str">
        <f ca="1">IFERROR(__xludf.DUMMYFUNCTION("""COMPUTED_VALUE"""),"SEI-260006/016266/2024")</f>
        <v>SEI-260006/016266/2024</v>
      </c>
      <c r="Z70" s="4" t="str">
        <f ca="1">IFERROR(__xludf.DUMMYFUNCTION("""COMPUTED_VALUE"""),"C-Em apuração")</f>
        <v>C-Em apuração</v>
      </c>
      <c r="AA70" s="4"/>
      <c r="AB70" s="4"/>
    </row>
    <row r="71" spans="1:28" x14ac:dyDescent="0.2">
      <c r="A71" s="4" t="str">
        <f t="shared" ca="1" si="0"/>
        <v>SEI-260006/017554/2026</v>
      </c>
      <c r="B71" s="4" t="str">
        <f t="shared" ca="1" si="1"/>
        <v>contraditória</v>
      </c>
      <c r="C71" s="4"/>
      <c r="D71" s="4" t="str">
        <f ca="1">IFERROR(__xludf.DUMMYFUNCTION("""COMPUTED_VALUE"""),"SEI-260006/017554/2026
contraditória")</f>
        <v>SEI-260006/017554/2026
contraditória</v>
      </c>
      <c r="E71" s="4" t="str">
        <f ca="1">IFERROR(__xludf.DUMMYFUNCTION("""COMPUTED_VALUE"""),"Geraldo Luiz Ferreira Cerqueira, Nautali Luiz José dos Santos e Fábio Tomaz Amândula")</f>
        <v>Geraldo Luiz Ferreira Cerqueira, Nautali Luiz José dos Santos e Fábio Tomaz Amândula</v>
      </c>
      <c r="F71" s="4"/>
      <c r="G71" s="4"/>
      <c r="H71" s="4"/>
      <c r="I71" s="4" t="str">
        <f ca="1">IFERROR(__xludf.DUMMYFUNCTION("""COMPUTED_VALUE"""),"apurar os fatos relacionados aos Termos de Ajuste de Contas celebrados pela UERJ em favor da empresa MPE ENGENHARIA E SERVIÇOS S.A., relativos aos meses de outubro, novembro e dezembro de 2023, alusivos aos processos  SEI-260007/056305/2023, SEI-260007/06"&amp;"2687/2023 e SEI-260007/066059/2023. e Fábio Tomaz Amândula (esse último por atrasar em demasia o processo licitatório, conforme reconhecido pela Comissão de Sindicância),")</f>
        <v>apurar os fatos relacionados aos Termos de Ajuste de Contas celebrados pela UERJ em favor da empresa MPE ENGENHARIA E SERVIÇOS S.A., relativos aos meses de outubro, novembro e dezembro de 2023, alusivos aos processos  SEI-260007/056305/2023, SEI-260007/062687/2023 e SEI-260007/066059/2023. e Fábio Tomaz Amândula (esse último por atrasar em demasia o processo licitatório, conforme reconhecido pela Comissão de Sindicância),</v>
      </c>
      <c r="J71" s="4" t="str">
        <f ca="1">IFERROR(__xludf.DUMMYFUNCTION("""COMPUTED_VALUE"""),"PORTARIANº 357/2026-INSTAURA Sindicância Investigativa para no prazo de 30 dias, contados da data da publicação, apurar eventual irregularidade objeto do processo nº SEI-260006/002685/2024, bem como os fatos conexos que emergirem no decorrer dos trabalhos"&amp;", designando paraprocedê-la, Comissão, integrada, soba presidência do primeiro, pelos servidores: RODRIGO M. DACOSTA BELO, matr. 35002-4; MARCELO DOS S. BENTO,matr. 33.897-0; MARCELO F. DE OLIVEIRA, matr. 31.161-3. Processo nº SEI-260006/002685/2024")</f>
        <v>PORTARIANº 357/2026-INSTAURA Sindicância Investigativa para no prazo de 30 dias, contados da data da publicação, apurar eventual irregularidade objeto do processo nº SEI-260006/002685/2024, bem como os fatos conexos que emergirem no decorrer dos trabalhos, designando paraprocedê-la, Comissão, integrada, soba presidência do primeiro, pelos servidores: RODRIGO M. DACOSTA BELO, matr. 35002-4; MARCELO DOS S. BENTO,matr. 33.897-0; MARCELO F. DE OLIVEIRA, matr. 31.161-3. Processo nº SEI-260006/002685/2024</v>
      </c>
      <c r="K71" s="4"/>
      <c r="L71" s="6">
        <f ca="1">IFERROR(__xludf.DUMMYFUNCTION("""COMPUTED_VALUE"""),46125)</f>
        <v>46125</v>
      </c>
      <c r="M71" s="6">
        <f ca="1">IFERROR(__xludf.DUMMYFUNCTION("""COMPUTED_VALUE"""),46127)</f>
        <v>46127</v>
      </c>
      <c r="N71" s="6">
        <f ca="1">IFERROR(__xludf.DUMMYFUNCTION("""COMPUTED_VALUE"""),46165)</f>
        <v>46165</v>
      </c>
      <c r="O71" s="6">
        <f ca="1">IFERROR(__xludf.DUMMYFUNCTION("""COMPUTED_VALUE"""),46166)</f>
        <v>46166</v>
      </c>
      <c r="P71" s="4">
        <f ca="1">IFERROR(__xludf.DUMMYFUNCTION("""COMPUTED_VALUE"""),614)</f>
        <v>614</v>
      </c>
      <c r="Q71" s="6">
        <f ca="1">IFERROR(__xludf.DUMMYFUNCTION("""COMPUTED_VALUE"""),46897)</f>
        <v>46897</v>
      </c>
      <c r="R71" s="4">
        <f ca="1">IFERROR(__xludf.DUMMYFUNCTION("""COMPUTED_VALUE"""),1709)</f>
        <v>1709</v>
      </c>
      <c r="S71" s="6">
        <f ca="1">IFERROR(__xludf.DUMMYFUNCTION("""COMPUTED_VALUE"""),47992)</f>
        <v>47992</v>
      </c>
      <c r="T71" s="4" t="str">
        <f ca="1">IFERROR(__xludf.DUMMYFUNCTION("""COMPUTED_VALUE"""),"Rodrigo Marcellino")</f>
        <v>Rodrigo Marcellino</v>
      </c>
      <c r="U71" s="4" t="str">
        <f ca="1">IFERROR(__xludf.DUMMYFUNCTION("""COMPUTED_VALUE"""),"Marcelo Bento")</f>
        <v>Marcelo Bento</v>
      </c>
      <c r="V71" s="4" t="str">
        <f ca="1">IFERROR(__xludf.DUMMYFUNCTION("""COMPUTED_VALUE"""),"Marcelo Ferreira")</f>
        <v>Marcelo Ferreira</v>
      </c>
      <c r="W71" s="4" t="str">
        <f ca="1">IFERROR(__xludf.DUMMYFUNCTION("""COMPUTED_VALUE"""),"Isadora")</f>
        <v>Isadora</v>
      </c>
      <c r="X71" s="4"/>
      <c r="Y71" s="4" t="str">
        <f ca="1">IFERROR(__xludf.DUMMYFUNCTION("""COMPUTED_VALUE"""),"SEI-260006/002685/2024")</f>
        <v>SEI-260006/002685/2024</v>
      </c>
      <c r="Z71" s="4" t="str">
        <f ca="1">IFERROR(__xludf.DUMMYFUNCTION("""COMPUTED_VALUE"""),"C-Em apuração")</f>
        <v>C-Em apuração</v>
      </c>
      <c r="AA71" s="4"/>
      <c r="AB71" s="4"/>
    </row>
    <row r="72" spans="1:28" x14ac:dyDescent="0.2">
      <c r="A72" s="4" t="str">
        <f t="shared" ca="1" si="0"/>
        <v>SEI-260006/017550/2026</v>
      </c>
      <c r="B72" s="4" t="str">
        <f t="shared" ca="1" si="1"/>
        <v>contraditória</v>
      </c>
      <c r="C72" s="4"/>
      <c r="D72" s="4" t="str">
        <f ca="1">IFERROR(__xludf.DUMMYFUNCTION("""COMPUTED_VALUE"""),"SEI-260006/017550/2026
contraditória")</f>
        <v>SEI-260006/017550/2026
contraditória</v>
      </c>
      <c r="E72" s="4" t="str">
        <f ca="1">IFERROR(__xludf.DUMMYFUNCTION("""COMPUTED_VALUE"""),"Claudia Gonçalves de Lima (matr. 8112-5)")</f>
        <v>Claudia Gonçalves de Lima (matr. 8112-5)</v>
      </c>
      <c r="F72" s="4"/>
      <c r="G72" s="4"/>
      <c r="H72" s="4"/>
      <c r="I72" s="4" t="str">
        <f ca="1">IFERROR(__xludf.DUMMYFUNCTION("""COMPUTED_VALUE"""),"Processo relativo à análise da AGUERJ da execução financeira do Programa Fortalecimento do Artesanato Fluminense com descentralização de créditos da Secretaria de Estado de Cultura e Economia Criativa no exercício 2023.desconformidades são imputáveis, em "&amp;"tese, à Coordenadora (não cumprimento de metas e prestação de contas apresentada de forma extemporânea e incompleta).")</f>
        <v>Processo relativo à análise da AGUERJ da execução financeira do Programa Fortalecimento do Artesanato Fluminense com descentralização de créditos da Secretaria de Estado de Cultura e Economia Criativa no exercício 2023.desconformidades são imputáveis, em tese, à Coordenadora (não cumprimento de metas e prestação de contas apresentada de forma extemporânea e incompleta).</v>
      </c>
      <c r="J72" s="4" t="str">
        <f ca="1">IFERROR(__xludf.DUMMYFUNCTION("""COMPUTED_VALUE"""),"PORTARIANº 358/2026-INSTAURA Sindicância Investigativa para, no prazo de 30 dias, contados da data da publicação, apurar eventual irregularidade objeto do processo nº SEI-260006/002884/2024, bem como os fatos conexos que emergirem no decorrer dos trabalho"&amp;"s, designando para procedê-la, Comissão, integrada, soba presidênciado primeiro, pelos servidores: RODRIGO M. DACOSTA BELO, matr. 35002-4; CELSO LUIZ MOREIRAPIERONI,matr. 39.595-4; THIAGO LUIZ C. ROCHA, matr. 37.012-2. Processo nº SEI-260006/002884/2024.")</f>
        <v>PORTARIANº 358/2026-INSTAURA Sindicância Investigativa para, no prazo de 30 dias, contados da data da publicação, apurar eventual irregularidade objeto do processo nº SEI-260006/002884/2024, bem como os fatos conexos que emergirem no decorrer dos trabalhos, designando para procedê-la, Comissão, integrada, soba presidênciado primeiro, pelos servidores: RODRIGO M. DACOSTA BELO, matr. 35002-4; CELSO LUIZ MOREIRAPIERONI,matr. 39.595-4; THIAGO LUIZ C. ROCHA, matr. 37.012-2. Processo nº SEI-260006/002884/2024.</v>
      </c>
      <c r="K72" s="4"/>
      <c r="L72" s="6">
        <f ca="1">IFERROR(__xludf.DUMMYFUNCTION("""COMPUTED_VALUE"""),46125)</f>
        <v>46125</v>
      </c>
      <c r="M72" s="6">
        <f ca="1">IFERROR(__xludf.DUMMYFUNCTION("""COMPUTED_VALUE"""),46127)</f>
        <v>46127</v>
      </c>
      <c r="N72" s="6">
        <f ca="1">IFERROR(__xludf.DUMMYFUNCTION("""COMPUTED_VALUE"""),46165)</f>
        <v>46165</v>
      </c>
      <c r="O72" s="6">
        <f ca="1">IFERROR(__xludf.DUMMYFUNCTION("""COMPUTED_VALUE"""),46166)</f>
        <v>46166</v>
      </c>
      <c r="P72" s="4">
        <f ca="1">IFERROR(__xludf.DUMMYFUNCTION("""COMPUTED_VALUE"""),614)</f>
        <v>614</v>
      </c>
      <c r="Q72" s="6">
        <f ca="1">IFERROR(__xludf.DUMMYFUNCTION("""COMPUTED_VALUE"""),46897)</f>
        <v>46897</v>
      </c>
      <c r="R72" s="4">
        <f ca="1">IFERROR(__xludf.DUMMYFUNCTION("""COMPUTED_VALUE"""),1709)</f>
        <v>1709</v>
      </c>
      <c r="S72" s="6">
        <f ca="1">IFERROR(__xludf.DUMMYFUNCTION("""COMPUTED_VALUE"""),47992)</f>
        <v>47992</v>
      </c>
      <c r="T72" s="4" t="str">
        <f ca="1">IFERROR(__xludf.DUMMYFUNCTION("""COMPUTED_VALUE"""),"Rodrigo Marcellino")</f>
        <v>Rodrigo Marcellino</v>
      </c>
      <c r="U72" s="4" t="str">
        <f ca="1">IFERROR(__xludf.DUMMYFUNCTION("""COMPUTED_VALUE"""),"Celso Luiz Pieroni")</f>
        <v>Celso Luiz Pieroni</v>
      </c>
      <c r="V72" s="4" t="str">
        <f ca="1">IFERROR(__xludf.DUMMYFUNCTION("""COMPUTED_VALUE"""),"Thiago Rocha")</f>
        <v>Thiago Rocha</v>
      </c>
      <c r="W72" s="4" t="str">
        <f ca="1">IFERROR(__xludf.DUMMYFUNCTION("""COMPUTED_VALUE"""),"Débora")</f>
        <v>Débora</v>
      </c>
      <c r="X72" s="4"/>
      <c r="Y72" s="4" t="str">
        <f ca="1">IFERROR(__xludf.DUMMYFUNCTION("""COMPUTED_VALUE"""),"SEI-260006/002884/2024")</f>
        <v>SEI-260006/002884/2024</v>
      </c>
      <c r="Z72" s="4" t="str">
        <f ca="1">IFERROR(__xludf.DUMMYFUNCTION("""COMPUTED_VALUE"""),"C-Em apuração")</f>
        <v>C-Em apuração</v>
      </c>
      <c r="AA72" s="4"/>
      <c r="AB72" s="4"/>
    </row>
    <row r="73" spans="1:28" x14ac:dyDescent="0.2">
      <c r="A73" s="4" t="str">
        <f t="shared" ca="1" si="0"/>
        <v>SEI-260006/024394/2026</v>
      </c>
      <c r="B73" s="4" t="str">
        <f t="shared" ca="1" si="1"/>
        <v>Investigativa</v>
      </c>
      <c r="C73" s="4"/>
      <c r="D73" s="4" t="str">
        <f ca="1">IFERROR(__xludf.DUMMYFUNCTION("""COMPUTED_VALUE"""),"SEI-260006/024394/2026
Investigativa")</f>
        <v>SEI-260006/024394/2026
Investigativa</v>
      </c>
      <c r="E73" s="4"/>
      <c r="F73" s="4"/>
      <c r="G73" s="4"/>
      <c r="H73" s="4"/>
      <c r="I73" s="4" t="str">
        <f ca="1">IFERROR(__xludf.DUMMYFUNCTION("""COMPUTED_VALUE"""),"apuração de responsabilidade da possível ação irregular ou omissão de servidores da UERJ no exercício da
fiscalização contratual, por despesas durante o período constante do processo SEI 260007/001764/2022,
contrato nº 017/2022, que tem por objeto a contr"&amp;"atação de empresa especializada em prestação de
serviços em higienização de roupas e enxovais (lavanderia) para atender à demanda do Hospital
Universitário Reitor Hesio Cordeiro, na forma do Termo de Referência – ANEXO 1 e do instrumento
convocatório Edit"&amp;"al de Licitação por Pregão Eletrônico nº.: 199 / 2022.")</f>
        <v>apuração de responsabilidade da possível ação irregular ou omissão de servidores da UERJ no exercício da
fiscalização contratual, por despesas durante o período constante do processo SEI 260007/001764/2022,
contrato nº 017/2022, que tem por objeto a contratação de empresa especializada em prestação de
serviços em higienização de roupas e enxovais (lavanderia) para atender à demanda do Hospital
Universitário Reitor Hesio Cordeiro, na forma do Termo de Referência – ANEXO 1 e do instrumento
convocatório Edital de Licitação por Pregão Eletrônico nº.: 199 / 2022.</v>
      </c>
      <c r="J73" s="4" t="str">
        <f ca="1">IFERROR(__xludf.DUMMYFUNCTION("""COMPUTED_VALUE"""),"PORTARIA Nº 361/2026 - INSTAURA Sindicância Contraditória para,no prazo de 30 dias, contados da data da publicação, apurar eventual
irregularidade objeto do processo SEI-260007/015136/2023, bem como os fatos conexos que emergirem no decorrer dos trabalhos"&amp;", designan
do para procedê-la, como sindicante único GABRIEL M. DE OLIVEIRA, matr. nº 40.015-0. Processo nº SEI-260007/015136/2023.
-------------------------------------------------------------------------
RETIFICAÇÃO
D.O. DE 17.04.2026
PÁGINA 33 - 2ª C"&amp;"OLUNA
ATOS DA REITORA
DE 14.04.2026
Portaria nº 361/2026 - Processo nº SEI-260007/015136/2023.
Onde se lê: ...Sindicância Contraditória...
Leia-se: ...Sindicância Investigativa...")</f>
        <v>PORTARIA Nº 361/2026 - INSTAURA Sindicância Contraditória para,no prazo de 30 dias, contados da data da publicação, apurar eventual
irregularidade objeto do processo SEI-260007/015136/2023, bem como os fatos conexos que emergirem no decorrer dos trabalhos, designan
do para procedê-la, como sindicante único GABRIEL M. DE OLIVEIRA, matr. nº 40.015-0. Processo nº SEI-260007/015136/2023.
-------------------------------------------------------------------------
RETIFICAÇÃO
D.O. DE 17.04.2026
PÁGINA 33 - 2ª COLUNA
ATOS DA REITORA
DE 14.04.2026
Portaria nº 361/2026 - Processo nº SEI-260007/015136/2023.
Onde se lê: ...Sindicância Contraditória...
Leia-se: ...Sindicância Investigativa...</v>
      </c>
      <c r="K73" s="4"/>
      <c r="L73" s="6">
        <f ca="1">IFERROR(__xludf.DUMMYFUNCTION("""COMPUTED_VALUE"""),46126)</f>
        <v>46126</v>
      </c>
      <c r="M73" s="6">
        <f ca="1">IFERROR(__xludf.DUMMYFUNCTION("""COMPUTED_VALUE"""),46129)</f>
        <v>46129</v>
      </c>
      <c r="N73" s="6">
        <f ca="1">IFERROR(__xludf.DUMMYFUNCTION("""COMPUTED_VALUE"""),46167)</f>
        <v>46167</v>
      </c>
      <c r="O73" s="6">
        <f ca="1">IFERROR(__xludf.DUMMYFUNCTION("""COMPUTED_VALUE"""),46168)</f>
        <v>46168</v>
      </c>
      <c r="P73" s="4">
        <f ca="1">IFERROR(__xludf.DUMMYFUNCTION("""COMPUTED_VALUE"""),616)</f>
        <v>616</v>
      </c>
      <c r="Q73" s="6">
        <f ca="1">IFERROR(__xludf.DUMMYFUNCTION("""COMPUTED_VALUE"""),46899)</f>
        <v>46899</v>
      </c>
      <c r="R73" s="4">
        <f ca="1">IFERROR(__xludf.DUMMYFUNCTION("""COMPUTED_VALUE"""),1711)</f>
        <v>1711</v>
      </c>
      <c r="S73" s="6">
        <f ca="1">IFERROR(__xludf.DUMMYFUNCTION("""COMPUTED_VALUE"""),47994)</f>
        <v>47994</v>
      </c>
      <c r="T73" s="4" t="str">
        <f ca="1">IFERROR(__xludf.DUMMYFUNCTION("""COMPUTED_VALUE"""),"Gabriel Moraes")</f>
        <v>Gabriel Moraes</v>
      </c>
      <c r="U73" s="4"/>
      <c r="V73" s="4"/>
      <c r="W73" s="4" t="str">
        <f ca="1">IFERROR(__xludf.DUMMYFUNCTION("""COMPUTED_VALUE"""),"Franciane")</f>
        <v>Franciane</v>
      </c>
      <c r="X73" s="4"/>
      <c r="Y73" s="4" t="str">
        <f ca="1">IFERROR(__xludf.DUMMYFUNCTION("""COMPUTED_VALUE"""),"SEI-260007/015136/2023")</f>
        <v>SEI-260007/015136/2023</v>
      </c>
      <c r="Z73" s="4" t="str">
        <f ca="1">IFERROR(__xludf.DUMMYFUNCTION("""COMPUTED_VALUE"""),"C-Em apuração")</f>
        <v>C-Em apuração</v>
      </c>
      <c r="AA73" s="4"/>
      <c r="AB73" s="4"/>
    </row>
    <row r="74" spans="1:28" x14ac:dyDescent="0.2">
      <c r="A74" s="4" t="str">
        <f t="shared" ca="1" si="0"/>
        <v>SEI-260006/021953/2026</v>
      </c>
      <c r="B74" s="4" t="str">
        <f t="shared" ca="1" si="1"/>
        <v>contraditória</v>
      </c>
      <c r="C74" s="4"/>
      <c r="D74" s="4" t="str">
        <f ca="1">IFERROR(__xludf.DUMMYFUNCTION("""COMPUTED_VALUE"""),"SEI-260006/021953/2026
contraditória")</f>
        <v>SEI-260006/021953/2026
contraditória</v>
      </c>
      <c r="E74" s="4" t="str">
        <f ca="1">IFERROR(__xludf.DUMMYFUNCTION("""COMPUTED_VALUE"""),"João Vieira da Silva, matrícula nº 39612-7,")</f>
        <v>João Vieira da Silva, matrícula nº 39612-7,</v>
      </c>
      <c r="F74" s="4"/>
      <c r="G74" s="4"/>
      <c r="H74" s="4" t="str">
        <f ca="1">IFERROR(__xludf.DUMMYFUNCTION("""COMPUTED_VALUE"""),"as condutas imputadas ao denunciado, em tese, poderiam configurar o descumprimento de deveres dispostos no Estatuto (DL 220/75, arts. 39, III, IV, V, e VII), em seu regulamento (D. 2.479/79, arts. 285, III, IV, V, e VII), e no Código de Ética Profissional"&amp;" dos servidores do Poder Executivo do Estado do Rio de Janeiro (Decreto estadual no 43.583/2012 (art. 3o, alíneas ""d"" e ""f""). ")</f>
        <v xml:space="preserve">as condutas imputadas ao denunciado, em tese, poderiam configurar o descumprimento de deveres dispostos no Estatuto (DL 220/75, arts. 39, III, IV, V, e VII), em seu regulamento (D. 2.479/79, arts. 285, III, IV, V, e VII), e no Código de Ética Profissional dos servidores do Poder Executivo do Estado do Rio de Janeiro (Decreto estadual no 43.583/2012 (art. 3o, alíneas "d" e "f"). </v>
      </c>
      <c r="I74" s="4" t="str">
        <f ca="1">IFERROR(__xludf.DUMMYFUNCTION("""COMPUTED_VALUE"""),"asuposta prática de conduta irregular em detrimento da funcionária terceirizada Priscila Borges, que atua como recepcionista no Teatro Odylo Costa Filho.")</f>
        <v>asuposta prática de conduta irregular em detrimento da funcionária terceirizada Priscila Borges, que atua como recepcionista no Teatro Odylo Costa Filho.</v>
      </c>
      <c r="J74" s="4"/>
      <c r="K74" s="4"/>
      <c r="L74" s="6">
        <f ca="1">IFERROR(__xludf.DUMMYFUNCTION("""COMPUTED_VALUE"""),46161)</f>
        <v>46161</v>
      </c>
      <c r="M74" s="6">
        <f ca="1">IFERROR(__xludf.DUMMYFUNCTION("""COMPUTED_VALUE"""),46163)</f>
        <v>46163</v>
      </c>
      <c r="N74" s="6">
        <f ca="1">IFERROR(__xludf.DUMMYFUNCTION("""COMPUTED_VALUE"""),46201)</f>
        <v>46201</v>
      </c>
      <c r="O74" s="6">
        <f ca="1">IFERROR(__xludf.DUMMYFUNCTION("""COMPUTED_VALUE"""),46202)</f>
        <v>46202</v>
      </c>
      <c r="P74" s="4">
        <f ca="1">IFERROR(__xludf.DUMMYFUNCTION("""COMPUTED_VALUE"""),650)</f>
        <v>650</v>
      </c>
      <c r="Q74" s="6">
        <f ca="1">IFERROR(__xludf.DUMMYFUNCTION("""COMPUTED_VALUE"""),46933)</f>
        <v>46933</v>
      </c>
      <c r="R74" s="4">
        <f ca="1">IFERROR(__xludf.DUMMYFUNCTION("""COMPUTED_VALUE"""),1745)</f>
        <v>1745</v>
      </c>
      <c r="S74" s="6">
        <f ca="1">IFERROR(__xludf.DUMMYFUNCTION("""COMPUTED_VALUE"""),48028)</f>
        <v>48028</v>
      </c>
      <c r="T74" s="4" t="str">
        <f ca="1">IFERROR(__xludf.DUMMYFUNCTION("""COMPUTED_VALUE"""),"Alessandra Abelheira")</f>
        <v>Alessandra Abelheira</v>
      </c>
      <c r="U74" s="4" t="str">
        <f ca="1">IFERROR(__xludf.DUMMYFUNCTION("""COMPUTED_VALUE"""),"Ariane Serpa")</f>
        <v>Ariane Serpa</v>
      </c>
      <c r="V74" s="4" t="str">
        <f ca="1">IFERROR(__xludf.DUMMYFUNCTION("""COMPUTED_VALUE"""),"Thiago Rocha")</f>
        <v>Thiago Rocha</v>
      </c>
      <c r="W74" s="4" t="str">
        <f ca="1">IFERROR(__xludf.DUMMYFUNCTION("""COMPUTED_VALUE"""),"Micheline")</f>
        <v>Micheline</v>
      </c>
      <c r="X74" s="4"/>
      <c r="Y74" s="4" t="str">
        <f ca="1">IFERROR(__xludf.DUMMYFUNCTION("""COMPUTED_VALUE"""),"SEI-260006/014648/2026")</f>
        <v>SEI-260006/014648/2026</v>
      </c>
      <c r="Z74" s="4" t="str">
        <f ca="1">IFERROR(__xludf.DUMMYFUNCTION("""COMPUTED_VALUE"""),"C-Em apuração")</f>
        <v>C-Em apuração</v>
      </c>
      <c r="AA74" s="4"/>
      <c r="AB74" s="4"/>
    </row>
    <row r="75" spans="1:28" x14ac:dyDescent="0.2">
      <c r="A75" s="4" t="str">
        <f t="shared" ca="1" si="0"/>
        <v>SEI-260006/030743/2026</v>
      </c>
      <c r="B75" s="4" t="str">
        <f t="shared" ca="1" si="1"/>
        <v>contraditória</v>
      </c>
      <c r="C75" s="4" t="str">
        <f ca="1">IFERROR(__xludf.DUMMYFUNCTION("""COMPUTED_VALUE"""),"0812/2026")</f>
        <v>0812/2026</v>
      </c>
      <c r="D75" s="4" t="str">
        <f ca="1">IFERROR(__xludf.DUMMYFUNCTION("""COMPUTED_VALUE"""),"SEI-260006/030743/2026
sindicância contraditória")</f>
        <v>SEI-260006/030743/2026
sindicância contraditória</v>
      </c>
      <c r="E75" s="4" t="str">
        <f ca="1">IFERROR(__xludf.DUMMYFUNCTION("""COMPUTED_VALUE"""),"Renato Landim (matr. 37622")</f>
        <v>Renato Landim (matr. 37622</v>
      </c>
      <c r="F75" s="4"/>
      <c r="G75" s="4"/>
      <c r="H75" s="4"/>
      <c r="I75" s="4"/>
      <c r="J75" s="4" t="str">
        <f ca="1">IFERROR(__xludf.DUMMYFUNCTION("""COMPUTED_VALUE"""),"PORTARIA Nº 812/2026 - INSTAURA Sindicância Contraditória para, no prazo de 30 dias, contados da data da publicação, apurar eventual irregularidade objeto do Processo nº SEI-260006/014593/2026, bem como os fatos conexos que emergirem no decorrer dos traba"&amp;"lhos, designando para procedê-la, Comissão integrada, sob a presidência da primeira, por KAROLYNNE DE A. MARINS JOSÉ ROCHA, matr. nº 35.698-0; HANNAH O. COUTINHO, matr. nº 36.994-2; FELIPE P. CORRÊA, matr. nº 37.977-6; Processo nº SEI-260006/014593/2026.")</f>
        <v>PORTARIA Nº 812/2026 - INSTAURA Sindicância Contraditória para, no prazo de 30 dias, contados da data da publicação, apurar eventual irregularidade objeto do Processo nº SEI-260006/014593/2026, bem como os fatos conexos que emergirem no decorrer dos trabalhos, designando para procedê-la, Comissão integrada, sob a presidência da primeira, por KAROLYNNE DE A. MARINS JOSÉ ROCHA, matr. nº 35.698-0; HANNAH O. COUTINHO, matr. nº 36.994-2; FELIPE P. CORRÊA, matr. nº 37.977-6; Processo nº SEI-260006/014593/2026.</v>
      </c>
      <c r="K75" s="4"/>
      <c r="L75" s="6">
        <f ca="1">IFERROR(__xludf.DUMMYFUNCTION("""COMPUTED_VALUE"""),46209)</f>
        <v>46209</v>
      </c>
      <c r="M75" s="6">
        <f ca="1">IFERROR(__xludf.DUMMYFUNCTION("""COMPUTED_VALUE"""),46211)</f>
        <v>46211</v>
      </c>
      <c r="N75" s="6">
        <f ca="1">IFERROR(__xludf.DUMMYFUNCTION("""COMPUTED_VALUE"""),46249)</f>
        <v>46249</v>
      </c>
      <c r="O75" s="6">
        <f ca="1">IFERROR(__xludf.DUMMYFUNCTION("""COMPUTED_VALUE"""),46250)</f>
        <v>46250</v>
      </c>
      <c r="P75" s="4">
        <f ca="1">IFERROR(__xludf.DUMMYFUNCTION("""COMPUTED_VALUE"""),698)</f>
        <v>698</v>
      </c>
      <c r="Q75" s="6">
        <f ca="1">IFERROR(__xludf.DUMMYFUNCTION("""COMPUTED_VALUE"""),46981)</f>
        <v>46981</v>
      </c>
      <c r="R75" s="4">
        <f ca="1">IFERROR(__xludf.DUMMYFUNCTION("""COMPUTED_VALUE"""),1793)</f>
        <v>1793</v>
      </c>
      <c r="S75" s="6">
        <f ca="1">IFERROR(__xludf.DUMMYFUNCTION("""COMPUTED_VALUE"""),48076)</f>
        <v>48076</v>
      </c>
      <c r="T75" s="4" t="str">
        <f ca="1">IFERROR(__xludf.DUMMYFUNCTION("""COMPUTED_VALUE"""),"Karolynne Rocha")</f>
        <v>Karolynne Rocha</v>
      </c>
      <c r="U75" s="4" t="str">
        <f ca="1">IFERROR(__xludf.DUMMYFUNCTION("""COMPUTED_VALUE"""),"Hannah Oliveira")</f>
        <v>Hannah Oliveira</v>
      </c>
      <c r="V75" s="4" t="str">
        <f ca="1">IFERROR(__xludf.DUMMYFUNCTION("""COMPUTED_VALUE"""),"Felipe Perdigão")</f>
        <v>Felipe Perdigão</v>
      </c>
      <c r="W75" s="4" t="str">
        <f ca="1">IFERROR(__xludf.DUMMYFUNCTION("""COMPUTED_VALUE"""),"Débora")</f>
        <v>Débora</v>
      </c>
      <c r="X75" s="4"/>
      <c r="Y75" s="4" t="str">
        <f ca="1">IFERROR(__xludf.DUMMYFUNCTION("""COMPUTED_VALUE"""),"SEI-260006/014593/2026")</f>
        <v>SEI-260006/014593/2026</v>
      </c>
      <c r="Z75" s="4" t="str">
        <f ca="1">IFERROR(__xludf.DUMMYFUNCTION("""COMPUTED_VALUE"""),"C-Em apuração")</f>
        <v>C-Em apuração</v>
      </c>
      <c r="AA75" s="4"/>
      <c r="AB75" s="4"/>
    </row>
    <row r="76" spans="1:28" x14ac:dyDescent="0.2">
      <c r="A76" s="4" t="str">
        <f t="shared" ca="1" si="0"/>
        <v>SEI-260006/030751/2026</v>
      </c>
      <c r="B76" s="4" t="str">
        <f t="shared" ca="1" si="1"/>
        <v>Investigativa</v>
      </c>
      <c r="C76" s="4" t="str">
        <f ca="1">IFERROR(__xludf.DUMMYFUNCTION("""COMPUTED_VALUE"""),"0813/2026")</f>
        <v>0813/2026</v>
      </c>
      <c r="D76" s="4" t="str">
        <f ca="1">IFERROR(__xludf.DUMMYFUNCTION("""COMPUTED_VALUE"""),"SEI-260006/030751/2026
Investigativa")</f>
        <v>SEI-260006/030751/2026
Investigativa</v>
      </c>
      <c r="E76" s="4"/>
      <c r="F76" s="4"/>
      <c r="G76" s="4"/>
      <c r="H76" s="4"/>
      <c r="I76" s="4"/>
      <c r="J76" s="4" t="str">
        <f ca="1">IFERROR(__xludf.DUMMYFUNCTION("""COMPUTED_VALUE"""),"PORTARIA Nº 813/2026 - INSTAURA Sindicância Investigativa para, no prazo de 30 dias, contados da data da publicação, apurar eventual irregularidade objeto do Processo nº SEI-260006/051055/2025, bem como os fatos conexos que emergirem no decorrer dos traba"&amp;"lhos, designando para procedê-la, como sindicante único RODRIGO MARCELINO DA C. BELO, matr. nº 35002-4. Processo nº SEI260006/051055/2025.")</f>
        <v>PORTARIA Nº 813/2026 - INSTAURA Sindicância Investigativa para, no prazo de 30 dias, contados da data da publicação, apurar eventual irregularidade objeto do Processo nº SEI-260006/051055/2025, bem como os fatos conexos que emergirem no decorrer dos trabalhos, designando para procedê-la, como sindicante único RODRIGO MARCELINO DA C. BELO, matr. nº 35002-4. Processo nº SEI260006/051055/2025.</v>
      </c>
      <c r="K76" s="4"/>
      <c r="L76" s="6">
        <f ca="1">IFERROR(__xludf.DUMMYFUNCTION("""COMPUTED_VALUE"""),46209)</f>
        <v>46209</v>
      </c>
      <c r="M76" s="6">
        <f ca="1">IFERROR(__xludf.DUMMYFUNCTION("""COMPUTED_VALUE"""),46211)</f>
        <v>46211</v>
      </c>
      <c r="N76" s="6">
        <f ca="1">IFERROR(__xludf.DUMMYFUNCTION("""COMPUTED_VALUE"""),46249)</f>
        <v>46249</v>
      </c>
      <c r="O76" s="6">
        <f ca="1">IFERROR(__xludf.DUMMYFUNCTION("""COMPUTED_VALUE"""),46250)</f>
        <v>46250</v>
      </c>
      <c r="P76" s="4">
        <f ca="1">IFERROR(__xludf.DUMMYFUNCTION("""COMPUTED_VALUE"""),698)</f>
        <v>698</v>
      </c>
      <c r="Q76" s="6">
        <f ca="1">IFERROR(__xludf.DUMMYFUNCTION("""COMPUTED_VALUE"""),46981)</f>
        <v>46981</v>
      </c>
      <c r="R76" s="4">
        <f ca="1">IFERROR(__xludf.DUMMYFUNCTION("""COMPUTED_VALUE"""),1793)</f>
        <v>1793</v>
      </c>
      <c r="S76" s="6">
        <f ca="1">IFERROR(__xludf.DUMMYFUNCTION("""COMPUTED_VALUE"""),48076)</f>
        <v>48076</v>
      </c>
      <c r="T76" s="4" t="str">
        <f ca="1">IFERROR(__xludf.DUMMYFUNCTION("""COMPUTED_VALUE"""),"Rodrigo Marcellino")</f>
        <v>Rodrigo Marcellino</v>
      </c>
      <c r="U76" s="4"/>
      <c r="V76" s="4"/>
      <c r="W76" s="4" t="str">
        <f ca="1">IFERROR(__xludf.DUMMYFUNCTION("""COMPUTED_VALUE"""),"Débora")</f>
        <v>Débora</v>
      </c>
      <c r="X76" s="4"/>
      <c r="Y76" s="4" t="str">
        <f ca="1">IFERROR(__xludf.DUMMYFUNCTION("""COMPUTED_VALUE"""),"SEI-260006/051055/2025")</f>
        <v>SEI-260006/051055/2025</v>
      </c>
      <c r="Z76" s="4" t="str">
        <f ca="1">IFERROR(__xludf.DUMMYFUNCTION("""COMPUTED_VALUE"""),"C-Em apuração")</f>
        <v>C-Em apuração</v>
      </c>
      <c r="AA76" s="4"/>
      <c r="AB76" s="4"/>
    </row>
    <row r="77" spans="1:28" x14ac:dyDescent="0.2">
      <c r="A77" s="4" t="str">
        <f t="shared" si="0"/>
        <v/>
      </c>
      <c r="B77" s="4" t="str">
        <f t="shared" si="1"/>
        <v/>
      </c>
      <c r="C77" s="4" t="str">
        <f ca="1">IFERROR(__xludf.DUMMYFUNCTION("""COMPUTED_VALUE"""),"0817/2026")</f>
        <v>0817/2026</v>
      </c>
      <c r="D77" s="4"/>
      <c r="E77" s="4"/>
      <c r="F77" s="4"/>
      <c r="G77" s="4"/>
      <c r="H77" s="4"/>
      <c r="I77" s="4"/>
      <c r="J77" s="4" t="str">
        <f ca="1">IFERROR(__xludf.DUMMYFUNCTION("""COMPUTED_VALUE"""),"PORTARIA Nº 817/2026 - INSTAURA Sindicância Contraditória para no prazo de 30 dias, contados da data da publicação, apurar eventual irregularidade objeto do Processo nº SEI-260006/047177/2024, bem como os fatos conexos que emergirem no decorrer dos trabal"&amp;"hos, designando para procedê-la, sob a presidência do primeiro, Comissão integrada por BIANCA FAERTES N. BARBOSA, matr. nº 36.194-9; CELSO LUIZ M. PIERONI, matr. nº 39.595-4; KAROLYNNE DE A. MARINS JOSÉ ROCHA, matr. nº 35.698-0. Processo nº SEI260006/0471"&amp;"77/2024.")</f>
        <v>PORTARIA Nº 817/2026 - INSTAURA Sindicância Contraditória para no prazo de 30 dias, contados da data da publicação, apurar eventual irregularidade objeto do Processo nº SEI-260006/047177/2024, bem como os fatos conexos que emergirem no decorrer dos trabalhos, designando para procedê-la, sob a presidência do primeiro, Comissão integrada por BIANCA FAERTES N. BARBOSA, matr. nº 36.194-9; CELSO LUIZ M. PIERONI, matr. nº 39.595-4; KAROLYNNE DE A. MARINS JOSÉ ROCHA, matr. nº 35.698-0. Processo nº SEI260006/047177/2024.</v>
      </c>
      <c r="K77" s="4"/>
      <c r="L77" s="6">
        <f ca="1">IFERROR(__xludf.DUMMYFUNCTION("""COMPUTED_VALUE"""),46212)</f>
        <v>46212</v>
      </c>
      <c r="M77" s="6">
        <f ca="1">IFERROR(__xludf.DUMMYFUNCTION("""COMPUTED_VALUE"""),46217)</f>
        <v>46217</v>
      </c>
      <c r="N77" s="6">
        <f ca="1">IFERROR(__xludf.DUMMYFUNCTION("""COMPUTED_VALUE"""),46255)</f>
        <v>46255</v>
      </c>
      <c r="O77" s="6">
        <f ca="1">IFERROR(__xludf.DUMMYFUNCTION("""COMPUTED_VALUE"""),46256)</f>
        <v>46256</v>
      </c>
      <c r="P77" s="4">
        <f ca="1">IFERROR(__xludf.DUMMYFUNCTION("""COMPUTED_VALUE"""),704)</f>
        <v>704</v>
      </c>
      <c r="Q77" s="6">
        <f ca="1">IFERROR(__xludf.DUMMYFUNCTION("""COMPUTED_VALUE"""),46987)</f>
        <v>46987</v>
      </c>
      <c r="R77" s="4">
        <f ca="1">IFERROR(__xludf.DUMMYFUNCTION("""COMPUTED_VALUE"""),1799)</f>
        <v>1799</v>
      </c>
      <c r="S77" s="6">
        <f ca="1">IFERROR(__xludf.DUMMYFUNCTION("""COMPUTED_VALUE"""),48082)</f>
        <v>48082</v>
      </c>
      <c r="T77" s="4" t="str">
        <f ca="1">IFERROR(__xludf.DUMMYFUNCTION("""COMPUTED_VALUE"""),"Bianca Faertes")</f>
        <v>Bianca Faertes</v>
      </c>
      <c r="U77" s="4" t="str">
        <f ca="1">IFERROR(__xludf.DUMMYFUNCTION("""COMPUTED_VALUE"""),"Celso Luiz Pieroni")</f>
        <v>Celso Luiz Pieroni</v>
      </c>
      <c r="V77" s="4" t="str">
        <f ca="1">IFERROR(__xludf.DUMMYFUNCTION("""COMPUTED_VALUE"""),"Karolynne Rocha")</f>
        <v>Karolynne Rocha</v>
      </c>
      <c r="W77" s="4"/>
      <c r="X77" s="4"/>
      <c r="Y77" s="4" t="str">
        <f ca="1">IFERROR(__xludf.DUMMYFUNCTION("""COMPUTED_VALUE"""),"SEI-260006/047177/2024")</f>
        <v>SEI-260006/047177/2024</v>
      </c>
      <c r="Z77" s="4"/>
      <c r="AA77" s="4"/>
      <c r="AB77" s="4"/>
    </row>
    <row r="78" spans="1:28" x14ac:dyDescent="0.2">
      <c r="A78" s="4" t="str">
        <f t="shared" si="0"/>
        <v/>
      </c>
      <c r="B78" s="4" t="str">
        <f t="shared" si="1"/>
        <v/>
      </c>
      <c r="C78" s="4" t="str">
        <f ca="1">IFERROR(__xludf.DUMMYFUNCTION("""COMPUTED_VALUE"""),"0820/2026")</f>
        <v>0820/2026</v>
      </c>
      <c r="D78" s="4"/>
      <c r="E78" s="4"/>
      <c r="F78" s="4"/>
      <c r="G78" s="4"/>
      <c r="H78" s="4"/>
      <c r="I78" s="4"/>
      <c r="J78" s="4" t="str">
        <f ca="1">IFERROR(__xludf.DUMMYFUNCTION("""COMPUTED_VALUE"""),"PORTARIA Nº 820/2026 - AVOCA o Processo nº SEI260006/038645/2024, a fim de que a apuração seja conduzida pela CINQA, designando para realização da sindicância GABRIEL MORAES DE OLIVEIRA, matr. nº 40.015-0. Processo nº SEI-260006/038645/2024.")</f>
        <v>PORTARIA Nº 820/2026 - AVOCA o Processo nº SEI260006/038645/2024, a fim de que a apuração seja conduzida pela CINQA, designando para realização da sindicância GABRIEL MORAES DE OLIVEIRA, matr. nº 40.015-0. Processo nº SEI-260006/038645/2024.</v>
      </c>
      <c r="K78" s="4"/>
      <c r="L78" s="6">
        <f ca="1">IFERROR(__xludf.DUMMYFUNCTION("""COMPUTED_VALUE"""),46212)</f>
        <v>46212</v>
      </c>
      <c r="M78" s="6">
        <f ca="1">IFERROR(__xludf.DUMMYFUNCTION("""COMPUTED_VALUE"""),46217)</f>
        <v>46217</v>
      </c>
      <c r="N78" s="6">
        <f ca="1">IFERROR(__xludf.DUMMYFUNCTION("""COMPUTED_VALUE"""),46255)</f>
        <v>46255</v>
      </c>
      <c r="O78" s="6">
        <f ca="1">IFERROR(__xludf.DUMMYFUNCTION("""COMPUTED_VALUE"""),46256)</f>
        <v>46256</v>
      </c>
      <c r="P78" s="4">
        <f ca="1">IFERROR(__xludf.DUMMYFUNCTION("""COMPUTED_VALUE"""),704)</f>
        <v>704</v>
      </c>
      <c r="Q78" s="6">
        <f ca="1">IFERROR(__xludf.DUMMYFUNCTION("""COMPUTED_VALUE"""),46987)</f>
        <v>46987</v>
      </c>
      <c r="R78" s="4">
        <f ca="1">IFERROR(__xludf.DUMMYFUNCTION("""COMPUTED_VALUE"""),1799)</f>
        <v>1799</v>
      </c>
      <c r="S78" s="6">
        <f ca="1">IFERROR(__xludf.DUMMYFUNCTION("""COMPUTED_VALUE"""),48082)</f>
        <v>48082</v>
      </c>
      <c r="T78" s="4" t="str">
        <f ca="1">IFERROR(__xludf.DUMMYFUNCTION("""COMPUTED_VALUE"""),"Gabriel Moraes")</f>
        <v>Gabriel Moraes</v>
      </c>
      <c r="U78" s="4"/>
      <c r="V78" s="4"/>
      <c r="W78" s="4"/>
      <c r="X78" s="4"/>
      <c r="Y78" s="4" t="str">
        <f ca="1">IFERROR(__xludf.DUMMYFUNCTION("""COMPUTED_VALUE""")," SEI-260006/038645/2024")</f>
        <v xml:space="preserve"> SEI-260006/038645/2024</v>
      </c>
      <c r="Z78" s="4"/>
      <c r="AA78" s="4"/>
      <c r="AB78" s="4"/>
    </row>
    <row r="79" spans="1:28" x14ac:dyDescent="0.2">
      <c r="A79" s="4" t="str">
        <f t="shared" ca="1" si="0"/>
        <v>SEI-260006/042557/2026</v>
      </c>
      <c r="B79" s="4" t="str">
        <f t="shared" ca="1" si="1"/>
        <v>investigativa</v>
      </c>
      <c r="C79" s="4" t="str">
        <f ca="1">IFERROR(__xludf.DUMMYFUNCTION("""COMPUTED_VALUE"""),"0901/2026")</f>
        <v>0901/2026</v>
      </c>
      <c r="D79" s="4" t="str">
        <f ca="1">IFERROR(__xludf.DUMMYFUNCTION("""COMPUTED_VALUE"""),"SEI-260006/042557/2026
investigativa")</f>
        <v>SEI-260006/042557/2026
investigativa</v>
      </c>
      <c r="E79" s="4"/>
      <c r="F79" s="4"/>
      <c r="G79" s="4"/>
      <c r="H79" s="4"/>
      <c r="I79" s="4"/>
      <c r="J79" s="4" t="str">
        <f ca="1">IFERROR(__xludf.DUMMYFUNCTION("""COMPUTED_VALUE"""),"PORTARIA Nº 901/2026 - INSTAURA Sindicância Investigativa para, no prazo de 30 dias, contados da data da publicação, apurar eventual irregularidade objeto do Processo nº SEI-260006/032262/2025, bem como os fatos conexos que emergirem no decorrer dos traba"&amp;"lhos, designando para procedê-la, sob a presidência da primeira, Comissão integrada pelos servidores: BIANCA FAERTES N. BARBOSA, matr. nº 36.194-9; KAROLYNNE DE A. MARINS JOSÉ ROCHA, matr. nº 35.698-0; CELSO LUIZ M. PIERONI, matr. nº 39.595-4. Processo nº"&amp;" SEI-260006/032262/2025.")</f>
        <v>PORTARIA Nº 901/2026 - INSTAURA Sindicância Investigativa para, no prazo de 30 dias, contados da data da publicação, apurar eventual irregularidade objeto do Processo nº SEI-260006/032262/2025, bem como os fatos conexos que emergirem no decorrer dos trabalhos, designando para procedê-la, sob a presidência da primeira, Comissão integrada pelos servidores: BIANCA FAERTES N. BARBOSA, matr. nº 36.194-9; KAROLYNNE DE A. MARINS JOSÉ ROCHA, matr. nº 35.698-0; CELSO LUIZ M. PIERONI, matr. nº 39.595-4. Processo nº SEI-260006/032262/2025.</v>
      </c>
      <c r="K79" s="4"/>
      <c r="L79" s="6">
        <f ca="1">IFERROR(__xludf.DUMMYFUNCTION("""COMPUTED_VALUE"""),46219)</f>
        <v>46219</v>
      </c>
      <c r="M79" s="6">
        <f ca="1">IFERROR(__xludf.DUMMYFUNCTION("""COMPUTED_VALUE"""),46225)</f>
        <v>46225</v>
      </c>
      <c r="N79" s="6">
        <f ca="1">IFERROR(__xludf.DUMMYFUNCTION("""COMPUTED_VALUE"""),46263)</f>
        <v>46263</v>
      </c>
      <c r="O79" s="6">
        <f ca="1">IFERROR(__xludf.DUMMYFUNCTION("""COMPUTED_VALUE"""),46264)</f>
        <v>46264</v>
      </c>
      <c r="P79" s="4">
        <f ca="1">IFERROR(__xludf.DUMMYFUNCTION("""COMPUTED_VALUE"""),712)</f>
        <v>712</v>
      </c>
      <c r="Q79" s="6">
        <f ca="1">IFERROR(__xludf.DUMMYFUNCTION("""COMPUTED_VALUE"""),46995)</f>
        <v>46995</v>
      </c>
      <c r="R79" s="4">
        <f ca="1">IFERROR(__xludf.DUMMYFUNCTION("""COMPUTED_VALUE"""),1807)</f>
        <v>1807</v>
      </c>
      <c r="S79" s="6">
        <f ca="1">IFERROR(__xludf.DUMMYFUNCTION("""COMPUTED_VALUE"""),48090)</f>
        <v>48090</v>
      </c>
      <c r="T79" s="4" t="str">
        <f ca="1">IFERROR(__xludf.DUMMYFUNCTION("""COMPUTED_VALUE"""),"Bianca Faertes")</f>
        <v>Bianca Faertes</v>
      </c>
      <c r="U79" s="4" t="str">
        <f ca="1">IFERROR(__xludf.DUMMYFUNCTION("""COMPUTED_VALUE"""),"Celso Luiz Pieroni")</f>
        <v>Celso Luiz Pieroni</v>
      </c>
      <c r="V79" s="4" t="str">
        <f ca="1">IFERROR(__xludf.DUMMYFUNCTION("""COMPUTED_VALUE"""),"Karolynne Rocha")</f>
        <v>Karolynne Rocha</v>
      </c>
      <c r="W79" s="4" t="str">
        <f ca="1">IFERROR(__xludf.DUMMYFUNCTION("""COMPUTED_VALUE"""),"Micheline")</f>
        <v>Micheline</v>
      </c>
      <c r="X79" s="4"/>
      <c r="Y79" s="4" t="str">
        <f ca="1">IFERROR(__xludf.DUMMYFUNCTION("""COMPUTED_VALUE"""),"SEI-260006/039570/2026 (cópia  do SEI-260006/032262/2025 com tratamento de dados feito pela ouvidoria)")</f>
        <v>SEI-260006/039570/2026 (cópia  do SEI-260006/032262/2025 com tratamento de dados feito pela ouvidoria)</v>
      </c>
      <c r="Z79" s="4" t="str">
        <f ca="1">IFERROR(__xludf.DUMMYFUNCTION("""COMPUTED_VALUE"""),"C-Aguardando instalação")</f>
        <v>C-Aguardando instalação</v>
      </c>
      <c r="AA79" s="4"/>
      <c r="AB79" s="4"/>
    </row>
    <row r="80" spans="1:28" x14ac:dyDescent="0.2">
      <c r="A80" s="4" t="str">
        <f t="shared" ca="1" si="0"/>
        <v>SEI-260006/024796/2025</v>
      </c>
      <c r="B80" s="4" t="str">
        <f t="shared" ca="1" si="1"/>
        <v>Contraditória</v>
      </c>
      <c r="C80" s="4" t="str">
        <f ca="1">IFERROR(__xludf.DUMMYFUNCTION("""COMPUTED_VALUE"""),"0950/2026")</f>
        <v>0950/2026</v>
      </c>
      <c r="D80" s="4" t="str">
        <f ca="1">IFERROR(__xludf.DUMMYFUNCTION("""COMPUTED_VALUE"""),"SEI-260006/024796/2025
Contraditória")</f>
        <v>SEI-260006/024796/2025
Contraditória</v>
      </c>
      <c r="E80" s="4" t="str">
        <f ca="1">IFERROR(__xludf.DUMMYFUNCTION("""COMPUTED_VALUE"""),"Julio Cesar Guimaraes Tedesco, matr. 38783-7")</f>
        <v>Julio Cesar Guimaraes Tedesco, matr. 38783-7</v>
      </c>
      <c r="F80" s="4" t="str">
        <f ca="1">IFERROR(__xludf.DUMMYFUNCTION("""COMPUTED_VALUE"""),"Assédio moral/sexual/discriminação.")</f>
        <v>Assédio moral/sexual/discriminação.</v>
      </c>
      <c r="G80" s="4" t="str">
        <f ca="1">IFERROR(__xludf.DUMMYFUNCTION("""COMPUTED_VALUE"""),"Assédio moral/sexual/discriminação.")</f>
        <v>Assédio moral/sexual/discriminação.</v>
      </c>
      <c r="H80" s="4" t="str">
        <f ca="1">IFERROR(__xludf.DUMMYFUNCTION("""COMPUTED_VALUE"""),"Assédio moral/sexual/discriminação, Denúncia")</f>
        <v>Assédio moral/sexual/discriminação, Denúncia</v>
      </c>
      <c r="I80" s="4" t="str">
        <f ca="1">IFERROR(__xludf.DUMMYFUNCTION("""COMPUTED_VALUE"""),"Sindicância/COMISTS avocada pela Reitoria. Sindicância Contraditória instaurada em face ao servidor Julio Cesar Guimaraes Tedesco, matr. 38783-7, para apuração de denúncia de que o servidor estaria deixando a servidora Úrsula Andrea Rohrer desconfortável,"&amp;" acusando-a de fazer boca de urna e encaminhando e-mails para todo o IPRJ acerca de seu trabalho.")</f>
        <v>Sindicância/COMISTS avocada pela Reitoria. Sindicância Contraditória instaurada em face ao servidor Julio Cesar Guimaraes Tedesco, matr. 38783-7, para apuração de denúncia de que o servidor estaria deixando a servidora Úrsula Andrea Rohrer desconfortável, acusando-a de fazer boca de urna e encaminhando e-mails para todo o IPRJ acerca de seu trabalho.</v>
      </c>
      <c r="J80" s="4" t="str">
        <f ca="1">IFERROR(__xludf.DUMMYFUNCTION("""COMPUTED_VALUE"""),"PORTARIA Nº 950/2026 - AVOCA o processo de sindicância nº SEI260006/024796/2025 e DESIGNA RODRIGO MARCELINO DA C. BELO, matr. nº 35.002-4, como sindicante único, em substituição aos servidores TELMA F. FARIAS TELES COSTA, matr. nº 35.523-0, LUIZ FREDERICO"&amp;" PASSERI, matr. nº 38.2432-2 e ROGÉRIO P. DE MELO MARÇAL, matr. nº 40.549-8. Processo nº SEI-260006/043094/2024.")</f>
        <v>PORTARIA Nº 950/2026 - AVOCA o processo de sindicância nº SEI260006/024796/2025 e DESIGNA RODRIGO MARCELINO DA C. BELO, matr. nº 35.002-4, como sindicante único, em substituição aos servidores TELMA F. FARIAS TELES COSTA, matr. nº 35.523-0, LUIZ FREDERICO PASSERI, matr. nº 38.2432-2 e ROGÉRIO P. DE MELO MARÇAL, matr. nº 40.549-8. Processo nº SEI-260006/043094/2024.</v>
      </c>
      <c r="K80" s="4" t="str">
        <f ca="1">IFERROR(__xludf.DUMMYFUNCTION("""COMPUTED_VALUE"""),"Não")</f>
        <v>Não</v>
      </c>
      <c r="L80" s="8">
        <f ca="1">IFERROR(__xludf.DUMMYFUNCTION("""COMPUTED_VALUE"""),46239)</f>
        <v>46239</v>
      </c>
      <c r="M80" s="6">
        <f ca="1">IFERROR(__xludf.DUMMYFUNCTION("""COMPUTED_VALUE"""),46241)</f>
        <v>46241</v>
      </c>
      <c r="N80" s="6">
        <f ca="1">IFERROR(__xludf.DUMMYFUNCTION("""COMPUTED_VALUE"""),46279)</f>
        <v>46279</v>
      </c>
      <c r="O80" s="6">
        <f ca="1">IFERROR(__xludf.DUMMYFUNCTION("""COMPUTED_VALUE"""),46280)</f>
        <v>46280</v>
      </c>
      <c r="P80" s="4">
        <f ca="1">IFERROR(__xludf.DUMMYFUNCTION("""COMPUTED_VALUE"""),728)</f>
        <v>728</v>
      </c>
      <c r="Q80" s="6">
        <f ca="1">IFERROR(__xludf.DUMMYFUNCTION("""COMPUTED_VALUE"""),47011)</f>
        <v>47011</v>
      </c>
      <c r="R80" s="4">
        <f ca="1">IFERROR(__xludf.DUMMYFUNCTION("""COMPUTED_VALUE"""),1823)</f>
        <v>1823</v>
      </c>
      <c r="S80" s="6">
        <f ca="1">IFERROR(__xludf.DUMMYFUNCTION("""COMPUTED_VALUE"""),48106)</f>
        <v>48106</v>
      </c>
      <c r="T80" s="4" t="str">
        <f ca="1">IFERROR(__xludf.DUMMYFUNCTION("""COMPUTED_VALUE"""),"Rodrigo Marcellino")</f>
        <v>Rodrigo Marcellino</v>
      </c>
      <c r="U80" s="4"/>
      <c r="V80" s="4"/>
      <c r="W80" s="4" t="str">
        <f ca="1">IFERROR(__xludf.DUMMYFUNCTION("""COMPUTED_VALUE"""),"Patrícia")</f>
        <v>Patrícia</v>
      </c>
      <c r="X80" s="4" t="str">
        <f ca="1">IFERROR(__xludf.DUMMYFUNCTION("""COMPUTED_VALUE"""),"Não")</f>
        <v>Não</v>
      </c>
      <c r="Y80" s="4" t="str">
        <f ca="1">IFERROR(__xludf.DUMMYFUNCTION("""COMPUTED_VALUE"""),"SEI-260006/043094/2024")</f>
        <v>SEI-260006/043094/2024</v>
      </c>
      <c r="Z80" s="4" t="str">
        <f ca="1">IFERROR(__xludf.DUMMYFUNCTION("""COMPUTED_VALUE"""),"C-Em apuração")</f>
        <v>C-Em apuração</v>
      </c>
      <c r="AA80" s="4"/>
      <c r="AB80" s="4"/>
    </row>
    <row r="81" spans="1:28" x14ac:dyDescent="0.2">
      <c r="A81" s="4" t="str">
        <f t="shared" ca="1" si="0"/>
        <v>SEI-260006/017475/2025</v>
      </c>
      <c r="B81" s="4" t="str">
        <f t="shared" ca="1" si="1"/>
        <v>Investigativa</v>
      </c>
      <c r="C81" s="4" t="str">
        <f ca="1">IFERROR(__xludf.DUMMYFUNCTION("""COMPUTED_VALUE"""),"0990/2026")</f>
        <v>0990/2026</v>
      </c>
      <c r="D81" s="4" t="str">
        <f ca="1">IFERROR(__xludf.DUMMYFUNCTION("""COMPUTED_VALUE"""),"SEI-260006/017475/2025
Investigativa")</f>
        <v>SEI-260006/017475/2025
Investigativa</v>
      </c>
      <c r="E81" s="4" t="str">
        <f ca="1">IFERROR(__xludf.DUMMYFUNCTION("""COMPUTED_VALUE"""),"PPC")</f>
        <v>PPC</v>
      </c>
      <c r="F81" s="4" t="str">
        <f ca="1">IFERROR(__xludf.DUMMYFUNCTION("""COMPUTED_VALUE"""),"Assédio moral/sexual/discriminação.")</f>
        <v>Assédio moral/sexual/discriminação.</v>
      </c>
      <c r="G81" s="4" t="str">
        <f ca="1">IFERROR(__xludf.DUMMYFUNCTION("""COMPUTED_VALUE"""),"Assédio moral/sexual/discriminação.")</f>
        <v>Assédio moral/sexual/discriminação.</v>
      </c>
      <c r="H81" s="4" t="str">
        <f ca="1">IFERROR(__xludf.DUMMYFUNCTION("""COMPUTED_VALUE"""),"Assédio moral/sexual/discriminação, Denúncia")</f>
        <v>Assédio moral/sexual/discriminação, Denúncia</v>
      </c>
      <c r="I81" s="4" t="str">
        <f ca="1">IFERROR(__xludf.DUMMYFUNCTION("""COMPUTED_VALUE"""),"Sindicância/COMISTS avocada pela Reitoria. Sindicância Investigativa instaurada para apurar suposto assédio moral imputado à servidora Maria José da Silva, em detrimento da servidora Maria de Lourdes Alves e de outros funcionários, além de condutas que po"&amp;"deriam ser configuradas como infrações disciplinares, em razão de ausência de urbanidade e de boa conduta.")</f>
        <v>Sindicância/COMISTS avocada pela Reitoria. Sindicância Investigativa instaurada para apurar suposto assédio moral imputado à servidora Maria José da Silva, em detrimento da servidora Maria de Lourdes Alves e de outros funcionários, além de condutas que poderiam ser configuradas como infrações disciplinares, em razão de ausência de urbanidade e de boa conduta.</v>
      </c>
      <c r="J81" s="4" t="str">
        <f ca="1">IFERROR(__xludf.DUMMYFUNCTION("""COMPUTED_VALUE"""),"PORTARIA Nº 990/2026 - AVOCA o processo de sindicância SEI260006/017475/2025 e DESIGNA Karolynne de A. Marins José Rocha, matr. 35.698-0, como sindicante único, em substituição aos servidores Tarsila de A. Ribeiro Lima, matr. nº 36.689-8, Luiz Frederico P"&amp;"asseri, matr. nº 38.2432-2 e Aline C. Ferreira, matr. 41.413-6. Processo nº SEI-260006/058971/2024.")</f>
        <v>PORTARIA Nº 990/2026 - AVOCA o processo de sindicância SEI260006/017475/2025 e DESIGNA Karolynne de A. Marins José Rocha, matr. 35.698-0, como sindicante único, em substituição aos servidores Tarsila de A. Ribeiro Lima, matr. nº 36.689-8, Luiz Frederico Passeri, matr. nº 38.2432-2 e Aline C. Ferreira, matr. 41.413-6. Processo nº SEI-260006/058971/2024.</v>
      </c>
      <c r="K81" s="4" t="str">
        <f ca="1">IFERROR(__xludf.DUMMYFUNCTION("""COMPUTED_VALUE"""),"Não")</f>
        <v>Não</v>
      </c>
      <c r="L81" s="6">
        <f ca="1">IFERROR(__xludf.DUMMYFUNCTION("""COMPUTED_VALUE"""),46245)</f>
        <v>46245</v>
      </c>
      <c r="M81" s="6">
        <f ca="1">IFERROR(__xludf.DUMMYFUNCTION("""COMPUTED_VALUE"""),46247)</f>
        <v>46247</v>
      </c>
      <c r="N81" s="6">
        <f ca="1">IFERROR(__xludf.DUMMYFUNCTION("""COMPUTED_VALUE"""),46285)</f>
        <v>46285</v>
      </c>
      <c r="O81" s="6">
        <f ca="1">IFERROR(__xludf.DUMMYFUNCTION("""COMPUTED_VALUE"""),46286)</f>
        <v>46286</v>
      </c>
      <c r="P81" s="4">
        <f ca="1">IFERROR(__xludf.DUMMYFUNCTION("""COMPUTED_VALUE"""),734)</f>
        <v>734</v>
      </c>
      <c r="Q81" s="6">
        <f ca="1">IFERROR(__xludf.DUMMYFUNCTION("""COMPUTED_VALUE"""),47017)</f>
        <v>47017</v>
      </c>
      <c r="R81" s="4">
        <f ca="1">IFERROR(__xludf.DUMMYFUNCTION("""COMPUTED_VALUE"""),1829)</f>
        <v>1829</v>
      </c>
      <c r="S81" s="6">
        <f ca="1">IFERROR(__xludf.DUMMYFUNCTION("""COMPUTED_VALUE"""),48112)</f>
        <v>48112</v>
      </c>
      <c r="T81" s="4" t="str">
        <f ca="1">IFERROR(__xludf.DUMMYFUNCTION("""COMPUTED_VALUE"""),"Karolynne Rocha")</f>
        <v>Karolynne Rocha</v>
      </c>
      <c r="U81" s="4"/>
      <c r="V81" s="4"/>
      <c r="W81" s="4" t="str">
        <f ca="1">IFERROR(__xludf.DUMMYFUNCTION("""COMPUTED_VALUE"""),"Patrícia")</f>
        <v>Patrícia</v>
      </c>
      <c r="X81" s="4" t="str">
        <f ca="1">IFERROR(__xludf.DUMMYFUNCTION("""COMPUTED_VALUE"""),"Não")</f>
        <v>Não</v>
      </c>
      <c r="Y81" s="4" t="str">
        <f ca="1">IFERROR(__xludf.DUMMYFUNCTION("""COMPUTED_VALUE"""),"SEI-260006/058971/2024")</f>
        <v>SEI-260006/058971/2024</v>
      </c>
      <c r="Z81" s="4" t="str">
        <f ca="1">IFERROR(__xludf.DUMMYFUNCTION("""COMPUTED_VALUE"""),"C-Em apuração")</f>
        <v>C-Em apuração</v>
      </c>
      <c r="AA81" s="4"/>
      <c r="AB81" s="4"/>
    </row>
    <row r="82" spans="1:28" x14ac:dyDescent="0.2">
      <c r="A82" s="4" t="str">
        <f t="shared" ca="1" si="0"/>
        <v>SEI-260006/037860/2026</v>
      </c>
      <c r="B82" s="4" t="str">
        <f t="shared" ca="1" si="1"/>
        <v>Investigativa</v>
      </c>
      <c r="C82" s="4" t="str">
        <f ca="1">IFERROR(__xludf.DUMMYFUNCTION("""COMPUTED_VALUE"""),"1010/2026")</f>
        <v>1010/2026</v>
      </c>
      <c r="D82" s="4" t="str">
        <f ca="1">IFERROR(__xludf.DUMMYFUNCTION("""COMPUTED_VALUE"""),"SEI-260006/037860/2026
Investigativa")</f>
        <v>SEI-260006/037860/2026
Investigativa</v>
      </c>
      <c r="E82" s="4"/>
      <c r="F82" s="4"/>
      <c r="G82" s="4"/>
      <c r="H82" s="4"/>
      <c r="I82" s="4"/>
      <c r="J82" s="4" t="str">
        <f ca="1">IFERROR(__xludf.DUMMYFUNCTION("""COMPUTED_VALUE"""),"PORTARIA Nº 1010/2026 - INSTAURA Sindicância Investigativa para, no prazo de 30 dias, contados da data da publicação, apurar eventual irregularidade objeto do Processo nº SEI-260006/029150/2026, bem como os fatos conexos que emergirem no decorrer dos trab"&amp;"alhos, designando para procedê-la o servidor RODRIGO MARCELINO DA C. BELO, matr. nº 35002-4, como sindicante único. Processo nº SEI260006/029150/2026.")</f>
        <v>PORTARIA Nº 1010/2026 - INSTAURA Sindicância Investigativa para, no prazo de 30 dias, contados da data da publicação, apurar eventual irregularidade objeto do Processo nº SEI-260006/029150/2026, bem como os fatos conexos que emergirem no decorrer dos trabalhos, designando para procedê-la o servidor RODRIGO MARCELINO DA C. BELO, matr. nº 35002-4, como sindicante único. Processo nº SEI260006/029150/2026.</v>
      </c>
      <c r="K82" s="4"/>
      <c r="L82" s="6">
        <f ca="1">IFERROR(__xludf.DUMMYFUNCTION("""COMPUTED_VALUE"""),46247)</f>
        <v>46247</v>
      </c>
      <c r="M82" s="6">
        <f ca="1">IFERROR(__xludf.DUMMYFUNCTION("""COMPUTED_VALUE"""),46251)</f>
        <v>46251</v>
      </c>
      <c r="N82" s="6">
        <f ca="1">IFERROR(__xludf.DUMMYFUNCTION("""COMPUTED_VALUE"""),46289)</f>
        <v>46289</v>
      </c>
      <c r="O82" s="6">
        <f ca="1">IFERROR(__xludf.DUMMYFUNCTION("""COMPUTED_VALUE"""),46290)</f>
        <v>46290</v>
      </c>
      <c r="P82" s="4">
        <f ca="1">IFERROR(__xludf.DUMMYFUNCTION("""COMPUTED_VALUE"""),738)</f>
        <v>738</v>
      </c>
      <c r="Q82" s="6">
        <f ca="1">IFERROR(__xludf.DUMMYFUNCTION("""COMPUTED_VALUE"""),47021)</f>
        <v>47021</v>
      </c>
      <c r="R82" s="4">
        <f ca="1">IFERROR(__xludf.DUMMYFUNCTION("""COMPUTED_VALUE"""),1833)</f>
        <v>1833</v>
      </c>
      <c r="S82" s="6">
        <f ca="1">IFERROR(__xludf.DUMMYFUNCTION("""COMPUTED_VALUE"""),48116)</f>
        <v>48116</v>
      </c>
      <c r="T82" s="4" t="str">
        <f ca="1">IFERROR(__xludf.DUMMYFUNCTION("""COMPUTED_VALUE"""),"Rodrigo Marcellino")</f>
        <v>Rodrigo Marcellino</v>
      </c>
      <c r="U82" s="4"/>
      <c r="V82" s="4"/>
      <c r="W82" s="4" t="str">
        <f ca="1">IFERROR(__xludf.DUMMYFUNCTION("""COMPUTED_VALUE"""),"Débora")</f>
        <v>Débora</v>
      </c>
      <c r="X82" s="4"/>
      <c r="Y82" s="4" t="str">
        <f ca="1">IFERROR(__xludf.DUMMYFUNCTION("""COMPUTED_VALUE"""),"SEI-260006/029150/2026")</f>
        <v>SEI-260006/029150/2026</v>
      </c>
      <c r="Z82" s="4" t="str">
        <f ca="1">IFERROR(__xludf.DUMMYFUNCTION("""COMPUTED_VALUE"""),"C-Aguardando instalação")</f>
        <v>C-Aguardando instalação</v>
      </c>
      <c r="AA82" s="4"/>
      <c r="AB82" s="4"/>
    </row>
    <row r="83" spans="1:28" x14ac:dyDescent="0.2">
      <c r="A83" s="4" t="str">
        <f t="shared" ca="1" si="0"/>
        <v>SEI-260006/037867/2026</v>
      </c>
      <c r="B83" s="4" t="str">
        <f t="shared" ca="1" si="1"/>
        <v>Investigativa</v>
      </c>
      <c r="C83" s="4" t="str">
        <f ca="1">IFERROR(__xludf.DUMMYFUNCTION("""COMPUTED_VALUE"""),"1011/2026")</f>
        <v>1011/2026</v>
      </c>
      <c r="D83" s="4" t="str">
        <f ca="1">IFERROR(__xludf.DUMMYFUNCTION("""COMPUTED_VALUE"""),"SEI-260006/037867/2026
Investigativa")</f>
        <v>SEI-260006/037867/2026
Investigativa</v>
      </c>
      <c r="E83" s="4"/>
      <c r="F83" s="4"/>
      <c r="G83" s="4"/>
      <c r="H83" s="4"/>
      <c r="I83" s="4"/>
      <c r="J83" s="4" t="str">
        <f ca="1">IFERROR(__xludf.DUMMYFUNCTION("""COMPUTED_VALUE"""),"PORTARIA Nº 1011/2026 - INSTAURA Sindicância Investigativa para, no prazo de 30 dias, contados da data da publicação, apurar eventual irregularidade objeto do Processo nº SEI-260006/031884/2026, bem como os fatos conexos que emergirem no decorrer dos trab"&amp;"alhos, designando para procedê-la o servidor RODRIGO MARCELINO DA C. BELO, matr. nº 35002-4, como sindicante único. Processo nº SEI-260006/031884/2026.")</f>
        <v>PORTARIA Nº 1011/2026 - INSTAURA Sindicância Investigativa para, no prazo de 30 dias, contados da data da publicação, apurar eventual irregularidade objeto do Processo nº SEI-260006/031884/2026, bem como os fatos conexos que emergirem no decorrer dos trabalhos, designando para procedê-la o servidor RODRIGO MARCELINO DA C. BELO, matr. nº 35002-4, como sindicante único. Processo nº SEI-260006/031884/2026.</v>
      </c>
      <c r="K83" s="4"/>
      <c r="L83" s="6">
        <f ca="1">IFERROR(__xludf.DUMMYFUNCTION("""COMPUTED_VALUE"""),46247)</f>
        <v>46247</v>
      </c>
      <c r="M83" s="6">
        <f ca="1">IFERROR(__xludf.DUMMYFUNCTION("""COMPUTED_VALUE"""),46251)</f>
        <v>46251</v>
      </c>
      <c r="N83" s="6">
        <f ca="1">IFERROR(__xludf.DUMMYFUNCTION("""COMPUTED_VALUE"""),46289)</f>
        <v>46289</v>
      </c>
      <c r="O83" s="6">
        <f ca="1">IFERROR(__xludf.DUMMYFUNCTION("""COMPUTED_VALUE"""),46290)</f>
        <v>46290</v>
      </c>
      <c r="P83" s="4">
        <f ca="1">IFERROR(__xludf.DUMMYFUNCTION("""COMPUTED_VALUE"""),738)</f>
        <v>738</v>
      </c>
      <c r="Q83" s="6">
        <f ca="1">IFERROR(__xludf.DUMMYFUNCTION("""COMPUTED_VALUE"""),47021)</f>
        <v>47021</v>
      </c>
      <c r="R83" s="4">
        <f ca="1">IFERROR(__xludf.DUMMYFUNCTION("""COMPUTED_VALUE"""),1833)</f>
        <v>1833</v>
      </c>
      <c r="S83" s="6">
        <f ca="1">IFERROR(__xludf.DUMMYFUNCTION("""COMPUTED_VALUE"""),48116)</f>
        <v>48116</v>
      </c>
      <c r="T83" s="4" t="str">
        <f ca="1">IFERROR(__xludf.DUMMYFUNCTION("""COMPUTED_VALUE"""),"Rodrigo Marcellino")</f>
        <v>Rodrigo Marcellino</v>
      </c>
      <c r="U83" s="4"/>
      <c r="V83" s="4"/>
      <c r="W83" s="4" t="str">
        <f ca="1">IFERROR(__xludf.DUMMYFUNCTION("""COMPUTED_VALUE"""),"Micheline")</f>
        <v>Micheline</v>
      </c>
      <c r="X83" s="4"/>
      <c r="Y83" s="4" t="str">
        <f ca="1">IFERROR(__xludf.DUMMYFUNCTION("""COMPUTED_VALUE"""),"SEI-260006/031884/2026")</f>
        <v>SEI-260006/031884/2026</v>
      </c>
      <c r="Z83" s="4" t="str">
        <f ca="1">IFERROR(__xludf.DUMMYFUNCTION("""COMPUTED_VALUE"""),"C-Em apuração")</f>
        <v>C-Em apuração</v>
      </c>
      <c r="AA83" s="4"/>
      <c r="AB83" s="4"/>
    </row>
    <row r="84" spans="1:28" x14ac:dyDescent="0.2">
      <c r="A84" s="4" t="str">
        <f t="shared" si="0"/>
        <v/>
      </c>
      <c r="B84" s="4" t="str">
        <f t="shared" si="1"/>
        <v/>
      </c>
      <c r="C84" s="4"/>
      <c r="D84" s="4"/>
      <c r="E84" s="4"/>
      <c r="F84" s="4"/>
      <c r="G84" s="4"/>
      <c r="H84" s="4"/>
      <c r="I84" s="4" t="str">
        <f ca="1">IFERROR(__xludf.DUMMYFUNCTION("""COMPUTED_VALUE"""),"PROCESSO Nº SEI-260006/016850/2025 - ACOLHO o parecer da PGUERJ e determino a instauração de Sindicância de caráter contraditório, na forma do despacho 135281706.")</f>
        <v>PROCESSO Nº SEI-260006/016850/2025 - ACOLHO o parecer da PGUERJ e determino a instauração de Sindicância de caráter contraditório, na forma do despacho 135281706.</v>
      </c>
      <c r="J84" s="4"/>
      <c r="K84" s="4"/>
      <c r="L84" s="4"/>
      <c r="M84" s="4"/>
      <c r="N84" s="6">
        <f ca="1">IFERROR(__xludf.DUMMYFUNCTION("""COMPUTED_VALUE"""),38)</f>
        <v>38</v>
      </c>
      <c r="O84" s="6">
        <f ca="1">IFERROR(__xludf.DUMMYFUNCTION("""COMPUTED_VALUE"""),39)</f>
        <v>39</v>
      </c>
      <c r="P84" s="4" t="str">
        <f ca="1">IFERROR(__xludf.DUMMYFUNCTION("""COMPUTED_VALUE"""),"")</f>
        <v/>
      </c>
      <c r="Q84" s="6">
        <f ca="1">IFERROR(__xludf.DUMMYFUNCTION("""COMPUTED_VALUE"""),769)</f>
        <v>769</v>
      </c>
      <c r="R84" s="4" t="str">
        <f ca="1">IFERROR(__xludf.DUMMYFUNCTION("""COMPUTED_VALUE"""),"")</f>
        <v/>
      </c>
      <c r="S84" s="6">
        <f ca="1">IFERROR(__xludf.DUMMYFUNCTION("""COMPUTED_VALUE"""),1865)</f>
        <v>1865</v>
      </c>
      <c r="T84" s="4"/>
      <c r="U84" s="4"/>
      <c r="V84" s="4"/>
      <c r="W84" s="4"/>
      <c r="X84" s="4"/>
      <c r="Y84" s="4" t="str">
        <f ca="1">IFERROR(__xludf.DUMMYFUNCTION("""COMPUTED_VALUE"""),"SEI-260006/016850/2025")</f>
        <v>SEI-260006/016850/2025</v>
      </c>
      <c r="Z84" s="4"/>
      <c r="AA84" s="4"/>
      <c r="AB84" s="4"/>
    </row>
    <row r="85" spans="1:28" x14ac:dyDescent="0.2">
      <c r="A85" s="4" t="str">
        <f t="shared" si="0"/>
        <v/>
      </c>
      <c r="B85" s="4" t="str">
        <f t="shared" si="1"/>
        <v/>
      </c>
      <c r="C85" s="4"/>
      <c r="D85" s="4"/>
      <c r="E85" s="4" t="str">
        <f ca="1">IFERROR(__xludf.DUMMYFUNCTION("""COMPUTED_VALUE"""),"Waléria Silva de Medeiros, matrícula nº 38065-9")</f>
        <v>Waléria Silva de Medeiros, matrícula nº 38065-9</v>
      </c>
      <c r="F85" s="4"/>
      <c r="G85" s="4"/>
      <c r="H85" s="4"/>
      <c r="I85" s="4" t="str">
        <f ca="1">IFERROR(__xludf.DUMMYFUNCTION("""COMPUTED_VALUE"""),"para apuração e individualização da conduta relativa à cessão de senha de acesso ao sistema SEI, (referente a apuração de responsabilidade funcional em relação a execução do objeto (Blockchain ) sem o prévio amparo contratual, )")</f>
        <v>para apuração e individualização da conduta relativa à cessão de senha de acesso ao sistema SEI, (referente a apuração de responsabilidade funcional em relação a execução do objeto (Blockchain ) sem o prévio amparo contratual, )</v>
      </c>
      <c r="J85" s="4"/>
      <c r="K85" s="4"/>
      <c r="L85" s="4"/>
      <c r="M85" s="4"/>
      <c r="N85" s="6">
        <f ca="1">IFERROR(__xludf.DUMMYFUNCTION("""COMPUTED_VALUE"""),38)</f>
        <v>38</v>
      </c>
      <c r="O85" s="6">
        <f ca="1">IFERROR(__xludf.DUMMYFUNCTION("""COMPUTED_VALUE"""),39)</f>
        <v>39</v>
      </c>
      <c r="P85" s="4" t="str">
        <f ca="1">IFERROR(__xludf.DUMMYFUNCTION("""COMPUTED_VALUE"""),"")</f>
        <v/>
      </c>
      <c r="Q85" s="6">
        <f ca="1">IFERROR(__xludf.DUMMYFUNCTION("""COMPUTED_VALUE"""),769)</f>
        <v>769</v>
      </c>
      <c r="R85" s="4" t="str">
        <f ca="1">IFERROR(__xludf.DUMMYFUNCTION("""COMPUTED_VALUE"""),"")</f>
        <v/>
      </c>
      <c r="S85" s="6">
        <f ca="1">IFERROR(__xludf.DUMMYFUNCTION("""COMPUTED_VALUE"""),1865)</f>
        <v>1865</v>
      </c>
      <c r="T85" s="4"/>
      <c r="U85" s="4"/>
      <c r="V85" s="4"/>
      <c r="W85" s="4"/>
      <c r="X85" s="4"/>
      <c r="Y85" s="4" t="str">
        <f ca="1">IFERROR(__xludf.DUMMYFUNCTION("""COMPUTED_VALUE"""),"SEI-260006/056343/2024")</f>
        <v>SEI-260006/056343/2024</v>
      </c>
      <c r="Z85" s="4"/>
      <c r="AA85" s="4"/>
      <c r="AB85" s="4"/>
    </row>
    <row r="86" spans="1:28" x14ac:dyDescent="0.2">
      <c r="A86" s="4" t="str">
        <f t="shared" si="0"/>
        <v/>
      </c>
      <c r="B86" s="4" t="str">
        <f t="shared" si="1"/>
        <v/>
      </c>
      <c r="C86" s="4"/>
      <c r="D86" s="4"/>
      <c r="E86" s="4" t="str">
        <f ca="1">IFERROR(__xludf.DUMMYFUNCTION("""COMPUTED_VALUE"""),"Fátima Eliana dos Reis Alves, matrícula nº 34.340-0,")</f>
        <v>Fátima Eliana dos Reis Alves, matrícula nº 34.340-0,</v>
      </c>
      <c r="F86" s="4"/>
      <c r="G86" s="4"/>
      <c r="H86" s="4"/>
      <c r="I86" s="4" t="str">
        <f ca="1">IFERROR(__xludf.DUMMYFUNCTION("""COMPUTED_VALUE"""),"apurar a responsabilidade funcional por falha procedimental e negligência técnica na conferência dos atos de liquidação; com a ressalva de que a instrução considere o registro de que a servidora atuou ""de ordem"" de instância superior, o que, a depender "&amp;"da prova, poderá configurar causa de exclusão ou atenuação da responsabilidade;  (referente a apuração de responsabilidade funcional em relação a execução do objeto (Blockchain ) sem o prévio amparo contratual, )")</f>
        <v>apurar a responsabilidade funcional por falha procedimental e negligência técnica na conferência dos atos de liquidação; com a ressalva de que a instrução considere o registro de que a servidora atuou "de ordem" de instância superior, o que, a depender da prova, poderá configurar causa de exclusão ou atenuação da responsabilidade;  (referente a apuração de responsabilidade funcional em relação a execução do objeto (Blockchain ) sem o prévio amparo contratual, )</v>
      </c>
      <c r="J86" s="4"/>
      <c r="K86" s="4"/>
      <c r="L86" s="4"/>
      <c r="M86" s="4"/>
      <c r="N86" s="6">
        <f ca="1">IFERROR(__xludf.DUMMYFUNCTION("""COMPUTED_VALUE"""),38)</f>
        <v>38</v>
      </c>
      <c r="O86" s="6">
        <f ca="1">IFERROR(__xludf.DUMMYFUNCTION("""COMPUTED_VALUE"""),39)</f>
        <v>39</v>
      </c>
      <c r="P86" s="4" t="str">
        <f ca="1">IFERROR(__xludf.DUMMYFUNCTION("""COMPUTED_VALUE"""),"")</f>
        <v/>
      </c>
      <c r="Q86" s="6">
        <f ca="1">IFERROR(__xludf.DUMMYFUNCTION("""COMPUTED_VALUE"""),769)</f>
        <v>769</v>
      </c>
      <c r="R86" s="4" t="str">
        <f ca="1">IFERROR(__xludf.DUMMYFUNCTION("""COMPUTED_VALUE"""),"")</f>
        <v/>
      </c>
      <c r="S86" s="6">
        <f ca="1">IFERROR(__xludf.DUMMYFUNCTION("""COMPUTED_VALUE"""),1865)</f>
        <v>1865</v>
      </c>
      <c r="T86" s="4"/>
      <c r="U86" s="4"/>
      <c r="V86" s="4"/>
      <c r="W86" s="4"/>
      <c r="X86" s="4"/>
      <c r="Y86" s="4" t="str">
        <f ca="1">IFERROR(__xludf.DUMMYFUNCTION("""COMPUTED_VALUE"""),"SEI-260006/056343/2024")</f>
        <v>SEI-260006/056343/2024</v>
      </c>
      <c r="Z86" s="4"/>
      <c r="AA86" s="4"/>
      <c r="AB86" s="4"/>
    </row>
    <row r="87" spans="1:28" x14ac:dyDescent="0.2">
      <c r="A87" s="4" t="str">
        <f t="shared" si="0"/>
        <v/>
      </c>
      <c r="B87" s="4" t="str">
        <f t="shared" si="1"/>
        <v/>
      </c>
      <c r="C87" s="4"/>
      <c r="D87" s="4"/>
      <c r="E87" s="4"/>
      <c r="F87" s="4"/>
      <c r="G87" s="4"/>
      <c r="H87" s="4"/>
      <c r="I87" s="4"/>
      <c r="J87" s="4"/>
      <c r="K87" s="4"/>
      <c r="L87" s="4"/>
      <c r="M87" s="4"/>
      <c r="N87" s="6">
        <f ca="1">IFERROR(__xludf.DUMMYFUNCTION("""COMPUTED_VALUE"""),38)</f>
        <v>38</v>
      </c>
      <c r="O87" s="6">
        <f ca="1">IFERROR(__xludf.DUMMYFUNCTION("""COMPUTED_VALUE"""),39)</f>
        <v>39</v>
      </c>
      <c r="P87" s="4" t="str">
        <f ca="1">IFERROR(__xludf.DUMMYFUNCTION("""COMPUTED_VALUE"""),"")</f>
        <v/>
      </c>
      <c r="Q87" s="6">
        <f ca="1">IFERROR(__xludf.DUMMYFUNCTION("""COMPUTED_VALUE"""),769)</f>
        <v>769</v>
      </c>
      <c r="R87" s="4" t="str">
        <f ca="1">IFERROR(__xludf.DUMMYFUNCTION("""COMPUTED_VALUE"""),"")</f>
        <v/>
      </c>
      <c r="S87" s="6">
        <f ca="1">IFERROR(__xludf.DUMMYFUNCTION("""COMPUTED_VALUE"""),1865)</f>
        <v>1865</v>
      </c>
      <c r="T87" s="4"/>
      <c r="U87" s="4"/>
      <c r="V87" s="4"/>
      <c r="W87" s="4"/>
      <c r="X87" s="4"/>
      <c r="Y87" s="4"/>
      <c r="Z87" s="4"/>
      <c r="AA87" s="4"/>
      <c r="AB87" s="4"/>
    </row>
    <row r="88" spans="1:28" x14ac:dyDescent="0.2">
      <c r="A88" s="4" t="str">
        <f t="shared" si="0"/>
        <v/>
      </c>
      <c r="B88" s="4" t="str">
        <f t="shared" si="1"/>
        <v/>
      </c>
      <c r="C88" s="4"/>
      <c r="D88" s="4"/>
      <c r="E88" s="4"/>
      <c r="F88" s="4"/>
      <c r="G88" s="4"/>
      <c r="H88" s="4"/>
      <c r="I88" s="4"/>
      <c r="J88" s="4"/>
      <c r="K88" s="4"/>
      <c r="L88" s="4"/>
      <c r="M88" s="4"/>
      <c r="N88" s="6">
        <f ca="1">IFERROR(__xludf.DUMMYFUNCTION("""COMPUTED_VALUE"""),38)</f>
        <v>38</v>
      </c>
      <c r="O88" s="6">
        <f ca="1">IFERROR(__xludf.DUMMYFUNCTION("""COMPUTED_VALUE"""),39)</f>
        <v>39</v>
      </c>
      <c r="P88" s="4" t="str">
        <f ca="1">IFERROR(__xludf.DUMMYFUNCTION("""COMPUTED_VALUE"""),"")</f>
        <v/>
      </c>
      <c r="Q88" s="6">
        <f ca="1">IFERROR(__xludf.DUMMYFUNCTION("""COMPUTED_VALUE"""),769)</f>
        <v>769</v>
      </c>
      <c r="R88" s="4" t="str">
        <f ca="1">IFERROR(__xludf.DUMMYFUNCTION("""COMPUTED_VALUE"""),"")</f>
        <v/>
      </c>
      <c r="S88" s="6">
        <f ca="1">IFERROR(__xludf.DUMMYFUNCTION("""COMPUTED_VALUE"""),1865)</f>
        <v>1865</v>
      </c>
      <c r="T88" s="4"/>
      <c r="U88" s="4"/>
      <c r="V88" s="4"/>
      <c r="W88" s="4"/>
      <c r="X88" s="4"/>
      <c r="Y88" s="4"/>
      <c r="Z88" s="4"/>
      <c r="AA88" s="4"/>
      <c r="AB88" s="4"/>
    </row>
    <row r="89" spans="1:28" x14ac:dyDescent="0.2">
      <c r="A89" s="4" t="str">
        <f t="shared" si="0"/>
        <v/>
      </c>
      <c r="B89" s="4" t="str">
        <f t="shared" si="1"/>
        <v/>
      </c>
      <c r="C89" s="4"/>
      <c r="D89" s="4"/>
      <c r="E89" s="4"/>
      <c r="F89" s="4"/>
      <c r="G89" s="4"/>
      <c r="H89" s="4"/>
      <c r="I89" s="4"/>
      <c r="J89" s="4"/>
      <c r="K89" s="4"/>
      <c r="L89" s="4"/>
      <c r="M89" s="4"/>
      <c r="N89" s="6">
        <f ca="1">IFERROR(__xludf.DUMMYFUNCTION("""COMPUTED_VALUE"""),38)</f>
        <v>38</v>
      </c>
      <c r="O89" s="6">
        <f ca="1">IFERROR(__xludf.DUMMYFUNCTION("""COMPUTED_VALUE"""),39)</f>
        <v>39</v>
      </c>
      <c r="P89" s="4" t="str">
        <f ca="1">IFERROR(__xludf.DUMMYFUNCTION("""COMPUTED_VALUE"""),"")</f>
        <v/>
      </c>
      <c r="Q89" s="6">
        <f ca="1">IFERROR(__xludf.DUMMYFUNCTION("""COMPUTED_VALUE"""),769)</f>
        <v>769</v>
      </c>
      <c r="R89" s="4" t="str">
        <f ca="1">IFERROR(__xludf.DUMMYFUNCTION("""COMPUTED_VALUE"""),"")</f>
        <v/>
      </c>
      <c r="S89" s="6">
        <f ca="1">IFERROR(__xludf.DUMMYFUNCTION("""COMPUTED_VALUE"""),1865)</f>
        <v>1865</v>
      </c>
      <c r="T89" s="4"/>
      <c r="U89" s="4"/>
      <c r="V89" s="4"/>
      <c r="W89" s="4"/>
      <c r="X89" s="4"/>
      <c r="Y89" s="4"/>
      <c r="Z89" s="4"/>
      <c r="AA89" s="4"/>
      <c r="AB89" s="4"/>
    </row>
    <row r="90" spans="1:28" x14ac:dyDescent="0.2">
      <c r="A90" s="4" t="str">
        <f t="shared" si="0"/>
        <v/>
      </c>
      <c r="B90" s="4" t="str">
        <f t="shared" si="1"/>
        <v/>
      </c>
      <c r="C90" s="4"/>
      <c r="D90" s="4"/>
      <c r="E90" s="4"/>
      <c r="F90" s="4"/>
      <c r="G90" s="4"/>
      <c r="H90" s="4"/>
      <c r="I90" s="4"/>
      <c r="J90" s="4"/>
      <c r="K90" s="4"/>
      <c r="L90" s="4"/>
      <c r="M90" s="4"/>
      <c r="N90" s="6">
        <f ca="1">IFERROR(__xludf.DUMMYFUNCTION("""COMPUTED_VALUE"""),38)</f>
        <v>38</v>
      </c>
      <c r="O90" s="6">
        <f ca="1">IFERROR(__xludf.DUMMYFUNCTION("""COMPUTED_VALUE"""),39)</f>
        <v>39</v>
      </c>
      <c r="P90" s="4" t="str">
        <f ca="1">IFERROR(__xludf.DUMMYFUNCTION("""COMPUTED_VALUE"""),"")</f>
        <v/>
      </c>
      <c r="Q90" s="6">
        <f ca="1">IFERROR(__xludf.DUMMYFUNCTION("""COMPUTED_VALUE"""),769)</f>
        <v>769</v>
      </c>
      <c r="R90" s="4" t="str">
        <f ca="1">IFERROR(__xludf.DUMMYFUNCTION("""COMPUTED_VALUE"""),"")</f>
        <v/>
      </c>
      <c r="S90" s="6">
        <f ca="1">IFERROR(__xludf.DUMMYFUNCTION("""COMPUTED_VALUE"""),1865)</f>
        <v>1865</v>
      </c>
      <c r="T90" s="4"/>
      <c r="U90" s="4"/>
      <c r="V90" s="4"/>
      <c r="W90" s="4"/>
      <c r="X90" s="4"/>
      <c r="Y90" s="4"/>
      <c r="Z90" s="4"/>
      <c r="AA90" s="4"/>
      <c r="AB90" s="4"/>
    </row>
    <row r="91" spans="1:28" x14ac:dyDescent="0.2">
      <c r="A91" s="4" t="str">
        <f t="shared" si="0"/>
        <v/>
      </c>
      <c r="B91" s="4" t="str">
        <f t="shared" si="1"/>
        <v/>
      </c>
      <c r="C91" s="4"/>
      <c r="D91" s="4"/>
      <c r="E91" s="4"/>
      <c r="F91" s="4"/>
      <c r="G91" s="4"/>
      <c r="H91" s="4"/>
      <c r="I91" s="4"/>
      <c r="J91" s="4"/>
      <c r="K91" s="4"/>
      <c r="L91" s="4"/>
      <c r="M91" s="4"/>
      <c r="N91" s="6">
        <f ca="1">IFERROR(__xludf.DUMMYFUNCTION("""COMPUTED_VALUE"""),38)</f>
        <v>38</v>
      </c>
      <c r="O91" s="6">
        <f ca="1">IFERROR(__xludf.DUMMYFUNCTION("""COMPUTED_VALUE"""),39)</f>
        <v>39</v>
      </c>
      <c r="P91" s="4" t="str">
        <f ca="1">IFERROR(__xludf.DUMMYFUNCTION("""COMPUTED_VALUE"""),"")</f>
        <v/>
      </c>
      <c r="Q91" s="6">
        <f ca="1">IFERROR(__xludf.DUMMYFUNCTION("""COMPUTED_VALUE"""),769)</f>
        <v>769</v>
      </c>
      <c r="R91" s="4" t="str">
        <f ca="1">IFERROR(__xludf.DUMMYFUNCTION("""COMPUTED_VALUE"""),"")</f>
        <v/>
      </c>
      <c r="S91" s="6">
        <f ca="1">IFERROR(__xludf.DUMMYFUNCTION("""COMPUTED_VALUE"""),1865)</f>
        <v>1865</v>
      </c>
      <c r="T91" s="4"/>
      <c r="U91" s="4"/>
      <c r="V91" s="4"/>
      <c r="W91" s="4"/>
      <c r="X91" s="4"/>
      <c r="Y91" s="4"/>
      <c r="Z91" s="4"/>
      <c r="AA91" s="4"/>
      <c r="AB91" s="4"/>
    </row>
    <row r="92" spans="1:28" x14ac:dyDescent="0.2">
      <c r="A92" s="4" t="str">
        <f t="shared" si="0"/>
        <v/>
      </c>
      <c r="B92" s="4" t="str">
        <f t="shared" si="1"/>
        <v/>
      </c>
      <c r="C92" s="4"/>
      <c r="D92" s="4"/>
      <c r="E92" s="4"/>
      <c r="F92" s="4"/>
      <c r="G92" s="4"/>
      <c r="H92" s="4"/>
      <c r="I92" s="4"/>
      <c r="J92" s="4"/>
      <c r="K92" s="4"/>
      <c r="L92" s="4"/>
      <c r="M92" s="4"/>
      <c r="N92" s="6">
        <f ca="1">IFERROR(__xludf.DUMMYFUNCTION("""COMPUTED_VALUE"""),38)</f>
        <v>38</v>
      </c>
      <c r="O92" s="6">
        <f ca="1">IFERROR(__xludf.DUMMYFUNCTION("""COMPUTED_VALUE"""),39)</f>
        <v>39</v>
      </c>
      <c r="P92" s="4" t="str">
        <f ca="1">IFERROR(__xludf.DUMMYFUNCTION("""COMPUTED_VALUE"""),"")</f>
        <v/>
      </c>
      <c r="Q92" s="6">
        <f ca="1">IFERROR(__xludf.DUMMYFUNCTION("""COMPUTED_VALUE"""),769)</f>
        <v>769</v>
      </c>
      <c r="R92" s="4" t="str">
        <f ca="1">IFERROR(__xludf.DUMMYFUNCTION("""COMPUTED_VALUE"""),"")</f>
        <v/>
      </c>
      <c r="S92" s="6">
        <f ca="1">IFERROR(__xludf.DUMMYFUNCTION("""COMPUTED_VALUE"""),1865)</f>
        <v>1865</v>
      </c>
      <c r="T92" s="4"/>
      <c r="U92" s="4"/>
      <c r="V92" s="4"/>
      <c r="W92" s="4"/>
      <c r="X92" s="4"/>
      <c r="Y92" s="4"/>
      <c r="Z92" s="4"/>
      <c r="AA92" s="4"/>
      <c r="AB92" s="4"/>
    </row>
    <row r="93" spans="1:28" x14ac:dyDescent="0.2">
      <c r="A93" s="4" t="str">
        <f t="shared" si="0"/>
        <v/>
      </c>
      <c r="B93" s="4" t="str">
        <f t="shared" si="1"/>
        <v/>
      </c>
      <c r="C93" s="4"/>
      <c r="D93" s="4"/>
      <c r="E93" s="4"/>
      <c r="F93" s="4"/>
      <c r="G93" s="4"/>
      <c r="H93" s="4"/>
      <c r="I93" s="4"/>
      <c r="J93" s="4"/>
      <c r="K93" s="4"/>
      <c r="L93" s="4"/>
      <c r="M93" s="4"/>
      <c r="N93" s="6">
        <f ca="1">IFERROR(__xludf.DUMMYFUNCTION("""COMPUTED_VALUE"""),38)</f>
        <v>38</v>
      </c>
      <c r="O93" s="6">
        <f ca="1">IFERROR(__xludf.DUMMYFUNCTION("""COMPUTED_VALUE"""),39)</f>
        <v>39</v>
      </c>
      <c r="P93" s="4" t="str">
        <f ca="1">IFERROR(__xludf.DUMMYFUNCTION("""COMPUTED_VALUE"""),"")</f>
        <v/>
      </c>
      <c r="Q93" s="6">
        <f ca="1">IFERROR(__xludf.DUMMYFUNCTION("""COMPUTED_VALUE"""),769)</f>
        <v>769</v>
      </c>
      <c r="R93" s="4" t="str">
        <f ca="1">IFERROR(__xludf.DUMMYFUNCTION("""COMPUTED_VALUE"""),"")</f>
        <v/>
      </c>
      <c r="S93" s="6">
        <f ca="1">IFERROR(__xludf.DUMMYFUNCTION("""COMPUTED_VALUE"""),1865)</f>
        <v>1865</v>
      </c>
      <c r="T93" s="4"/>
      <c r="U93" s="4"/>
      <c r="V93" s="4"/>
      <c r="W93" s="4"/>
      <c r="X93" s="4"/>
      <c r="Y93" s="4"/>
      <c r="Z93" s="4"/>
      <c r="AA93" s="4"/>
      <c r="AB93" s="4"/>
    </row>
    <row r="94" spans="1:28" x14ac:dyDescent="0.2">
      <c r="A94" s="4" t="str">
        <f t="shared" si="0"/>
        <v/>
      </c>
      <c r="B94" s="4" t="str">
        <f t="shared" si="1"/>
        <v/>
      </c>
      <c r="C94" s="4"/>
      <c r="D94" s="4"/>
      <c r="E94" s="4"/>
      <c r="F94" s="4"/>
      <c r="G94" s="4"/>
      <c r="H94" s="4"/>
      <c r="I94" s="4"/>
      <c r="J94" s="4"/>
      <c r="K94" s="4"/>
      <c r="L94" s="4"/>
      <c r="M94" s="4"/>
      <c r="N94" s="6">
        <f ca="1">IFERROR(__xludf.DUMMYFUNCTION("""COMPUTED_VALUE"""),38)</f>
        <v>38</v>
      </c>
      <c r="O94" s="6">
        <f ca="1">IFERROR(__xludf.DUMMYFUNCTION("""COMPUTED_VALUE"""),39)</f>
        <v>39</v>
      </c>
      <c r="P94" s="4" t="str">
        <f ca="1">IFERROR(__xludf.DUMMYFUNCTION("""COMPUTED_VALUE"""),"")</f>
        <v/>
      </c>
      <c r="Q94" s="6">
        <f ca="1">IFERROR(__xludf.DUMMYFUNCTION("""COMPUTED_VALUE"""),769)</f>
        <v>769</v>
      </c>
      <c r="R94" s="4" t="str">
        <f ca="1">IFERROR(__xludf.DUMMYFUNCTION("""COMPUTED_VALUE"""),"")</f>
        <v/>
      </c>
      <c r="S94" s="6">
        <f ca="1">IFERROR(__xludf.DUMMYFUNCTION("""COMPUTED_VALUE"""),1865)</f>
        <v>1865</v>
      </c>
      <c r="T94" s="4"/>
      <c r="U94" s="4"/>
      <c r="V94" s="4"/>
      <c r="W94" s="4"/>
      <c r="X94" s="4"/>
      <c r="Y94" s="4"/>
      <c r="Z94" s="4"/>
      <c r="AA94" s="4"/>
      <c r="AB94" s="4"/>
    </row>
    <row r="95" spans="1:28" x14ac:dyDescent="0.2">
      <c r="A95" s="4" t="str">
        <f t="shared" si="0"/>
        <v/>
      </c>
      <c r="B95" s="4" t="str">
        <f t="shared" si="1"/>
        <v/>
      </c>
      <c r="C95" s="4"/>
      <c r="D95" s="4"/>
      <c r="E95" s="4"/>
      <c r="F95" s="4"/>
      <c r="G95" s="4"/>
      <c r="H95" s="4"/>
      <c r="I95" s="4"/>
      <c r="J95" s="4"/>
      <c r="K95" s="4"/>
      <c r="L95" s="4"/>
      <c r="M95" s="4"/>
      <c r="N95" s="6">
        <f ca="1">IFERROR(__xludf.DUMMYFUNCTION("""COMPUTED_VALUE"""),38)</f>
        <v>38</v>
      </c>
      <c r="O95" s="6">
        <f ca="1">IFERROR(__xludf.DUMMYFUNCTION("""COMPUTED_VALUE"""),39)</f>
        <v>39</v>
      </c>
      <c r="P95" s="4" t="str">
        <f ca="1">IFERROR(__xludf.DUMMYFUNCTION("""COMPUTED_VALUE"""),"")</f>
        <v/>
      </c>
      <c r="Q95" s="6">
        <f ca="1">IFERROR(__xludf.DUMMYFUNCTION("""COMPUTED_VALUE"""),769)</f>
        <v>769</v>
      </c>
      <c r="R95" s="4" t="str">
        <f ca="1">IFERROR(__xludf.DUMMYFUNCTION("""COMPUTED_VALUE"""),"")</f>
        <v/>
      </c>
      <c r="S95" s="6">
        <f ca="1">IFERROR(__xludf.DUMMYFUNCTION("""COMPUTED_VALUE"""),1865)</f>
        <v>1865</v>
      </c>
      <c r="T95" s="4"/>
      <c r="U95" s="4"/>
      <c r="V95" s="4"/>
      <c r="W95" s="4"/>
      <c r="X95" s="4"/>
      <c r="Y95" s="4"/>
      <c r="Z95" s="4"/>
      <c r="AA95" s="4"/>
      <c r="AB95" s="4"/>
    </row>
    <row r="96" spans="1:28" x14ac:dyDescent="0.2">
      <c r="A96" s="4" t="str">
        <f t="shared" si="0"/>
        <v/>
      </c>
      <c r="B96" s="4" t="str">
        <f t="shared" si="1"/>
        <v/>
      </c>
      <c r="C96" s="4"/>
      <c r="D96" s="4"/>
      <c r="E96" s="4"/>
      <c r="F96" s="4"/>
      <c r="G96" s="4"/>
      <c r="H96" s="4"/>
      <c r="I96" s="4"/>
      <c r="J96" s="4"/>
      <c r="K96" s="4"/>
      <c r="L96" s="4"/>
      <c r="M96" s="4"/>
      <c r="N96" s="6">
        <f ca="1">IFERROR(__xludf.DUMMYFUNCTION("""COMPUTED_VALUE"""),38)</f>
        <v>38</v>
      </c>
      <c r="O96" s="6">
        <f ca="1">IFERROR(__xludf.DUMMYFUNCTION("""COMPUTED_VALUE"""),39)</f>
        <v>39</v>
      </c>
      <c r="P96" s="4" t="str">
        <f ca="1">IFERROR(__xludf.DUMMYFUNCTION("""COMPUTED_VALUE"""),"")</f>
        <v/>
      </c>
      <c r="Q96" s="6">
        <f ca="1">IFERROR(__xludf.DUMMYFUNCTION("""COMPUTED_VALUE"""),769)</f>
        <v>769</v>
      </c>
      <c r="R96" s="4" t="str">
        <f ca="1">IFERROR(__xludf.DUMMYFUNCTION("""COMPUTED_VALUE"""),"")</f>
        <v/>
      </c>
      <c r="S96" s="6">
        <f ca="1">IFERROR(__xludf.DUMMYFUNCTION("""COMPUTED_VALUE"""),1865)</f>
        <v>1865</v>
      </c>
      <c r="T96" s="4"/>
      <c r="U96" s="4"/>
      <c r="V96" s="4"/>
      <c r="W96" s="4"/>
      <c r="X96" s="4"/>
      <c r="Y96" s="4"/>
      <c r="Z96" s="4"/>
      <c r="AA96" s="4"/>
      <c r="AB96" s="4"/>
    </row>
    <row r="97" spans="1:28" x14ac:dyDescent="0.2">
      <c r="A97" s="4" t="str">
        <f t="shared" si="0"/>
        <v/>
      </c>
      <c r="B97" s="4" t="str">
        <f t="shared" si="1"/>
        <v/>
      </c>
      <c r="C97" s="4"/>
      <c r="D97" s="4"/>
      <c r="E97" s="4"/>
      <c r="F97" s="4"/>
      <c r="G97" s="4"/>
      <c r="H97" s="4"/>
      <c r="I97" s="4"/>
      <c r="J97" s="4"/>
      <c r="K97" s="4"/>
      <c r="L97" s="4"/>
      <c r="M97" s="4"/>
      <c r="N97" s="6">
        <f ca="1">IFERROR(__xludf.DUMMYFUNCTION("""COMPUTED_VALUE"""),38)</f>
        <v>38</v>
      </c>
      <c r="O97" s="6">
        <f ca="1">IFERROR(__xludf.DUMMYFUNCTION("""COMPUTED_VALUE"""),39)</f>
        <v>39</v>
      </c>
      <c r="P97" s="4" t="str">
        <f ca="1">IFERROR(__xludf.DUMMYFUNCTION("""COMPUTED_VALUE"""),"")</f>
        <v/>
      </c>
      <c r="Q97" s="6">
        <f ca="1">IFERROR(__xludf.DUMMYFUNCTION("""COMPUTED_VALUE"""),769)</f>
        <v>769</v>
      </c>
      <c r="R97" s="4" t="str">
        <f ca="1">IFERROR(__xludf.DUMMYFUNCTION("""COMPUTED_VALUE"""),"")</f>
        <v/>
      </c>
      <c r="S97" s="6">
        <f ca="1">IFERROR(__xludf.DUMMYFUNCTION("""COMPUTED_VALUE"""),1865)</f>
        <v>1865</v>
      </c>
      <c r="T97" s="4"/>
      <c r="U97" s="4"/>
      <c r="V97" s="4"/>
      <c r="W97" s="4"/>
      <c r="X97" s="4"/>
      <c r="Y97" s="4"/>
      <c r="Z97" s="4"/>
      <c r="AA97" s="4"/>
      <c r="AB97" s="4"/>
    </row>
    <row r="98" spans="1:28" x14ac:dyDescent="0.2">
      <c r="A98" s="4" t="str">
        <f t="shared" si="0"/>
        <v/>
      </c>
      <c r="B98" s="4" t="str">
        <f t="shared" si="1"/>
        <v/>
      </c>
      <c r="C98" s="4"/>
      <c r="D98" s="4"/>
      <c r="E98" s="4"/>
      <c r="F98" s="4"/>
      <c r="G98" s="4"/>
      <c r="H98" s="4"/>
      <c r="I98" s="4"/>
      <c r="J98" s="4"/>
      <c r="K98" s="4"/>
      <c r="L98" s="4"/>
      <c r="M98" s="4"/>
      <c r="N98" s="6">
        <f ca="1">IFERROR(__xludf.DUMMYFUNCTION("""COMPUTED_VALUE"""),38)</f>
        <v>38</v>
      </c>
      <c r="O98" s="6">
        <f ca="1">IFERROR(__xludf.DUMMYFUNCTION("""COMPUTED_VALUE"""),39)</f>
        <v>39</v>
      </c>
      <c r="P98" s="4" t="str">
        <f ca="1">IFERROR(__xludf.DUMMYFUNCTION("""COMPUTED_VALUE"""),"")</f>
        <v/>
      </c>
      <c r="Q98" s="6">
        <f ca="1">IFERROR(__xludf.DUMMYFUNCTION("""COMPUTED_VALUE"""),769)</f>
        <v>769</v>
      </c>
      <c r="R98" s="4" t="str">
        <f ca="1">IFERROR(__xludf.DUMMYFUNCTION("""COMPUTED_VALUE"""),"")</f>
        <v/>
      </c>
      <c r="S98" s="6">
        <f ca="1">IFERROR(__xludf.DUMMYFUNCTION("""COMPUTED_VALUE"""),1865)</f>
        <v>1865</v>
      </c>
      <c r="T98" s="4"/>
      <c r="U98" s="4"/>
      <c r="V98" s="4"/>
      <c r="W98" s="4"/>
      <c r="X98" s="4"/>
      <c r="Y98" s="4"/>
      <c r="Z98" s="4"/>
      <c r="AA98" s="4"/>
      <c r="AB98" s="4"/>
    </row>
    <row r="99" spans="1:28" x14ac:dyDescent="0.2">
      <c r="A99" s="4" t="str">
        <f t="shared" si="0"/>
        <v/>
      </c>
      <c r="B99" s="4" t="str">
        <f t="shared" si="1"/>
        <v/>
      </c>
      <c r="C99" s="4"/>
      <c r="D99" s="4"/>
      <c r="E99" s="4"/>
      <c r="F99" s="4"/>
      <c r="G99" s="4"/>
      <c r="H99" s="4"/>
      <c r="I99" s="4"/>
      <c r="J99" s="4"/>
      <c r="K99" s="4"/>
      <c r="L99" s="4"/>
      <c r="M99" s="4"/>
      <c r="N99" s="6">
        <f ca="1">IFERROR(__xludf.DUMMYFUNCTION("""COMPUTED_VALUE"""),38)</f>
        <v>38</v>
      </c>
      <c r="O99" s="6">
        <f ca="1">IFERROR(__xludf.DUMMYFUNCTION("""COMPUTED_VALUE"""),39)</f>
        <v>39</v>
      </c>
      <c r="P99" s="4" t="str">
        <f ca="1">IFERROR(__xludf.DUMMYFUNCTION("""COMPUTED_VALUE"""),"")</f>
        <v/>
      </c>
      <c r="Q99" s="6">
        <f ca="1">IFERROR(__xludf.DUMMYFUNCTION("""COMPUTED_VALUE"""),769)</f>
        <v>769</v>
      </c>
      <c r="R99" s="4" t="str">
        <f ca="1">IFERROR(__xludf.DUMMYFUNCTION("""COMPUTED_VALUE"""),"")</f>
        <v/>
      </c>
      <c r="S99" s="6">
        <f ca="1">IFERROR(__xludf.DUMMYFUNCTION("""COMPUTED_VALUE"""),1865)</f>
        <v>1865</v>
      </c>
      <c r="T99" s="4"/>
      <c r="U99" s="4"/>
      <c r="V99" s="4"/>
      <c r="W99" s="4"/>
      <c r="X99" s="4"/>
      <c r="Y99" s="4"/>
      <c r="Z99" s="4"/>
      <c r="AA99" s="4"/>
      <c r="AB99" s="4"/>
    </row>
    <row r="100" spans="1:28" x14ac:dyDescent="0.2">
      <c r="A100" s="4" t="str">
        <f t="shared" si="0"/>
        <v/>
      </c>
      <c r="B100" s="4" t="str">
        <f t="shared" si="1"/>
        <v/>
      </c>
      <c r="C100" s="4"/>
      <c r="D100" s="4"/>
      <c r="E100" s="4"/>
      <c r="F100" s="4"/>
      <c r="G100" s="4"/>
      <c r="H100" s="4"/>
      <c r="I100" s="4"/>
      <c r="J100" s="4"/>
      <c r="K100" s="4"/>
      <c r="L100" s="4"/>
      <c r="M100" s="4"/>
      <c r="N100" s="6">
        <f ca="1">IFERROR(__xludf.DUMMYFUNCTION("""COMPUTED_VALUE"""),38)</f>
        <v>38</v>
      </c>
      <c r="O100" s="6">
        <f ca="1">IFERROR(__xludf.DUMMYFUNCTION("""COMPUTED_VALUE"""),39)</f>
        <v>39</v>
      </c>
      <c r="P100" s="4" t="str">
        <f ca="1">IFERROR(__xludf.DUMMYFUNCTION("""COMPUTED_VALUE"""),"")</f>
        <v/>
      </c>
      <c r="Q100" s="6">
        <f ca="1">IFERROR(__xludf.DUMMYFUNCTION("""COMPUTED_VALUE"""),769)</f>
        <v>769</v>
      </c>
      <c r="R100" s="4" t="str">
        <f ca="1">IFERROR(__xludf.DUMMYFUNCTION("""COMPUTED_VALUE"""),"")</f>
        <v/>
      </c>
      <c r="S100" s="6">
        <f ca="1">IFERROR(__xludf.DUMMYFUNCTION("""COMPUTED_VALUE"""),1865)</f>
        <v>1865</v>
      </c>
      <c r="T100" s="4"/>
      <c r="U100" s="4"/>
      <c r="V100" s="4"/>
      <c r="W100" s="4"/>
      <c r="X100" s="4"/>
      <c r="Y100" s="4"/>
      <c r="Z100" s="4"/>
      <c r="AA100" s="4"/>
      <c r="AB100" s="4"/>
    </row>
    <row r="101" spans="1:28" x14ac:dyDescent="0.2">
      <c r="A101" s="4" t="str">
        <f t="shared" si="0"/>
        <v/>
      </c>
      <c r="B101" s="4" t="str">
        <f t="shared" si="1"/>
        <v/>
      </c>
      <c r="C101" s="4"/>
      <c r="D101" s="4"/>
      <c r="E101" s="4"/>
      <c r="F101" s="4"/>
      <c r="G101" s="4"/>
      <c r="H101" s="4"/>
      <c r="I101" s="4"/>
      <c r="J101" s="4"/>
      <c r="K101" s="4"/>
      <c r="L101" s="4"/>
      <c r="M101" s="4"/>
      <c r="N101" s="6">
        <f ca="1">IFERROR(__xludf.DUMMYFUNCTION("""COMPUTED_VALUE"""),38)</f>
        <v>38</v>
      </c>
      <c r="O101" s="6">
        <f ca="1">IFERROR(__xludf.DUMMYFUNCTION("""COMPUTED_VALUE"""),39)</f>
        <v>39</v>
      </c>
      <c r="P101" s="4" t="str">
        <f ca="1">IFERROR(__xludf.DUMMYFUNCTION("""COMPUTED_VALUE"""),"")</f>
        <v/>
      </c>
      <c r="Q101" s="6">
        <f ca="1">IFERROR(__xludf.DUMMYFUNCTION("""COMPUTED_VALUE"""),769)</f>
        <v>769</v>
      </c>
      <c r="R101" s="4" t="str">
        <f ca="1">IFERROR(__xludf.DUMMYFUNCTION("""COMPUTED_VALUE"""),"")</f>
        <v/>
      </c>
      <c r="S101" s="6">
        <f ca="1">IFERROR(__xludf.DUMMYFUNCTION("""COMPUTED_VALUE"""),1865)</f>
        <v>1865</v>
      </c>
      <c r="T101" s="4"/>
      <c r="U101" s="4"/>
      <c r="V101" s="4"/>
      <c r="W101" s="4"/>
      <c r="X101" s="4"/>
      <c r="Y101" s="4"/>
      <c r="Z101" s="4"/>
      <c r="AA101" s="4"/>
      <c r="AB101" s="4"/>
    </row>
    <row r="102" spans="1:28" x14ac:dyDescent="0.2">
      <c r="A102" s="4" t="str">
        <f t="shared" si="0"/>
        <v/>
      </c>
      <c r="B102" s="4" t="str">
        <f t="shared" si="1"/>
        <v/>
      </c>
      <c r="C102" s="4"/>
      <c r="D102" s="4"/>
      <c r="E102" s="4"/>
      <c r="F102" s="4"/>
      <c r="G102" s="4"/>
      <c r="H102" s="4"/>
      <c r="I102" s="4"/>
      <c r="J102" s="4"/>
      <c r="K102" s="4"/>
      <c r="L102" s="4"/>
      <c r="M102" s="4"/>
      <c r="N102" s="6">
        <f ca="1">IFERROR(__xludf.DUMMYFUNCTION("""COMPUTED_VALUE"""),38)</f>
        <v>38</v>
      </c>
      <c r="O102" s="6">
        <f ca="1">IFERROR(__xludf.DUMMYFUNCTION("""COMPUTED_VALUE"""),39)</f>
        <v>39</v>
      </c>
      <c r="P102" s="4" t="str">
        <f ca="1">IFERROR(__xludf.DUMMYFUNCTION("""COMPUTED_VALUE"""),"")</f>
        <v/>
      </c>
      <c r="Q102" s="6">
        <f ca="1">IFERROR(__xludf.DUMMYFUNCTION("""COMPUTED_VALUE"""),769)</f>
        <v>769</v>
      </c>
      <c r="R102" s="4" t="str">
        <f ca="1">IFERROR(__xludf.DUMMYFUNCTION("""COMPUTED_VALUE"""),"")</f>
        <v/>
      </c>
      <c r="S102" s="6">
        <f ca="1">IFERROR(__xludf.DUMMYFUNCTION("""COMPUTED_VALUE"""),1865)</f>
        <v>1865</v>
      </c>
      <c r="T102" s="4"/>
      <c r="U102" s="4"/>
      <c r="V102" s="4"/>
      <c r="W102" s="4"/>
      <c r="X102" s="4"/>
      <c r="Y102" s="4"/>
      <c r="Z102" s="4"/>
      <c r="AA102" s="4"/>
      <c r="AB102" s="4"/>
    </row>
    <row r="103" spans="1:28" x14ac:dyDescent="0.2">
      <c r="A103" s="4" t="str">
        <f t="shared" si="0"/>
        <v/>
      </c>
      <c r="B103" s="4" t="str">
        <f t="shared" si="1"/>
        <v/>
      </c>
      <c r="C103" s="4"/>
      <c r="D103" s="4"/>
      <c r="E103" s="4"/>
      <c r="F103" s="4"/>
      <c r="G103" s="4"/>
      <c r="H103" s="4"/>
      <c r="I103" s="4"/>
      <c r="J103" s="4"/>
      <c r="K103" s="4"/>
      <c r="L103" s="4"/>
      <c r="M103" s="4"/>
      <c r="N103" s="6">
        <f ca="1">IFERROR(__xludf.DUMMYFUNCTION("""COMPUTED_VALUE"""),38)</f>
        <v>38</v>
      </c>
      <c r="O103" s="6">
        <f ca="1">IFERROR(__xludf.DUMMYFUNCTION("""COMPUTED_VALUE"""),39)</f>
        <v>39</v>
      </c>
      <c r="P103" s="4" t="str">
        <f ca="1">IFERROR(__xludf.DUMMYFUNCTION("""COMPUTED_VALUE"""),"")</f>
        <v/>
      </c>
      <c r="Q103" s="6">
        <f ca="1">IFERROR(__xludf.DUMMYFUNCTION("""COMPUTED_VALUE"""),769)</f>
        <v>769</v>
      </c>
      <c r="R103" s="4" t="str">
        <f ca="1">IFERROR(__xludf.DUMMYFUNCTION("""COMPUTED_VALUE"""),"")</f>
        <v/>
      </c>
      <c r="S103" s="6">
        <f ca="1">IFERROR(__xludf.DUMMYFUNCTION("""COMPUTED_VALUE"""),1865)</f>
        <v>1865</v>
      </c>
      <c r="T103" s="4"/>
      <c r="U103" s="4"/>
      <c r="V103" s="4"/>
      <c r="W103" s="4"/>
      <c r="X103" s="4"/>
      <c r="Y103" s="4"/>
      <c r="Z103" s="4"/>
      <c r="AA103" s="4"/>
      <c r="AB103" s="4"/>
    </row>
    <row r="104" spans="1:28" x14ac:dyDescent="0.2">
      <c r="A104" s="4" t="str">
        <f t="shared" si="0"/>
        <v/>
      </c>
      <c r="B104" s="4" t="str">
        <f t="shared" si="1"/>
        <v/>
      </c>
      <c r="C104" s="4"/>
      <c r="D104" s="4"/>
      <c r="E104" s="4"/>
      <c r="F104" s="4"/>
      <c r="G104" s="4"/>
      <c r="H104" s="4"/>
      <c r="I104" s="4"/>
      <c r="J104" s="4"/>
      <c r="K104" s="4"/>
      <c r="L104" s="4"/>
      <c r="M104" s="4"/>
      <c r="N104" s="6">
        <f ca="1">IFERROR(__xludf.DUMMYFUNCTION("""COMPUTED_VALUE"""),38)</f>
        <v>38</v>
      </c>
      <c r="O104" s="6">
        <f ca="1">IFERROR(__xludf.DUMMYFUNCTION("""COMPUTED_VALUE"""),39)</f>
        <v>39</v>
      </c>
      <c r="P104" s="4" t="str">
        <f ca="1">IFERROR(__xludf.DUMMYFUNCTION("""COMPUTED_VALUE"""),"")</f>
        <v/>
      </c>
      <c r="Q104" s="6">
        <f ca="1">IFERROR(__xludf.DUMMYFUNCTION("""COMPUTED_VALUE"""),769)</f>
        <v>769</v>
      </c>
      <c r="R104" s="4" t="str">
        <f ca="1">IFERROR(__xludf.DUMMYFUNCTION("""COMPUTED_VALUE"""),"")</f>
        <v/>
      </c>
      <c r="S104" s="6">
        <f ca="1">IFERROR(__xludf.DUMMYFUNCTION("""COMPUTED_VALUE"""),1865)</f>
        <v>1865</v>
      </c>
      <c r="T104" s="4"/>
      <c r="U104" s="4"/>
      <c r="V104" s="4"/>
      <c r="W104" s="4"/>
      <c r="X104" s="4"/>
      <c r="Y104" s="4"/>
      <c r="Z104" s="4"/>
      <c r="AA104" s="4"/>
      <c r="AB104" s="4"/>
    </row>
    <row r="105" spans="1:28" x14ac:dyDescent="0.2">
      <c r="A105" s="4" t="str">
        <f t="shared" si="0"/>
        <v/>
      </c>
      <c r="B105" s="4" t="str">
        <f t="shared" si="1"/>
        <v/>
      </c>
      <c r="C105" s="4"/>
      <c r="D105" s="4"/>
      <c r="E105" s="4"/>
      <c r="F105" s="4"/>
      <c r="G105" s="4"/>
      <c r="H105" s="4"/>
      <c r="I105" s="4"/>
      <c r="J105" s="4"/>
      <c r="K105" s="4"/>
      <c r="L105" s="4"/>
      <c r="M105" s="4"/>
      <c r="N105" s="6">
        <f ca="1">IFERROR(__xludf.DUMMYFUNCTION("""COMPUTED_VALUE"""),38)</f>
        <v>38</v>
      </c>
      <c r="O105" s="6">
        <f ca="1">IFERROR(__xludf.DUMMYFUNCTION("""COMPUTED_VALUE"""),39)</f>
        <v>39</v>
      </c>
      <c r="P105" s="4" t="str">
        <f ca="1">IFERROR(__xludf.DUMMYFUNCTION("""COMPUTED_VALUE"""),"")</f>
        <v/>
      </c>
      <c r="Q105" s="6">
        <f ca="1">IFERROR(__xludf.DUMMYFUNCTION("""COMPUTED_VALUE"""),769)</f>
        <v>769</v>
      </c>
      <c r="R105" s="4" t="str">
        <f ca="1">IFERROR(__xludf.DUMMYFUNCTION("""COMPUTED_VALUE"""),"")</f>
        <v/>
      </c>
      <c r="S105" s="6">
        <f ca="1">IFERROR(__xludf.DUMMYFUNCTION("""COMPUTED_VALUE"""),1865)</f>
        <v>1865</v>
      </c>
      <c r="T105" s="4"/>
      <c r="U105" s="4"/>
      <c r="V105" s="4"/>
      <c r="W105" s="4"/>
      <c r="X105" s="4"/>
      <c r="Y105" s="4"/>
      <c r="Z105" s="4"/>
      <c r="AA105" s="4"/>
      <c r="AB105" s="4"/>
    </row>
    <row r="106" spans="1:28" x14ac:dyDescent="0.2">
      <c r="A106" s="4" t="str">
        <f t="shared" si="0"/>
        <v/>
      </c>
      <c r="B106" s="4" t="str">
        <f t="shared" si="1"/>
        <v/>
      </c>
      <c r="C106" s="4"/>
      <c r="D106" s="4"/>
      <c r="E106" s="4"/>
      <c r="F106" s="4"/>
      <c r="G106" s="4"/>
      <c r="H106" s="4"/>
      <c r="I106" s="4"/>
      <c r="J106" s="4"/>
      <c r="K106" s="4"/>
      <c r="L106" s="4"/>
      <c r="M106" s="4"/>
      <c r="N106" s="6">
        <f ca="1">IFERROR(__xludf.DUMMYFUNCTION("""COMPUTED_VALUE"""),38)</f>
        <v>38</v>
      </c>
      <c r="O106" s="6">
        <f ca="1">IFERROR(__xludf.DUMMYFUNCTION("""COMPUTED_VALUE"""),39)</f>
        <v>39</v>
      </c>
      <c r="P106" s="4" t="str">
        <f ca="1">IFERROR(__xludf.DUMMYFUNCTION("""COMPUTED_VALUE"""),"")</f>
        <v/>
      </c>
      <c r="Q106" s="6">
        <f ca="1">IFERROR(__xludf.DUMMYFUNCTION("""COMPUTED_VALUE"""),769)</f>
        <v>769</v>
      </c>
      <c r="R106" s="4" t="str">
        <f ca="1">IFERROR(__xludf.DUMMYFUNCTION("""COMPUTED_VALUE"""),"")</f>
        <v/>
      </c>
      <c r="S106" s="6">
        <f ca="1">IFERROR(__xludf.DUMMYFUNCTION("""COMPUTED_VALUE"""),1865)</f>
        <v>1865</v>
      </c>
      <c r="T106" s="4"/>
      <c r="U106" s="4"/>
      <c r="V106" s="4"/>
      <c r="W106" s="4"/>
      <c r="X106" s="4"/>
      <c r="Y106" s="4"/>
      <c r="Z106" s="4"/>
      <c r="AA106" s="4"/>
      <c r="AB106" s="4"/>
    </row>
    <row r="107" spans="1:28" x14ac:dyDescent="0.2">
      <c r="A107" s="4" t="str">
        <f t="shared" si="0"/>
        <v/>
      </c>
      <c r="B107" s="4" t="str">
        <f t="shared" si="1"/>
        <v/>
      </c>
      <c r="C107" s="4"/>
      <c r="D107" s="4"/>
      <c r="E107" s="4"/>
      <c r="F107" s="4"/>
      <c r="G107" s="4"/>
      <c r="H107" s="4"/>
      <c r="I107" s="4"/>
      <c r="J107" s="4"/>
      <c r="K107" s="4"/>
      <c r="L107" s="4"/>
      <c r="M107" s="4"/>
      <c r="N107" s="6">
        <f ca="1">IFERROR(__xludf.DUMMYFUNCTION("""COMPUTED_VALUE"""),38)</f>
        <v>38</v>
      </c>
      <c r="O107" s="6">
        <f ca="1">IFERROR(__xludf.DUMMYFUNCTION("""COMPUTED_VALUE"""),39)</f>
        <v>39</v>
      </c>
      <c r="P107" s="4" t="str">
        <f ca="1">IFERROR(__xludf.DUMMYFUNCTION("""COMPUTED_VALUE"""),"")</f>
        <v/>
      </c>
      <c r="Q107" s="6">
        <f ca="1">IFERROR(__xludf.DUMMYFUNCTION("""COMPUTED_VALUE"""),769)</f>
        <v>769</v>
      </c>
      <c r="R107" s="4" t="str">
        <f ca="1">IFERROR(__xludf.DUMMYFUNCTION("""COMPUTED_VALUE"""),"")</f>
        <v/>
      </c>
      <c r="S107" s="6">
        <f ca="1">IFERROR(__xludf.DUMMYFUNCTION("""COMPUTED_VALUE"""),1865)</f>
        <v>1865</v>
      </c>
      <c r="T107" s="4"/>
      <c r="U107" s="4"/>
      <c r="V107" s="4"/>
      <c r="W107" s="4"/>
      <c r="X107" s="4"/>
      <c r="Y107" s="4"/>
      <c r="Z107" s="4"/>
      <c r="AA107" s="4"/>
      <c r="AB107" s="4"/>
    </row>
    <row r="108" spans="1:28" x14ac:dyDescent="0.2">
      <c r="A108" s="4" t="str">
        <f t="shared" si="0"/>
        <v/>
      </c>
      <c r="B108" s="4" t="str">
        <f t="shared" si="1"/>
        <v/>
      </c>
      <c r="C108" s="4"/>
      <c r="D108" s="4"/>
      <c r="E108" s="4"/>
      <c r="F108" s="4"/>
      <c r="G108" s="4"/>
      <c r="H108" s="4"/>
      <c r="I108" s="4"/>
      <c r="J108" s="4"/>
      <c r="K108" s="4"/>
      <c r="L108" s="4"/>
      <c r="M108" s="4"/>
      <c r="N108" s="6">
        <f ca="1">IFERROR(__xludf.DUMMYFUNCTION("""COMPUTED_VALUE"""),38)</f>
        <v>38</v>
      </c>
      <c r="O108" s="6">
        <f ca="1">IFERROR(__xludf.DUMMYFUNCTION("""COMPUTED_VALUE"""),39)</f>
        <v>39</v>
      </c>
      <c r="P108" s="4" t="str">
        <f ca="1">IFERROR(__xludf.DUMMYFUNCTION("""COMPUTED_VALUE"""),"")</f>
        <v/>
      </c>
      <c r="Q108" s="6">
        <f ca="1">IFERROR(__xludf.DUMMYFUNCTION("""COMPUTED_VALUE"""),769)</f>
        <v>769</v>
      </c>
      <c r="R108" s="4" t="str">
        <f ca="1">IFERROR(__xludf.DUMMYFUNCTION("""COMPUTED_VALUE"""),"")</f>
        <v/>
      </c>
      <c r="S108" s="6">
        <f ca="1">IFERROR(__xludf.DUMMYFUNCTION("""COMPUTED_VALUE"""),1865)</f>
        <v>1865</v>
      </c>
      <c r="T108" s="4"/>
      <c r="U108" s="4"/>
      <c r="V108" s="4"/>
      <c r="W108" s="4"/>
      <c r="X108" s="4"/>
      <c r="Y108" s="4"/>
      <c r="Z108" s="4"/>
      <c r="AA108" s="4"/>
      <c r="AB108" s="4"/>
    </row>
    <row r="109" spans="1:28" x14ac:dyDescent="0.2">
      <c r="A109" s="4" t="str">
        <f t="shared" si="0"/>
        <v/>
      </c>
      <c r="B109" s="4" t="str">
        <f t="shared" si="1"/>
        <v/>
      </c>
      <c r="C109" s="4"/>
      <c r="D109" s="4"/>
      <c r="E109" s="4"/>
      <c r="F109" s="4"/>
      <c r="G109" s="4"/>
      <c r="H109" s="4"/>
      <c r="I109" s="4"/>
      <c r="J109" s="4"/>
      <c r="K109" s="4"/>
      <c r="L109" s="4"/>
      <c r="M109" s="4"/>
      <c r="N109" s="6">
        <f ca="1">IFERROR(__xludf.DUMMYFUNCTION("""COMPUTED_VALUE"""),38)</f>
        <v>38</v>
      </c>
      <c r="O109" s="6">
        <f ca="1">IFERROR(__xludf.DUMMYFUNCTION("""COMPUTED_VALUE"""),39)</f>
        <v>39</v>
      </c>
      <c r="P109" s="4" t="str">
        <f ca="1">IFERROR(__xludf.DUMMYFUNCTION("""COMPUTED_VALUE"""),"")</f>
        <v/>
      </c>
      <c r="Q109" s="6">
        <f ca="1">IFERROR(__xludf.DUMMYFUNCTION("""COMPUTED_VALUE"""),769)</f>
        <v>769</v>
      </c>
      <c r="R109" s="4" t="str">
        <f ca="1">IFERROR(__xludf.DUMMYFUNCTION("""COMPUTED_VALUE"""),"")</f>
        <v/>
      </c>
      <c r="S109" s="6">
        <f ca="1">IFERROR(__xludf.DUMMYFUNCTION("""COMPUTED_VALUE"""),1865)</f>
        <v>1865</v>
      </c>
      <c r="T109" s="4"/>
      <c r="U109" s="4"/>
      <c r="V109" s="4"/>
      <c r="W109" s="4"/>
      <c r="X109" s="4"/>
      <c r="Y109" s="4"/>
      <c r="Z109" s="4"/>
      <c r="AA109" s="4"/>
      <c r="AB109" s="4"/>
    </row>
    <row r="110" spans="1:28" x14ac:dyDescent="0.2">
      <c r="A110" s="4" t="str">
        <f t="shared" si="0"/>
        <v/>
      </c>
      <c r="B110" s="4" t="str">
        <f t="shared" si="1"/>
        <v/>
      </c>
      <c r="C110" s="4"/>
      <c r="D110" s="4"/>
      <c r="E110" s="4"/>
      <c r="F110" s="4"/>
      <c r="G110" s="4"/>
      <c r="H110" s="4"/>
      <c r="I110" s="4"/>
      <c r="J110" s="4"/>
      <c r="K110" s="4"/>
      <c r="L110" s="4"/>
      <c r="M110" s="4"/>
      <c r="N110" s="6">
        <f ca="1">IFERROR(__xludf.DUMMYFUNCTION("""COMPUTED_VALUE"""),38)</f>
        <v>38</v>
      </c>
      <c r="O110" s="6">
        <f ca="1">IFERROR(__xludf.DUMMYFUNCTION("""COMPUTED_VALUE"""),39)</f>
        <v>39</v>
      </c>
      <c r="P110" s="4" t="str">
        <f ca="1">IFERROR(__xludf.DUMMYFUNCTION("""COMPUTED_VALUE"""),"")</f>
        <v/>
      </c>
      <c r="Q110" s="6">
        <f ca="1">IFERROR(__xludf.DUMMYFUNCTION("""COMPUTED_VALUE"""),769)</f>
        <v>769</v>
      </c>
      <c r="R110" s="4" t="str">
        <f ca="1">IFERROR(__xludf.DUMMYFUNCTION("""COMPUTED_VALUE"""),"")</f>
        <v/>
      </c>
      <c r="S110" s="6">
        <f ca="1">IFERROR(__xludf.DUMMYFUNCTION("""COMPUTED_VALUE"""),1865)</f>
        <v>1865</v>
      </c>
      <c r="T110" s="4"/>
      <c r="U110" s="4"/>
      <c r="V110" s="4"/>
      <c r="W110" s="4"/>
      <c r="X110" s="4"/>
      <c r="Y110" s="4"/>
      <c r="Z110" s="4"/>
      <c r="AA110" s="4"/>
      <c r="AB110" s="4"/>
    </row>
    <row r="111" spans="1:28" x14ac:dyDescent="0.2">
      <c r="A111" s="4" t="str">
        <f t="shared" si="0"/>
        <v/>
      </c>
      <c r="B111" s="4" t="str">
        <f t="shared" si="1"/>
        <v/>
      </c>
      <c r="C111" s="4"/>
      <c r="D111" s="4"/>
      <c r="E111" s="4"/>
      <c r="F111" s="4"/>
      <c r="G111" s="4"/>
      <c r="H111" s="4"/>
      <c r="I111" s="4"/>
      <c r="J111" s="4"/>
      <c r="K111" s="4"/>
      <c r="L111" s="4"/>
      <c r="M111" s="4"/>
      <c r="N111" s="6">
        <f ca="1">IFERROR(__xludf.DUMMYFUNCTION("""COMPUTED_VALUE"""),38)</f>
        <v>38</v>
      </c>
      <c r="O111" s="6">
        <f ca="1">IFERROR(__xludf.DUMMYFUNCTION("""COMPUTED_VALUE"""),39)</f>
        <v>39</v>
      </c>
      <c r="P111" s="4" t="str">
        <f ca="1">IFERROR(__xludf.DUMMYFUNCTION("""COMPUTED_VALUE"""),"")</f>
        <v/>
      </c>
      <c r="Q111" s="6">
        <f ca="1">IFERROR(__xludf.DUMMYFUNCTION("""COMPUTED_VALUE"""),769)</f>
        <v>769</v>
      </c>
      <c r="R111" s="4" t="str">
        <f ca="1">IFERROR(__xludf.DUMMYFUNCTION("""COMPUTED_VALUE"""),"")</f>
        <v/>
      </c>
      <c r="S111" s="6">
        <f ca="1">IFERROR(__xludf.DUMMYFUNCTION("""COMPUTED_VALUE"""),1865)</f>
        <v>1865</v>
      </c>
      <c r="T111" s="4"/>
      <c r="U111" s="4"/>
      <c r="V111" s="4"/>
      <c r="W111" s="4"/>
      <c r="X111" s="4"/>
      <c r="Y111" s="4"/>
      <c r="Z111" s="4"/>
      <c r="AA111" s="4"/>
      <c r="AB111" s="4"/>
    </row>
    <row r="112" spans="1:28" x14ac:dyDescent="0.2">
      <c r="A112" s="4" t="str">
        <f t="shared" si="0"/>
        <v/>
      </c>
      <c r="B112" s="4" t="str">
        <f t="shared" si="1"/>
        <v/>
      </c>
      <c r="C112" s="4"/>
      <c r="D112" s="4"/>
      <c r="E112" s="4"/>
      <c r="F112" s="4"/>
      <c r="G112" s="4"/>
      <c r="H112" s="4"/>
      <c r="I112" s="4"/>
      <c r="J112" s="4"/>
      <c r="K112" s="4"/>
      <c r="L112" s="4"/>
      <c r="M112" s="4"/>
      <c r="N112" s="6">
        <f ca="1">IFERROR(__xludf.DUMMYFUNCTION("""COMPUTED_VALUE"""),38)</f>
        <v>38</v>
      </c>
      <c r="O112" s="6">
        <f ca="1">IFERROR(__xludf.DUMMYFUNCTION("""COMPUTED_VALUE"""),39)</f>
        <v>39</v>
      </c>
      <c r="P112" s="4" t="str">
        <f ca="1">IFERROR(__xludf.DUMMYFUNCTION("""COMPUTED_VALUE"""),"")</f>
        <v/>
      </c>
      <c r="Q112" s="6">
        <f ca="1">IFERROR(__xludf.DUMMYFUNCTION("""COMPUTED_VALUE"""),769)</f>
        <v>769</v>
      </c>
      <c r="R112" s="4" t="str">
        <f ca="1">IFERROR(__xludf.DUMMYFUNCTION("""COMPUTED_VALUE"""),"")</f>
        <v/>
      </c>
      <c r="S112" s="6">
        <f ca="1">IFERROR(__xludf.DUMMYFUNCTION("""COMPUTED_VALUE"""),1865)</f>
        <v>1865</v>
      </c>
      <c r="T112" s="4"/>
      <c r="U112" s="4"/>
      <c r="V112" s="4"/>
      <c r="W112" s="4"/>
      <c r="X112" s="4"/>
      <c r="Y112" s="4"/>
      <c r="Z112" s="4"/>
      <c r="AA112" s="4"/>
      <c r="AB112" s="4"/>
    </row>
    <row r="113" spans="1:28" x14ac:dyDescent="0.2">
      <c r="A113" s="4" t="str">
        <f t="shared" si="0"/>
        <v/>
      </c>
      <c r="B113" s="4" t="str">
        <f t="shared" si="1"/>
        <v/>
      </c>
      <c r="C113" s="4"/>
      <c r="D113" s="4"/>
      <c r="E113" s="4"/>
      <c r="F113" s="4"/>
      <c r="G113" s="4"/>
      <c r="H113" s="4"/>
      <c r="I113" s="4"/>
      <c r="J113" s="4"/>
      <c r="K113" s="4"/>
      <c r="L113" s="4"/>
      <c r="M113" s="4"/>
      <c r="N113" s="6">
        <f ca="1">IFERROR(__xludf.DUMMYFUNCTION("""COMPUTED_VALUE"""),38)</f>
        <v>38</v>
      </c>
      <c r="O113" s="6">
        <f ca="1">IFERROR(__xludf.DUMMYFUNCTION("""COMPUTED_VALUE"""),39)</f>
        <v>39</v>
      </c>
      <c r="P113" s="4" t="str">
        <f ca="1">IFERROR(__xludf.DUMMYFUNCTION("""COMPUTED_VALUE"""),"")</f>
        <v/>
      </c>
      <c r="Q113" s="6">
        <f ca="1">IFERROR(__xludf.DUMMYFUNCTION("""COMPUTED_VALUE"""),769)</f>
        <v>769</v>
      </c>
      <c r="R113" s="4" t="str">
        <f ca="1">IFERROR(__xludf.DUMMYFUNCTION("""COMPUTED_VALUE"""),"")</f>
        <v/>
      </c>
      <c r="S113" s="6">
        <f ca="1">IFERROR(__xludf.DUMMYFUNCTION("""COMPUTED_VALUE"""),1865)</f>
        <v>1865</v>
      </c>
      <c r="T113" s="4"/>
      <c r="U113" s="4"/>
      <c r="V113" s="4"/>
      <c r="W113" s="4"/>
      <c r="X113" s="4"/>
      <c r="Y113" s="4"/>
      <c r="Z113" s="4"/>
      <c r="AA113" s="4"/>
      <c r="AB113" s="4"/>
    </row>
    <row r="114" spans="1:28" x14ac:dyDescent="0.2">
      <c r="A114" s="4" t="str">
        <f t="shared" si="0"/>
        <v/>
      </c>
      <c r="B114" s="4" t="str">
        <f t="shared" si="1"/>
        <v/>
      </c>
      <c r="C114" s="4"/>
      <c r="D114" s="4"/>
      <c r="E114" s="4"/>
      <c r="F114" s="4"/>
      <c r="G114" s="4"/>
      <c r="H114" s="4"/>
      <c r="I114" s="4"/>
      <c r="J114" s="4"/>
      <c r="K114" s="4"/>
      <c r="L114" s="4"/>
      <c r="M114" s="4"/>
      <c r="N114" s="6">
        <f ca="1">IFERROR(__xludf.DUMMYFUNCTION("""COMPUTED_VALUE"""),38)</f>
        <v>38</v>
      </c>
      <c r="O114" s="6">
        <f ca="1">IFERROR(__xludf.DUMMYFUNCTION("""COMPUTED_VALUE"""),39)</f>
        <v>39</v>
      </c>
      <c r="P114" s="4" t="str">
        <f ca="1">IFERROR(__xludf.DUMMYFUNCTION("""COMPUTED_VALUE"""),"")</f>
        <v/>
      </c>
      <c r="Q114" s="6">
        <f ca="1">IFERROR(__xludf.DUMMYFUNCTION("""COMPUTED_VALUE"""),769)</f>
        <v>769</v>
      </c>
      <c r="R114" s="4" t="str">
        <f ca="1">IFERROR(__xludf.DUMMYFUNCTION("""COMPUTED_VALUE"""),"")</f>
        <v/>
      </c>
      <c r="S114" s="6">
        <f ca="1">IFERROR(__xludf.DUMMYFUNCTION("""COMPUTED_VALUE"""),1865)</f>
        <v>1865</v>
      </c>
      <c r="T114" s="4"/>
      <c r="U114" s="4"/>
      <c r="V114" s="4"/>
      <c r="W114" s="4"/>
      <c r="X114" s="4"/>
      <c r="Y114" s="4"/>
      <c r="Z114" s="4"/>
      <c r="AA114" s="4"/>
      <c r="AB114" s="4"/>
    </row>
    <row r="115" spans="1:28" x14ac:dyDescent="0.2">
      <c r="A115" s="4" t="str">
        <f t="shared" si="0"/>
        <v/>
      </c>
      <c r="B115" s="4" t="str">
        <f t="shared" si="1"/>
        <v/>
      </c>
      <c r="C115" s="4"/>
      <c r="D115" s="4"/>
      <c r="E115" s="4"/>
      <c r="F115" s="4"/>
      <c r="G115" s="4"/>
      <c r="H115" s="4"/>
      <c r="I115" s="4"/>
      <c r="J115" s="4"/>
      <c r="K115" s="4"/>
      <c r="L115" s="4"/>
      <c r="M115" s="4"/>
      <c r="N115" s="6">
        <f ca="1">IFERROR(__xludf.DUMMYFUNCTION("""COMPUTED_VALUE"""),38)</f>
        <v>38</v>
      </c>
      <c r="O115" s="6">
        <f ca="1">IFERROR(__xludf.DUMMYFUNCTION("""COMPUTED_VALUE"""),39)</f>
        <v>39</v>
      </c>
      <c r="P115" s="4" t="str">
        <f ca="1">IFERROR(__xludf.DUMMYFUNCTION("""COMPUTED_VALUE"""),"")</f>
        <v/>
      </c>
      <c r="Q115" s="6">
        <f ca="1">IFERROR(__xludf.DUMMYFUNCTION("""COMPUTED_VALUE"""),769)</f>
        <v>769</v>
      </c>
      <c r="R115" s="4" t="str">
        <f ca="1">IFERROR(__xludf.DUMMYFUNCTION("""COMPUTED_VALUE"""),"")</f>
        <v/>
      </c>
      <c r="S115" s="6">
        <f ca="1">IFERROR(__xludf.DUMMYFUNCTION("""COMPUTED_VALUE"""),1865)</f>
        <v>1865</v>
      </c>
      <c r="T115" s="4"/>
      <c r="U115" s="4"/>
      <c r="V115" s="4"/>
      <c r="W115" s="4"/>
      <c r="X115" s="4"/>
      <c r="Y115" s="4"/>
      <c r="Z115" s="4"/>
      <c r="AA115" s="4"/>
      <c r="AB115" s="4"/>
    </row>
    <row r="116" spans="1:28" x14ac:dyDescent="0.2">
      <c r="A116" s="4" t="str">
        <f t="shared" si="0"/>
        <v/>
      </c>
      <c r="B116" s="4" t="str">
        <f t="shared" si="1"/>
        <v/>
      </c>
      <c r="C116" s="4"/>
      <c r="D116" s="4"/>
      <c r="E116" s="4"/>
      <c r="F116" s="4"/>
      <c r="G116" s="4"/>
      <c r="H116" s="4"/>
      <c r="I116" s="4"/>
      <c r="J116" s="4"/>
      <c r="K116" s="4"/>
      <c r="L116" s="4"/>
      <c r="M116" s="4"/>
      <c r="N116" s="6">
        <f ca="1">IFERROR(__xludf.DUMMYFUNCTION("""COMPUTED_VALUE"""),38)</f>
        <v>38</v>
      </c>
      <c r="O116" s="6">
        <f ca="1">IFERROR(__xludf.DUMMYFUNCTION("""COMPUTED_VALUE"""),39)</f>
        <v>39</v>
      </c>
      <c r="P116" s="4" t="str">
        <f ca="1">IFERROR(__xludf.DUMMYFUNCTION("""COMPUTED_VALUE"""),"")</f>
        <v/>
      </c>
      <c r="Q116" s="6">
        <f ca="1">IFERROR(__xludf.DUMMYFUNCTION("""COMPUTED_VALUE"""),769)</f>
        <v>769</v>
      </c>
      <c r="R116" s="4" t="str">
        <f ca="1">IFERROR(__xludf.DUMMYFUNCTION("""COMPUTED_VALUE"""),"")</f>
        <v/>
      </c>
      <c r="S116" s="6">
        <f ca="1">IFERROR(__xludf.DUMMYFUNCTION("""COMPUTED_VALUE"""),1865)</f>
        <v>1865</v>
      </c>
      <c r="T116" s="4"/>
      <c r="U116" s="4"/>
      <c r="V116" s="4"/>
      <c r="W116" s="4"/>
      <c r="X116" s="4"/>
      <c r="Y116" s="4"/>
      <c r="Z116" s="4"/>
      <c r="AA116" s="4"/>
      <c r="AB116" s="4"/>
    </row>
    <row r="117" spans="1:28" x14ac:dyDescent="0.2">
      <c r="A117" s="4" t="str">
        <f t="shared" si="0"/>
        <v/>
      </c>
      <c r="B117" s="4" t="str">
        <f t="shared" si="1"/>
        <v/>
      </c>
      <c r="C117" s="4"/>
      <c r="D117" s="4"/>
      <c r="E117" s="4"/>
      <c r="F117" s="4"/>
      <c r="G117" s="4"/>
      <c r="H117" s="4"/>
      <c r="I117" s="4"/>
      <c r="J117" s="4"/>
      <c r="K117" s="4"/>
      <c r="L117" s="4"/>
      <c r="M117" s="4"/>
      <c r="N117" s="6">
        <f ca="1">IFERROR(__xludf.DUMMYFUNCTION("""COMPUTED_VALUE"""),38)</f>
        <v>38</v>
      </c>
      <c r="O117" s="6">
        <f ca="1">IFERROR(__xludf.DUMMYFUNCTION("""COMPUTED_VALUE"""),39)</f>
        <v>39</v>
      </c>
      <c r="P117" s="4" t="str">
        <f ca="1">IFERROR(__xludf.DUMMYFUNCTION("""COMPUTED_VALUE"""),"")</f>
        <v/>
      </c>
      <c r="Q117" s="6">
        <f ca="1">IFERROR(__xludf.DUMMYFUNCTION("""COMPUTED_VALUE"""),769)</f>
        <v>769</v>
      </c>
      <c r="R117" s="4" t="str">
        <f ca="1">IFERROR(__xludf.DUMMYFUNCTION("""COMPUTED_VALUE"""),"")</f>
        <v/>
      </c>
      <c r="S117" s="6">
        <f ca="1">IFERROR(__xludf.DUMMYFUNCTION("""COMPUTED_VALUE"""),1865)</f>
        <v>1865</v>
      </c>
      <c r="T117" s="4"/>
      <c r="U117" s="4"/>
      <c r="V117" s="4"/>
      <c r="W117" s="4"/>
      <c r="X117" s="4"/>
      <c r="Y117" s="4"/>
      <c r="Z117" s="4"/>
      <c r="AA117" s="4"/>
      <c r="AB117" s="4"/>
    </row>
    <row r="118" spans="1:28" x14ac:dyDescent="0.2">
      <c r="A118" s="4" t="str">
        <f t="shared" si="0"/>
        <v/>
      </c>
      <c r="B118" s="4" t="str">
        <f t="shared" si="1"/>
        <v/>
      </c>
      <c r="C118" s="4"/>
      <c r="D118" s="4"/>
      <c r="E118" s="4"/>
      <c r="F118" s="4"/>
      <c r="G118" s="4"/>
      <c r="H118" s="4"/>
      <c r="I118" s="4"/>
      <c r="J118" s="4"/>
      <c r="K118" s="4"/>
      <c r="L118" s="4"/>
      <c r="M118" s="4"/>
      <c r="N118" s="6">
        <f ca="1">IFERROR(__xludf.DUMMYFUNCTION("""COMPUTED_VALUE"""),38)</f>
        <v>38</v>
      </c>
      <c r="O118" s="6">
        <f ca="1">IFERROR(__xludf.DUMMYFUNCTION("""COMPUTED_VALUE"""),39)</f>
        <v>39</v>
      </c>
      <c r="P118" s="4" t="str">
        <f ca="1">IFERROR(__xludf.DUMMYFUNCTION("""COMPUTED_VALUE"""),"")</f>
        <v/>
      </c>
      <c r="Q118" s="6">
        <f ca="1">IFERROR(__xludf.DUMMYFUNCTION("""COMPUTED_VALUE"""),769)</f>
        <v>769</v>
      </c>
      <c r="R118" s="4" t="str">
        <f ca="1">IFERROR(__xludf.DUMMYFUNCTION("""COMPUTED_VALUE"""),"")</f>
        <v/>
      </c>
      <c r="S118" s="6">
        <f ca="1">IFERROR(__xludf.DUMMYFUNCTION("""COMPUTED_VALUE"""),1865)</f>
        <v>1865</v>
      </c>
      <c r="T118" s="4"/>
      <c r="U118" s="4"/>
      <c r="V118" s="4"/>
      <c r="W118" s="4"/>
      <c r="X118" s="4"/>
      <c r="Y118" s="4"/>
      <c r="Z118" s="4"/>
      <c r="AA118" s="4"/>
      <c r="AB118" s="4"/>
    </row>
    <row r="119" spans="1:28" x14ac:dyDescent="0.2">
      <c r="A119" s="4" t="str">
        <f t="shared" si="0"/>
        <v/>
      </c>
      <c r="B119" s="4" t="str">
        <f t="shared" si="1"/>
        <v/>
      </c>
      <c r="C119" s="4"/>
      <c r="D119" s="4"/>
      <c r="E119" s="4"/>
      <c r="F119" s="4"/>
      <c r="G119" s="4"/>
      <c r="H119" s="4"/>
      <c r="I119" s="4"/>
      <c r="J119" s="4"/>
      <c r="K119" s="4"/>
      <c r="L119" s="4"/>
      <c r="M119" s="4"/>
      <c r="N119" s="6">
        <f ca="1">IFERROR(__xludf.DUMMYFUNCTION("""COMPUTED_VALUE"""),38)</f>
        <v>38</v>
      </c>
      <c r="O119" s="6">
        <f ca="1">IFERROR(__xludf.DUMMYFUNCTION("""COMPUTED_VALUE"""),39)</f>
        <v>39</v>
      </c>
      <c r="P119" s="4" t="str">
        <f ca="1">IFERROR(__xludf.DUMMYFUNCTION("""COMPUTED_VALUE"""),"")</f>
        <v/>
      </c>
      <c r="Q119" s="6">
        <f ca="1">IFERROR(__xludf.DUMMYFUNCTION("""COMPUTED_VALUE"""),769)</f>
        <v>769</v>
      </c>
      <c r="R119" s="4" t="str">
        <f ca="1">IFERROR(__xludf.DUMMYFUNCTION("""COMPUTED_VALUE"""),"")</f>
        <v/>
      </c>
      <c r="S119" s="6">
        <f ca="1">IFERROR(__xludf.DUMMYFUNCTION("""COMPUTED_VALUE"""),1865)</f>
        <v>1865</v>
      </c>
      <c r="T119" s="4"/>
      <c r="U119" s="4"/>
      <c r="V119" s="4"/>
      <c r="W119" s="4"/>
      <c r="X119" s="4"/>
      <c r="Y119" s="4"/>
      <c r="Z119" s="4"/>
      <c r="AA119" s="4"/>
      <c r="AB119" s="4"/>
    </row>
    <row r="120" spans="1:28" x14ac:dyDescent="0.2">
      <c r="A120" s="4" t="str">
        <f t="shared" si="0"/>
        <v/>
      </c>
      <c r="B120" s="4" t="str">
        <f t="shared" si="1"/>
        <v/>
      </c>
      <c r="C120" s="4"/>
      <c r="D120" s="4"/>
      <c r="E120" s="4"/>
      <c r="F120" s="4"/>
      <c r="G120" s="4"/>
      <c r="H120" s="4"/>
      <c r="I120" s="4"/>
      <c r="J120" s="4"/>
      <c r="K120" s="4"/>
      <c r="L120" s="4"/>
      <c r="M120" s="4"/>
      <c r="N120" s="6">
        <f ca="1">IFERROR(__xludf.DUMMYFUNCTION("""COMPUTED_VALUE"""),38)</f>
        <v>38</v>
      </c>
      <c r="O120" s="6">
        <f ca="1">IFERROR(__xludf.DUMMYFUNCTION("""COMPUTED_VALUE"""),39)</f>
        <v>39</v>
      </c>
      <c r="P120" s="4" t="str">
        <f ca="1">IFERROR(__xludf.DUMMYFUNCTION("""COMPUTED_VALUE"""),"")</f>
        <v/>
      </c>
      <c r="Q120" s="6">
        <f ca="1">IFERROR(__xludf.DUMMYFUNCTION("""COMPUTED_VALUE"""),769)</f>
        <v>769</v>
      </c>
      <c r="R120" s="4" t="str">
        <f ca="1">IFERROR(__xludf.DUMMYFUNCTION("""COMPUTED_VALUE"""),"")</f>
        <v/>
      </c>
      <c r="S120" s="6">
        <f ca="1">IFERROR(__xludf.DUMMYFUNCTION("""COMPUTED_VALUE"""),1865)</f>
        <v>1865</v>
      </c>
      <c r="T120" s="4"/>
      <c r="U120" s="4"/>
      <c r="V120" s="4"/>
      <c r="W120" s="4"/>
      <c r="X120" s="4"/>
      <c r="Y120" s="4"/>
      <c r="Z120" s="4"/>
      <c r="AA120" s="4"/>
      <c r="AB120" s="4"/>
    </row>
    <row r="121" spans="1:28" x14ac:dyDescent="0.2">
      <c r="A121" s="4" t="str">
        <f t="shared" si="0"/>
        <v/>
      </c>
      <c r="B121" s="4" t="str">
        <f t="shared" si="1"/>
        <v/>
      </c>
      <c r="C121" s="4"/>
      <c r="D121" s="4"/>
      <c r="E121" s="4"/>
      <c r="F121" s="4"/>
      <c r="G121" s="4"/>
      <c r="H121" s="4"/>
      <c r="I121" s="4"/>
      <c r="J121" s="4"/>
      <c r="K121" s="4"/>
      <c r="L121" s="4"/>
      <c r="M121" s="4"/>
      <c r="N121" s="6">
        <f ca="1">IFERROR(__xludf.DUMMYFUNCTION("""COMPUTED_VALUE"""),38)</f>
        <v>38</v>
      </c>
      <c r="O121" s="6">
        <f ca="1">IFERROR(__xludf.DUMMYFUNCTION("""COMPUTED_VALUE"""),39)</f>
        <v>39</v>
      </c>
      <c r="P121" s="4" t="str">
        <f ca="1">IFERROR(__xludf.DUMMYFUNCTION("""COMPUTED_VALUE"""),"")</f>
        <v/>
      </c>
      <c r="Q121" s="6">
        <f ca="1">IFERROR(__xludf.DUMMYFUNCTION("""COMPUTED_VALUE"""),769)</f>
        <v>769</v>
      </c>
      <c r="R121" s="4" t="str">
        <f ca="1">IFERROR(__xludf.DUMMYFUNCTION("""COMPUTED_VALUE"""),"")</f>
        <v/>
      </c>
      <c r="S121" s="6">
        <f ca="1">IFERROR(__xludf.DUMMYFUNCTION("""COMPUTED_VALUE"""),1865)</f>
        <v>1865</v>
      </c>
      <c r="T121" s="4"/>
      <c r="U121" s="4"/>
      <c r="V121" s="4"/>
      <c r="W121" s="4"/>
      <c r="X121" s="4"/>
      <c r="Y121" s="4"/>
      <c r="Z121" s="4"/>
      <c r="AA121" s="4"/>
      <c r="AB121" s="4"/>
    </row>
    <row r="122" spans="1:28" x14ac:dyDescent="0.2">
      <c r="A122" s="4" t="str">
        <f t="shared" si="0"/>
        <v/>
      </c>
      <c r="B122" s="4" t="str">
        <f t="shared" si="1"/>
        <v/>
      </c>
      <c r="C122" s="4"/>
      <c r="D122" s="4"/>
      <c r="E122" s="4"/>
      <c r="F122" s="4"/>
      <c r="G122" s="4"/>
      <c r="H122" s="4"/>
      <c r="I122" s="4"/>
      <c r="J122" s="4"/>
      <c r="K122" s="4"/>
      <c r="L122" s="4"/>
      <c r="M122" s="4"/>
      <c r="N122" s="6">
        <f ca="1">IFERROR(__xludf.DUMMYFUNCTION("""COMPUTED_VALUE"""),38)</f>
        <v>38</v>
      </c>
      <c r="O122" s="6">
        <f ca="1">IFERROR(__xludf.DUMMYFUNCTION("""COMPUTED_VALUE"""),39)</f>
        <v>39</v>
      </c>
      <c r="P122" s="4" t="str">
        <f ca="1">IFERROR(__xludf.DUMMYFUNCTION("""COMPUTED_VALUE"""),"")</f>
        <v/>
      </c>
      <c r="Q122" s="6">
        <f ca="1">IFERROR(__xludf.DUMMYFUNCTION("""COMPUTED_VALUE"""),769)</f>
        <v>769</v>
      </c>
      <c r="R122" s="4" t="str">
        <f ca="1">IFERROR(__xludf.DUMMYFUNCTION("""COMPUTED_VALUE"""),"")</f>
        <v/>
      </c>
      <c r="S122" s="6">
        <f ca="1">IFERROR(__xludf.DUMMYFUNCTION("""COMPUTED_VALUE"""),1865)</f>
        <v>1865</v>
      </c>
      <c r="T122" s="4"/>
      <c r="U122" s="4"/>
      <c r="V122" s="4"/>
      <c r="W122" s="4"/>
      <c r="X122" s="4"/>
      <c r="Y122" s="4"/>
      <c r="Z122" s="4"/>
      <c r="AA122" s="4"/>
      <c r="AB122" s="4"/>
    </row>
    <row r="123" spans="1:28" x14ac:dyDescent="0.2">
      <c r="A123" s="4" t="str">
        <f t="shared" si="0"/>
        <v/>
      </c>
      <c r="B123" s="4" t="str">
        <f t="shared" si="1"/>
        <v/>
      </c>
      <c r="C123" s="4"/>
      <c r="D123" s="4"/>
      <c r="E123" s="4"/>
      <c r="F123" s="4"/>
      <c r="G123" s="4"/>
      <c r="H123" s="4"/>
      <c r="I123" s="4"/>
      <c r="J123" s="4"/>
      <c r="K123" s="4"/>
      <c r="L123" s="4"/>
      <c r="M123" s="4"/>
      <c r="N123" s="6">
        <f ca="1">IFERROR(__xludf.DUMMYFUNCTION("""COMPUTED_VALUE"""),38)</f>
        <v>38</v>
      </c>
      <c r="O123" s="6">
        <f ca="1">IFERROR(__xludf.DUMMYFUNCTION("""COMPUTED_VALUE"""),39)</f>
        <v>39</v>
      </c>
      <c r="P123" s="4" t="str">
        <f ca="1">IFERROR(__xludf.DUMMYFUNCTION("""COMPUTED_VALUE"""),"")</f>
        <v/>
      </c>
      <c r="Q123" s="6">
        <f ca="1">IFERROR(__xludf.DUMMYFUNCTION("""COMPUTED_VALUE"""),769)</f>
        <v>769</v>
      </c>
      <c r="R123" s="4" t="str">
        <f ca="1">IFERROR(__xludf.DUMMYFUNCTION("""COMPUTED_VALUE"""),"")</f>
        <v/>
      </c>
      <c r="S123" s="6">
        <f ca="1">IFERROR(__xludf.DUMMYFUNCTION("""COMPUTED_VALUE"""),1865)</f>
        <v>1865</v>
      </c>
      <c r="T123" s="4"/>
      <c r="U123" s="4"/>
      <c r="V123" s="4"/>
      <c r="W123" s="4"/>
      <c r="X123" s="4"/>
      <c r="Y123" s="4"/>
      <c r="Z123" s="4"/>
      <c r="AA123" s="4"/>
      <c r="AB123" s="4"/>
    </row>
    <row r="124" spans="1:28" x14ac:dyDescent="0.2">
      <c r="A124" s="4" t="str">
        <f t="shared" si="0"/>
        <v/>
      </c>
      <c r="B124" s="4" t="str">
        <f t="shared" si="1"/>
        <v/>
      </c>
      <c r="C124" s="4"/>
      <c r="D124" s="4"/>
      <c r="E124" s="4"/>
      <c r="F124" s="4"/>
      <c r="G124" s="4"/>
      <c r="H124" s="4"/>
      <c r="I124" s="4"/>
      <c r="J124" s="4"/>
      <c r="K124" s="4"/>
      <c r="L124" s="4"/>
      <c r="M124" s="4"/>
      <c r="N124" s="6">
        <f ca="1">IFERROR(__xludf.DUMMYFUNCTION("""COMPUTED_VALUE"""),38)</f>
        <v>38</v>
      </c>
      <c r="O124" s="6">
        <f ca="1">IFERROR(__xludf.DUMMYFUNCTION("""COMPUTED_VALUE"""),39)</f>
        <v>39</v>
      </c>
      <c r="P124" s="4" t="str">
        <f ca="1">IFERROR(__xludf.DUMMYFUNCTION("""COMPUTED_VALUE"""),"")</f>
        <v/>
      </c>
      <c r="Q124" s="6">
        <f ca="1">IFERROR(__xludf.DUMMYFUNCTION("""COMPUTED_VALUE"""),769)</f>
        <v>769</v>
      </c>
      <c r="R124" s="4" t="str">
        <f ca="1">IFERROR(__xludf.DUMMYFUNCTION("""COMPUTED_VALUE"""),"")</f>
        <v/>
      </c>
      <c r="S124" s="6">
        <f ca="1">IFERROR(__xludf.DUMMYFUNCTION("""COMPUTED_VALUE"""),1865)</f>
        <v>1865</v>
      </c>
      <c r="T124" s="4"/>
      <c r="U124" s="4"/>
      <c r="V124" s="4"/>
      <c r="W124" s="4"/>
      <c r="X124" s="4"/>
      <c r="Y124" s="4"/>
      <c r="Z124" s="4"/>
      <c r="AA124" s="4"/>
      <c r="AB124" s="4"/>
    </row>
    <row r="125" spans="1:28" x14ac:dyDescent="0.2">
      <c r="A125" s="4" t="str">
        <f t="shared" si="0"/>
        <v/>
      </c>
      <c r="B125" s="4" t="str">
        <f t="shared" si="1"/>
        <v/>
      </c>
      <c r="C125" s="4"/>
      <c r="D125" s="4"/>
      <c r="E125" s="4"/>
      <c r="F125" s="4"/>
      <c r="G125" s="4"/>
      <c r="H125" s="4"/>
      <c r="I125" s="4"/>
      <c r="J125" s="4"/>
      <c r="K125" s="4"/>
      <c r="L125" s="4"/>
      <c r="M125" s="4"/>
      <c r="N125" s="6">
        <f ca="1">IFERROR(__xludf.DUMMYFUNCTION("""COMPUTED_VALUE"""),38)</f>
        <v>38</v>
      </c>
      <c r="O125" s="6">
        <f ca="1">IFERROR(__xludf.DUMMYFUNCTION("""COMPUTED_VALUE"""),39)</f>
        <v>39</v>
      </c>
      <c r="P125" s="4" t="str">
        <f ca="1">IFERROR(__xludf.DUMMYFUNCTION("""COMPUTED_VALUE"""),"")</f>
        <v/>
      </c>
      <c r="Q125" s="6">
        <f ca="1">IFERROR(__xludf.DUMMYFUNCTION("""COMPUTED_VALUE"""),769)</f>
        <v>769</v>
      </c>
      <c r="R125" s="4" t="str">
        <f ca="1">IFERROR(__xludf.DUMMYFUNCTION("""COMPUTED_VALUE"""),"")</f>
        <v/>
      </c>
      <c r="S125" s="6">
        <f ca="1">IFERROR(__xludf.DUMMYFUNCTION("""COMPUTED_VALUE"""),1865)</f>
        <v>1865</v>
      </c>
      <c r="T125" s="4"/>
      <c r="U125" s="4"/>
      <c r="V125" s="4"/>
      <c r="W125" s="4"/>
      <c r="X125" s="4"/>
      <c r="Y125" s="4"/>
      <c r="Z125" s="4"/>
      <c r="AA125" s="4"/>
      <c r="AB125" s="4"/>
    </row>
    <row r="126" spans="1:28" x14ac:dyDescent="0.2">
      <c r="A126" s="4" t="str">
        <f t="shared" si="0"/>
        <v/>
      </c>
      <c r="B126" s="4" t="str">
        <f t="shared" si="1"/>
        <v/>
      </c>
      <c r="C126" s="4"/>
      <c r="D126" s="4"/>
      <c r="E126" s="4"/>
      <c r="F126" s="4"/>
      <c r="G126" s="4"/>
      <c r="H126" s="4"/>
      <c r="I126" s="4"/>
      <c r="J126" s="4"/>
      <c r="K126" s="4"/>
      <c r="L126" s="4"/>
      <c r="M126" s="4"/>
      <c r="N126" s="6">
        <f ca="1">IFERROR(__xludf.DUMMYFUNCTION("""COMPUTED_VALUE"""),38)</f>
        <v>38</v>
      </c>
      <c r="O126" s="6">
        <f ca="1">IFERROR(__xludf.DUMMYFUNCTION("""COMPUTED_VALUE"""),39)</f>
        <v>39</v>
      </c>
      <c r="P126" s="4" t="str">
        <f ca="1">IFERROR(__xludf.DUMMYFUNCTION("""COMPUTED_VALUE"""),"")</f>
        <v/>
      </c>
      <c r="Q126" s="6">
        <f ca="1">IFERROR(__xludf.DUMMYFUNCTION("""COMPUTED_VALUE"""),769)</f>
        <v>769</v>
      </c>
      <c r="R126" s="4" t="str">
        <f ca="1">IFERROR(__xludf.DUMMYFUNCTION("""COMPUTED_VALUE"""),"")</f>
        <v/>
      </c>
      <c r="S126" s="6">
        <f ca="1">IFERROR(__xludf.DUMMYFUNCTION("""COMPUTED_VALUE"""),1865)</f>
        <v>1865</v>
      </c>
      <c r="T126" s="4"/>
      <c r="U126" s="4"/>
      <c r="V126" s="4"/>
      <c r="W126" s="4"/>
      <c r="X126" s="4"/>
      <c r="Y126" s="4"/>
      <c r="Z126" s="4"/>
      <c r="AA126" s="4"/>
      <c r="AB126" s="4"/>
    </row>
    <row r="127" spans="1:28" x14ac:dyDescent="0.2">
      <c r="A127" s="4" t="str">
        <f t="shared" si="0"/>
        <v/>
      </c>
      <c r="B127" s="4" t="str">
        <f t="shared" si="1"/>
        <v/>
      </c>
      <c r="C127" s="4"/>
      <c r="D127" s="4"/>
      <c r="E127" s="4"/>
      <c r="F127" s="4"/>
      <c r="G127" s="4"/>
      <c r="H127" s="4"/>
      <c r="I127" s="4"/>
      <c r="J127" s="4"/>
      <c r="K127" s="4"/>
      <c r="L127" s="4"/>
      <c r="M127" s="4"/>
      <c r="N127" s="6">
        <f ca="1">IFERROR(__xludf.DUMMYFUNCTION("""COMPUTED_VALUE"""),38)</f>
        <v>38</v>
      </c>
      <c r="O127" s="6">
        <f ca="1">IFERROR(__xludf.DUMMYFUNCTION("""COMPUTED_VALUE"""),39)</f>
        <v>39</v>
      </c>
      <c r="P127" s="4" t="str">
        <f ca="1">IFERROR(__xludf.DUMMYFUNCTION("""COMPUTED_VALUE"""),"")</f>
        <v/>
      </c>
      <c r="Q127" s="6">
        <f ca="1">IFERROR(__xludf.DUMMYFUNCTION("""COMPUTED_VALUE"""),769)</f>
        <v>769</v>
      </c>
      <c r="R127" s="4" t="str">
        <f ca="1">IFERROR(__xludf.DUMMYFUNCTION("""COMPUTED_VALUE"""),"")</f>
        <v/>
      </c>
      <c r="S127" s="6">
        <f ca="1">IFERROR(__xludf.DUMMYFUNCTION("""COMPUTED_VALUE"""),1865)</f>
        <v>1865</v>
      </c>
      <c r="T127" s="4"/>
      <c r="U127" s="4"/>
      <c r="V127" s="4"/>
      <c r="W127" s="4"/>
      <c r="X127" s="4"/>
      <c r="Y127" s="4"/>
      <c r="Z127" s="4"/>
      <c r="AA127" s="4"/>
      <c r="AB127" s="4"/>
    </row>
    <row r="128" spans="1:28" x14ac:dyDescent="0.2">
      <c r="A128" s="4" t="str">
        <f t="shared" si="0"/>
        <v/>
      </c>
      <c r="B128" s="4" t="str">
        <f t="shared" si="1"/>
        <v/>
      </c>
      <c r="C128" s="4"/>
      <c r="D128" s="4"/>
      <c r="E128" s="4"/>
      <c r="F128" s="4"/>
      <c r="G128" s="4"/>
      <c r="H128" s="4"/>
      <c r="I128" s="4"/>
      <c r="J128" s="4"/>
      <c r="K128" s="4"/>
      <c r="L128" s="4"/>
      <c r="M128" s="4"/>
      <c r="N128" s="6">
        <f ca="1">IFERROR(__xludf.DUMMYFUNCTION("""COMPUTED_VALUE"""),38)</f>
        <v>38</v>
      </c>
      <c r="O128" s="6">
        <f ca="1">IFERROR(__xludf.DUMMYFUNCTION("""COMPUTED_VALUE"""),39)</f>
        <v>39</v>
      </c>
      <c r="P128" s="4" t="str">
        <f ca="1">IFERROR(__xludf.DUMMYFUNCTION("""COMPUTED_VALUE"""),"")</f>
        <v/>
      </c>
      <c r="Q128" s="6">
        <f ca="1">IFERROR(__xludf.DUMMYFUNCTION("""COMPUTED_VALUE"""),769)</f>
        <v>769</v>
      </c>
      <c r="R128" s="4" t="str">
        <f ca="1">IFERROR(__xludf.DUMMYFUNCTION("""COMPUTED_VALUE"""),"")</f>
        <v/>
      </c>
      <c r="S128" s="6">
        <f ca="1">IFERROR(__xludf.DUMMYFUNCTION("""COMPUTED_VALUE"""),1865)</f>
        <v>1865</v>
      </c>
      <c r="T128" s="4"/>
      <c r="U128" s="4"/>
      <c r="V128" s="4"/>
      <c r="W128" s="4"/>
      <c r="X128" s="4"/>
      <c r="Y128" s="4"/>
      <c r="Z128" s="4"/>
      <c r="AA128" s="4"/>
      <c r="AB128" s="4"/>
    </row>
    <row r="129" spans="1:28" x14ac:dyDescent="0.2">
      <c r="A129" s="4" t="str">
        <f t="shared" si="0"/>
        <v/>
      </c>
      <c r="B129" s="4" t="str">
        <f t="shared" si="1"/>
        <v/>
      </c>
      <c r="C129" s="4"/>
      <c r="D129" s="4"/>
      <c r="E129" s="4"/>
      <c r="F129" s="4"/>
      <c r="G129" s="4"/>
      <c r="H129" s="4"/>
      <c r="I129" s="4"/>
      <c r="J129" s="4"/>
      <c r="K129" s="4"/>
      <c r="L129" s="4"/>
      <c r="M129" s="4"/>
      <c r="N129" s="6">
        <f ca="1">IFERROR(__xludf.DUMMYFUNCTION("""COMPUTED_VALUE"""),38)</f>
        <v>38</v>
      </c>
      <c r="O129" s="6">
        <f ca="1">IFERROR(__xludf.DUMMYFUNCTION("""COMPUTED_VALUE"""),39)</f>
        <v>39</v>
      </c>
      <c r="P129" s="4" t="str">
        <f ca="1">IFERROR(__xludf.DUMMYFUNCTION("""COMPUTED_VALUE"""),"")</f>
        <v/>
      </c>
      <c r="Q129" s="6">
        <f ca="1">IFERROR(__xludf.DUMMYFUNCTION("""COMPUTED_VALUE"""),769)</f>
        <v>769</v>
      </c>
      <c r="R129" s="4" t="str">
        <f ca="1">IFERROR(__xludf.DUMMYFUNCTION("""COMPUTED_VALUE"""),"")</f>
        <v/>
      </c>
      <c r="S129" s="6">
        <f ca="1">IFERROR(__xludf.DUMMYFUNCTION("""COMPUTED_VALUE"""),1865)</f>
        <v>1865</v>
      </c>
      <c r="T129" s="4"/>
      <c r="U129" s="4"/>
      <c r="V129" s="4"/>
      <c r="W129" s="4"/>
      <c r="X129" s="4"/>
      <c r="Y129" s="4"/>
      <c r="Z129" s="4"/>
      <c r="AA129" s="4"/>
      <c r="AB129" s="4"/>
    </row>
    <row r="130" spans="1:28" x14ac:dyDescent="0.2">
      <c r="A130" s="4" t="str">
        <f t="shared" si="0"/>
        <v/>
      </c>
      <c r="B130" s="4" t="str">
        <f t="shared" si="1"/>
        <v/>
      </c>
      <c r="C130" s="4"/>
      <c r="D130" s="4"/>
      <c r="E130" s="4"/>
      <c r="F130" s="4"/>
      <c r="G130" s="4"/>
      <c r="H130" s="4"/>
      <c r="I130" s="4"/>
      <c r="J130" s="4"/>
      <c r="K130" s="4"/>
      <c r="L130" s="4"/>
      <c r="M130" s="4"/>
      <c r="N130" s="6">
        <f ca="1">IFERROR(__xludf.DUMMYFUNCTION("""COMPUTED_VALUE"""),38)</f>
        <v>38</v>
      </c>
      <c r="O130" s="6">
        <f ca="1">IFERROR(__xludf.DUMMYFUNCTION("""COMPUTED_VALUE"""),39)</f>
        <v>39</v>
      </c>
      <c r="P130" s="4" t="str">
        <f ca="1">IFERROR(__xludf.DUMMYFUNCTION("""COMPUTED_VALUE"""),"")</f>
        <v/>
      </c>
      <c r="Q130" s="6">
        <f ca="1">IFERROR(__xludf.DUMMYFUNCTION("""COMPUTED_VALUE"""),769)</f>
        <v>769</v>
      </c>
      <c r="R130" s="4" t="str">
        <f ca="1">IFERROR(__xludf.DUMMYFUNCTION("""COMPUTED_VALUE"""),"")</f>
        <v/>
      </c>
      <c r="S130" s="6">
        <f ca="1">IFERROR(__xludf.DUMMYFUNCTION("""COMPUTED_VALUE"""),1865)</f>
        <v>1865</v>
      </c>
      <c r="T130" s="4"/>
      <c r="U130" s="4"/>
      <c r="V130" s="4"/>
      <c r="W130" s="4"/>
      <c r="X130" s="4"/>
      <c r="Y130" s="4"/>
      <c r="Z130" s="4"/>
      <c r="AA130" s="4"/>
      <c r="AB130" s="4"/>
    </row>
    <row r="131" spans="1:28" x14ac:dyDescent="0.2">
      <c r="A131" s="4" t="str">
        <f t="shared" si="0"/>
        <v/>
      </c>
      <c r="B131" s="4" t="str">
        <f t="shared" si="1"/>
        <v/>
      </c>
      <c r="C131" s="4"/>
      <c r="D131" s="4"/>
      <c r="E131" s="4"/>
      <c r="F131" s="4"/>
      <c r="G131" s="4"/>
      <c r="H131" s="4"/>
      <c r="I131" s="4"/>
      <c r="J131" s="4"/>
      <c r="K131" s="4"/>
      <c r="L131" s="4"/>
      <c r="M131" s="4"/>
      <c r="N131" s="6">
        <f ca="1">IFERROR(__xludf.DUMMYFUNCTION("""COMPUTED_VALUE"""),38)</f>
        <v>38</v>
      </c>
      <c r="O131" s="6">
        <f ca="1">IFERROR(__xludf.DUMMYFUNCTION("""COMPUTED_VALUE"""),39)</f>
        <v>39</v>
      </c>
      <c r="P131" s="4" t="str">
        <f ca="1">IFERROR(__xludf.DUMMYFUNCTION("""COMPUTED_VALUE"""),"")</f>
        <v/>
      </c>
      <c r="Q131" s="6">
        <f ca="1">IFERROR(__xludf.DUMMYFUNCTION("""COMPUTED_VALUE"""),769)</f>
        <v>769</v>
      </c>
      <c r="R131" s="4" t="str">
        <f ca="1">IFERROR(__xludf.DUMMYFUNCTION("""COMPUTED_VALUE"""),"")</f>
        <v/>
      </c>
      <c r="S131" s="6">
        <f ca="1">IFERROR(__xludf.DUMMYFUNCTION("""COMPUTED_VALUE"""),1865)</f>
        <v>1865</v>
      </c>
      <c r="T131" s="4"/>
      <c r="U131" s="4"/>
      <c r="V131" s="4"/>
      <c r="W131" s="4"/>
      <c r="X131" s="4"/>
      <c r="Y131" s="4"/>
      <c r="Z131" s="4"/>
      <c r="AA131" s="4"/>
      <c r="AB131" s="4"/>
    </row>
    <row r="132" spans="1:28" x14ac:dyDescent="0.2">
      <c r="A132" s="4" t="str">
        <f t="shared" si="0"/>
        <v/>
      </c>
      <c r="B132" s="4" t="str">
        <f t="shared" si="1"/>
        <v/>
      </c>
      <c r="C132" s="4"/>
      <c r="D132" s="4"/>
      <c r="E132" s="4"/>
      <c r="F132" s="4"/>
      <c r="G132" s="4"/>
      <c r="H132" s="4"/>
      <c r="I132" s="4"/>
      <c r="J132" s="4"/>
      <c r="K132" s="4"/>
      <c r="L132" s="4"/>
      <c r="M132" s="4"/>
      <c r="N132" s="6">
        <f ca="1">IFERROR(__xludf.DUMMYFUNCTION("""COMPUTED_VALUE"""),38)</f>
        <v>38</v>
      </c>
      <c r="O132" s="6">
        <f ca="1">IFERROR(__xludf.DUMMYFUNCTION("""COMPUTED_VALUE"""),39)</f>
        <v>39</v>
      </c>
      <c r="P132" s="4" t="str">
        <f ca="1">IFERROR(__xludf.DUMMYFUNCTION("""COMPUTED_VALUE"""),"")</f>
        <v/>
      </c>
      <c r="Q132" s="6">
        <f ca="1">IFERROR(__xludf.DUMMYFUNCTION("""COMPUTED_VALUE"""),769)</f>
        <v>769</v>
      </c>
      <c r="R132" s="4" t="str">
        <f ca="1">IFERROR(__xludf.DUMMYFUNCTION("""COMPUTED_VALUE"""),"")</f>
        <v/>
      </c>
      <c r="S132" s="6">
        <f ca="1">IFERROR(__xludf.DUMMYFUNCTION("""COMPUTED_VALUE"""),1865)</f>
        <v>1865</v>
      </c>
      <c r="T132" s="4"/>
      <c r="U132" s="4"/>
      <c r="V132" s="4"/>
      <c r="W132" s="4"/>
      <c r="X132" s="4"/>
      <c r="Y132" s="4"/>
      <c r="Z132" s="4"/>
      <c r="AA132" s="4"/>
      <c r="AB132" s="4"/>
    </row>
    <row r="133" spans="1:28" x14ac:dyDescent="0.2">
      <c r="A133" s="4" t="str">
        <f t="shared" si="0"/>
        <v/>
      </c>
      <c r="B133" s="4" t="str">
        <f t="shared" si="1"/>
        <v/>
      </c>
      <c r="C133" s="4"/>
      <c r="D133" s="4"/>
      <c r="E133" s="4"/>
      <c r="F133" s="4"/>
      <c r="G133" s="4"/>
      <c r="H133" s="4"/>
      <c r="I133" s="4"/>
      <c r="J133" s="4"/>
      <c r="K133" s="4"/>
      <c r="L133" s="4"/>
      <c r="M133" s="4"/>
      <c r="N133" s="6">
        <f ca="1">IFERROR(__xludf.DUMMYFUNCTION("""COMPUTED_VALUE"""),38)</f>
        <v>38</v>
      </c>
      <c r="O133" s="6">
        <f ca="1">IFERROR(__xludf.DUMMYFUNCTION("""COMPUTED_VALUE"""),39)</f>
        <v>39</v>
      </c>
      <c r="P133" s="4" t="str">
        <f ca="1">IFERROR(__xludf.DUMMYFUNCTION("""COMPUTED_VALUE"""),"")</f>
        <v/>
      </c>
      <c r="Q133" s="6">
        <f ca="1">IFERROR(__xludf.DUMMYFUNCTION("""COMPUTED_VALUE"""),769)</f>
        <v>769</v>
      </c>
      <c r="R133" s="4" t="str">
        <f ca="1">IFERROR(__xludf.DUMMYFUNCTION("""COMPUTED_VALUE"""),"")</f>
        <v/>
      </c>
      <c r="S133" s="6">
        <f ca="1">IFERROR(__xludf.DUMMYFUNCTION("""COMPUTED_VALUE"""),1865)</f>
        <v>1865</v>
      </c>
      <c r="T133" s="4"/>
      <c r="U133" s="4"/>
      <c r="V133" s="4"/>
      <c r="W133" s="4"/>
      <c r="X133" s="4"/>
      <c r="Y133" s="4"/>
      <c r="Z133" s="4"/>
      <c r="AA133" s="4"/>
      <c r="AB133" s="4"/>
    </row>
    <row r="134" spans="1:28" x14ac:dyDescent="0.2">
      <c r="A134" s="4" t="str">
        <f t="shared" si="0"/>
        <v/>
      </c>
      <c r="B134" s="4" t="str">
        <f t="shared" si="1"/>
        <v/>
      </c>
      <c r="C134" s="4"/>
      <c r="D134" s="4"/>
      <c r="E134" s="4"/>
      <c r="F134" s="4"/>
      <c r="G134" s="4"/>
      <c r="H134" s="4"/>
      <c r="I134" s="4"/>
      <c r="J134" s="4"/>
      <c r="K134" s="4"/>
      <c r="L134" s="4"/>
      <c r="M134" s="4"/>
      <c r="N134" s="6">
        <f ca="1">IFERROR(__xludf.DUMMYFUNCTION("""COMPUTED_VALUE"""),38)</f>
        <v>38</v>
      </c>
      <c r="O134" s="6">
        <f ca="1">IFERROR(__xludf.DUMMYFUNCTION("""COMPUTED_VALUE"""),39)</f>
        <v>39</v>
      </c>
      <c r="P134" s="4" t="str">
        <f ca="1">IFERROR(__xludf.DUMMYFUNCTION("""COMPUTED_VALUE"""),"")</f>
        <v/>
      </c>
      <c r="Q134" s="6">
        <f ca="1">IFERROR(__xludf.DUMMYFUNCTION("""COMPUTED_VALUE"""),769)</f>
        <v>769</v>
      </c>
      <c r="R134" s="4" t="str">
        <f ca="1">IFERROR(__xludf.DUMMYFUNCTION("""COMPUTED_VALUE"""),"")</f>
        <v/>
      </c>
      <c r="S134" s="6">
        <f ca="1">IFERROR(__xludf.DUMMYFUNCTION("""COMPUTED_VALUE"""),1865)</f>
        <v>1865</v>
      </c>
      <c r="T134" s="4"/>
      <c r="U134" s="4"/>
      <c r="V134" s="4"/>
      <c r="W134" s="4"/>
      <c r="X134" s="4"/>
      <c r="Y134" s="4"/>
      <c r="Z134" s="4"/>
      <c r="AA134" s="4"/>
      <c r="AB134" s="4"/>
    </row>
    <row r="135" spans="1:28" x14ac:dyDescent="0.2">
      <c r="A135" s="4" t="str">
        <f t="shared" si="0"/>
        <v/>
      </c>
      <c r="B135" s="4" t="str">
        <f t="shared" si="1"/>
        <v/>
      </c>
      <c r="C135" s="4"/>
      <c r="D135" s="4"/>
      <c r="E135" s="4"/>
      <c r="F135" s="4"/>
      <c r="G135" s="4"/>
      <c r="H135" s="4"/>
      <c r="I135" s="4"/>
      <c r="J135" s="4"/>
      <c r="K135" s="4"/>
      <c r="L135" s="4"/>
      <c r="M135" s="4"/>
      <c r="N135" s="6">
        <f ca="1">IFERROR(__xludf.DUMMYFUNCTION("""COMPUTED_VALUE"""),38)</f>
        <v>38</v>
      </c>
      <c r="O135" s="6">
        <f ca="1">IFERROR(__xludf.DUMMYFUNCTION("""COMPUTED_VALUE"""),39)</f>
        <v>39</v>
      </c>
      <c r="P135" s="4" t="str">
        <f ca="1">IFERROR(__xludf.DUMMYFUNCTION("""COMPUTED_VALUE"""),"")</f>
        <v/>
      </c>
      <c r="Q135" s="6">
        <f ca="1">IFERROR(__xludf.DUMMYFUNCTION("""COMPUTED_VALUE"""),769)</f>
        <v>769</v>
      </c>
      <c r="R135" s="4" t="str">
        <f ca="1">IFERROR(__xludf.DUMMYFUNCTION("""COMPUTED_VALUE"""),"")</f>
        <v/>
      </c>
      <c r="S135" s="6">
        <f ca="1">IFERROR(__xludf.DUMMYFUNCTION("""COMPUTED_VALUE"""),1865)</f>
        <v>1865</v>
      </c>
      <c r="T135" s="4"/>
      <c r="U135" s="4"/>
      <c r="V135" s="4"/>
      <c r="W135" s="4"/>
      <c r="X135" s="4"/>
      <c r="Y135" s="4"/>
      <c r="Z135" s="4"/>
      <c r="AA135" s="4"/>
      <c r="AB135" s="4"/>
    </row>
    <row r="136" spans="1:28" x14ac:dyDescent="0.2">
      <c r="A136" s="4" t="str">
        <f t="shared" si="0"/>
        <v/>
      </c>
      <c r="B136" s="4" t="str">
        <f t="shared" si="1"/>
        <v/>
      </c>
      <c r="C136" s="4"/>
      <c r="D136" s="4"/>
      <c r="E136" s="4"/>
      <c r="F136" s="4"/>
      <c r="G136" s="4"/>
      <c r="H136" s="4"/>
      <c r="I136" s="4"/>
      <c r="J136" s="4"/>
      <c r="K136" s="4"/>
      <c r="L136" s="4"/>
      <c r="M136" s="4"/>
      <c r="N136" s="6">
        <f ca="1">IFERROR(__xludf.DUMMYFUNCTION("""COMPUTED_VALUE"""),38)</f>
        <v>38</v>
      </c>
      <c r="O136" s="6">
        <f ca="1">IFERROR(__xludf.DUMMYFUNCTION("""COMPUTED_VALUE"""),39)</f>
        <v>39</v>
      </c>
      <c r="P136" s="4" t="str">
        <f ca="1">IFERROR(__xludf.DUMMYFUNCTION("""COMPUTED_VALUE"""),"")</f>
        <v/>
      </c>
      <c r="Q136" s="6">
        <f ca="1">IFERROR(__xludf.DUMMYFUNCTION("""COMPUTED_VALUE"""),769)</f>
        <v>769</v>
      </c>
      <c r="R136" s="4" t="str">
        <f ca="1">IFERROR(__xludf.DUMMYFUNCTION("""COMPUTED_VALUE"""),"")</f>
        <v/>
      </c>
      <c r="S136" s="6">
        <f ca="1">IFERROR(__xludf.DUMMYFUNCTION("""COMPUTED_VALUE"""),1865)</f>
        <v>1865</v>
      </c>
      <c r="T136" s="4"/>
      <c r="U136" s="4"/>
      <c r="V136" s="4"/>
      <c r="W136" s="4"/>
      <c r="X136" s="4"/>
      <c r="Y136" s="4"/>
      <c r="Z136" s="4"/>
      <c r="AA136" s="4"/>
      <c r="AB136" s="4"/>
    </row>
    <row r="137" spans="1:28" x14ac:dyDescent="0.2">
      <c r="A137" s="4" t="str">
        <f t="shared" si="0"/>
        <v/>
      </c>
      <c r="B137" s="4" t="str">
        <f t="shared" si="1"/>
        <v/>
      </c>
      <c r="C137" s="4"/>
      <c r="D137" s="4"/>
      <c r="E137" s="4"/>
      <c r="F137" s="4"/>
      <c r="G137" s="4"/>
      <c r="H137" s="4"/>
      <c r="I137" s="4"/>
      <c r="J137" s="4"/>
      <c r="K137" s="4"/>
      <c r="L137" s="4"/>
      <c r="M137" s="4"/>
      <c r="N137" s="6">
        <f ca="1">IFERROR(__xludf.DUMMYFUNCTION("""COMPUTED_VALUE"""),38)</f>
        <v>38</v>
      </c>
      <c r="O137" s="6">
        <f ca="1">IFERROR(__xludf.DUMMYFUNCTION("""COMPUTED_VALUE"""),39)</f>
        <v>39</v>
      </c>
      <c r="P137" s="4" t="str">
        <f ca="1">IFERROR(__xludf.DUMMYFUNCTION("""COMPUTED_VALUE"""),"")</f>
        <v/>
      </c>
      <c r="Q137" s="6">
        <f ca="1">IFERROR(__xludf.DUMMYFUNCTION("""COMPUTED_VALUE"""),769)</f>
        <v>769</v>
      </c>
      <c r="R137" s="4" t="str">
        <f ca="1">IFERROR(__xludf.DUMMYFUNCTION("""COMPUTED_VALUE"""),"")</f>
        <v/>
      </c>
      <c r="S137" s="6">
        <f ca="1">IFERROR(__xludf.DUMMYFUNCTION("""COMPUTED_VALUE"""),1865)</f>
        <v>1865</v>
      </c>
      <c r="T137" s="4"/>
      <c r="U137" s="4"/>
      <c r="V137" s="4"/>
      <c r="W137" s="4"/>
      <c r="X137" s="4"/>
      <c r="Y137" s="4"/>
      <c r="Z137" s="4"/>
      <c r="AA137" s="4"/>
      <c r="AB137" s="4"/>
    </row>
    <row r="138" spans="1:28" x14ac:dyDescent="0.2">
      <c r="A138" s="4" t="str">
        <f t="shared" si="0"/>
        <v/>
      </c>
      <c r="B138" s="4" t="str">
        <f t="shared" si="1"/>
        <v/>
      </c>
      <c r="C138" s="4"/>
      <c r="D138" s="4"/>
      <c r="E138" s="4"/>
      <c r="F138" s="4"/>
      <c r="G138" s="4"/>
      <c r="H138" s="4"/>
      <c r="I138" s="4"/>
      <c r="J138" s="4"/>
      <c r="K138" s="4"/>
      <c r="L138" s="4"/>
      <c r="M138" s="4"/>
      <c r="N138" s="6">
        <f ca="1">IFERROR(__xludf.DUMMYFUNCTION("""COMPUTED_VALUE"""),38)</f>
        <v>38</v>
      </c>
      <c r="O138" s="6">
        <f ca="1">IFERROR(__xludf.DUMMYFUNCTION("""COMPUTED_VALUE"""),39)</f>
        <v>39</v>
      </c>
      <c r="P138" s="4" t="str">
        <f ca="1">IFERROR(__xludf.DUMMYFUNCTION("""COMPUTED_VALUE"""),"")</f>
        <v/>
      </c>
      <c r="Q138" s="6">
        <f ca="1">IFERROR(__xludf.DUMMYFUNCTION("""COMPUTED_VALUE"""),769)</f>
        <v>769</v>
      </c>
      <c r="R138" s="4" t="str">
        <f ca="1">IFERROR(__xludf.DUMMYFUNCTION("""COMPUTED_VALUE"""),"")</f>
        <v/>
      </c>
      <c r="S138" s="6">
        <f ca="1">IFERROR(__xludf.DUMMYFUNCTION("""COMPUTED_VALUE"""),1865)</f>
        <v>1865</v>
      </c>
      <c r="T138" s="4"/>
      <c r="U138" s="4"/>
      <c r="V138" s="4"/>
      <c r="W138" s="4"/>
      <c r="X138" s="4"/>
      <c r="Y138" s="4"/>
      <c r="Z138" s="4"/>
      <c r="AA138" s="4"/>
      <c r="AB138" s="4"/>
    </row>
    <row r="139" spans="1:28" x14ac:dyDescent="0.2">
      <c r="A139" s="4" t="str">
        <f t="shared" si="0"/>
        <v/>
      </c>
      <c r="B139" s="4" t="str">
        <f t="shared" si="1"/>
        <v/>
      </c>
      <c r="C139" s="4"/>
      <c r="D139" s="4"/>
      <c r="E139" s="4"/>
      <c r="F139" s="4"/>
      <c r="G139" s="4"/>
      <c r="H139" s="4"/>
      <c r="I139" s="4"/>
      <c r="J139" s="4"/>
      <c r="K139" s="4"/>
      <c r="L139" s="4"/>
      <c r="M139" s="4"/>
      <c r="N139" s="6">
        <f ca="1">IFERROR(__xludf.DUMMYFUNCTION("""COMPUTED_VALUE"""),38)</f>
        <v>38</v>
      </c>
      <c r="O139" s="6">
        <f ca="1">IFERROR(__xludf.DUMMYFUNCTION("""COMPUTED_VALUE"""),39)</f>
        <v>39</v>
      </c>
      <c r="P139" s="4" t="str">
        <f ca="1">IFERROR(__xludf.DUMMYFUNCTION("""COMPUTED_VALUE"""),"")</f>
        <v/>
      </c>
      <c r="Q139" s="6">
        <f ca="1">IFERROR(__xludf.DUMMYFUNCTION("""COMPUTED_VALUE"""),769)</f>
        <v>769</v>
      </c>
      <c r="R139" s="4" t="str">
        <f ca="1">IFERROR(__xludf.DUMMYFUNCTION("""COMPUTED_VALUE"""),"")</f>
        <v/>
      </c>
      <c r="S139" s="6">
        <f ca="1">IFERROR(__xludf.DUMMYFUNCTION("""COMPUTED_VALUE"""),1865)</f>
        <v>1865</v>
      </c>
      <c r="T139" s="4"/>
      <c r="U139" s="4"/>
      <c r="V139" s="4"/>
      <c r="W139" s="4"/>
      <c r="X139" s="4"/>
      <c r="Y139" s="4"/>
      <c r="Z139" s="4"/>
      <c r="AA139" s="4"/>
      <c r="AB139" s="4"/>
    </row>
    <row r="140" spans="1:28" x14ac:dyDescent="0.2">
      <c r="A140" s="4" t="str">
        <f t="shared" si="0"/>
        <v/>
      </c>
      <c r="B140" s="4" t="str">
        <f t="shared" si="1"/>
        <v/>
      </c>
      <c r="C140" s="4"/>
      <c r="D140" s="4"/>
      <c r="E140" s="4"/>
      <c r="F140" s="4"/>
      <c r="G140" s="4"/>
      <c r="H140" s="4"/>
      <c r="I140" s="4"/>
      <c r="J140" s="4"/>
      <c r="K140" s="4"/>
      <c r="L140" s="4"/>
      <c r="M140" s="4"/>
      <c r="N140" s="6">
        <f ca="1">IFERROR(__xludf.DUMMYFUNCTION("""COMPUTED_VALUE"""),38)</f>
        <v>38</v>
      </c>
      <c r="O140" s="6">
        <f ca="1">IFERROR(__xludf.DUMMYFUNCTION("""COMPUTED_VALUE"""),39)</f>
        <v>39</v>
      </c>
      <c r="P140" s="4" t="str">
        <f ca="1">IFERROR(__xludf.DUMMYFUNCTION("""COMPUTED_VALUE"""),"")</f>
        <v/>
      </c>
      <c r="Q140" s="6">
        <f ca="1">IFERROR(__xludf.DUMMYFUNCTION("""COMPUTED_VALUE"""),769)</f>
        <v>769</v>
      </c>
      <c r="R140" s="4" t="str">
        <f ca="1">IFERROR(__xludf.DUMMYFUNCTION("""COMPUTED_VALUE"""),"")</f>
        <v/>
      </c>
      <c r="S140" s="6">
        <f ca="1">IFERROR(__xludf.DUMMYFUNCTION("""COMPUTED_VALUE"""),1865)</f>
        <v>1865</v>
      </c>
      <c r="T140" s="4"/>
      <c r="U140" s="4"/>
      <c r="V140" s="4"/>
      <c r="W140" s="4"/>
      <c r="X140" s="4"/>
      <c r="Y140" s="4"/>
      <c r="Z140" s="4"/>
      <c r="AA140" s="4"/>
      <c r="AB140" s="4"/>
    </row>
    <row r="141" spans="1:28" x14ac:dyDescent="0.2">
      <c r="A141" s="4" t="str">
        <f t="shared" si="0"/>
        <v/>
      </c>
      <c r="B141" s="4" t="str">
        <f t="shared" si="1"/>
        <v/>
      </c>
      <c r="C141" s="4"/>
      <c r="D141" s="4"/>
      <c r="E141" s="4"/>
      <c r="F141" s="4"/>
      <c r="G141" s="4"/>
      <c r="H141" s="4"/>
      <c r="I141" s="4"/>
      <c r="J141" s="4"/>
      <c r="K141" s="4"/>
      <c r="L141" s="4"/>
      <c r="M141" s="4"/>
      <c r="N141" s="6">
        <f ca="1">IFERROR(__xludf.DUMMYFUNCTION("""COMPUTED_VALUE"""),38)</f>
        <v>38</v>
      </c>
      <c r="O141" s="6">
        <f ca="1">IFERROR(__xludf.DUMMYFUNCTION("""COMPUTED_VALUE"""),39)</f>
        <v>39</v>
      </c>
      <c r="P141" s="4" t="str">
        <f ca="1">IFERROR(__xludf.DUMMYFUNCTION("""COMPUTED_VALUE"""),"")</f>
        <v/>
      </c>
      <c r="Q141" s="6">
        <f ca="1">IFERROR(__xludf.DUMMYFUNCTION("""COMPUTED_VALUE"""),769)</f>
        <v>769</v>
      </c>
      <c r="R141" s="4" t="str">
        <f ca="1">IFERROR(__xludf.DUMMYFUNCTION("""COMPUTED_VALUE"""),"")</f>
        <v/>
      </c>
      <c r="S141" s="6">
        <f ca="1">IFERROR(__xludf.DUMMYFUNCTION("""COMPUTED_VALUE"""),1865)</f>
        <v>1865</v>
      </c>
      <c r="T141" s="4"/>
      <c r="U141" s="4"/>
      <c r="V141" s="4"/>
      <c r="W141" s="4"/>
      <c r="X141" s="4"/>
      <c r="Y141" s="4"/>
      <c r="Z141" s="4"/>
      <c r="AA141" s="4"/>
      <c r="AB141" s="4"/>
    </row>
    <row r="142" spans="1:28" x14ac:dyDescent="0.2">
      <c r="A142" s="4" t="str">
        <f t="shared" si="0"/>
        <v/>
      </c>
      <c r="B142" s="4" t="str">
        <f t="shared" si="1"/>
        <v/>
      </c>
      <c r="C142" s="4"/>
      <c r="D142" s="4"/>
      <c r="E142" s="4"/>
      <c r="F142" s="4"/>
      <c r="G142" s="4"/>
      <c r="H142" s="4"/>
      <c r="I142" s="4"/>
      <c r="J142" s="4"/>
      <c r="K142" s="4"/>
      <c r="L142" s="4"/>
      <c r="M142" s="4"/>
      <c r="N142" s="6">
        <f ca="1">IFERROR(__xludf.DUMMYFUNCTION("""COMPUTED_VALUE"""),38)</f>
        <v>38</v>
      </c>
      <c r="O142" s="6">
        <f ca="1">IFERROR(__xludf.DUMMYFUNCTION("""COMPUTED_VALUE"""),39)</f>
        <v>39</v>
      </c>
      <c r="P142" s="4" t="str">
        <f ca="1">IFERROR(__xludf.DUMMYFUNCTION("""COMPUTED_VALUE"""),"")</f>
        <v/>
      </c>
      <c r="Q142" s="6">
        <f ca="1">IFERROR(__xludf.DUMMYFUNCTION("""COMPUTED_VALUE"""),769)</f>
        <v>769</v>
      </c>
      <c r="R142" s="4" t="str">
        <f ca="1">IFERROR(__xludf.DUMMYFUNCTION("""COMPUTED_VALUE"""),"")</f>
        <v/>
      </c>
      <c r="S142" s="6">
        <f ca="1">IFERROR(__xludf.DUMMYFUNCTION("""COMPUTED_VALUE"""),1865)</f>
        <v>1865</v>
      </c>
      <c r="T142" s="4"/>
      <c r="U142" s="4"/>
      <c r="V142" s="4"/>
      <c r="W142" s="4"/>
      <c r="X142" s="4"/>
      <c r="Y142" s="4"/>
      <c r="Z142" s="4"/>
      <c r="AA142" s="4"/>
      <c r="AB142" s="4"/>
    </row>
    <row r="143" spans="1:28" x14ac:dyDescent="0.2">
      <c r="A143" s="4" t="str">
        <f t="shared" si="0"/>
        <v/>
      </c>
      <c r="B143" s="4" t="str">
        <f t="shared" si="1"/>
        <v/>
      </c>
      <c r="C143" s="4"/>
      <c r="D143" s="4"/>
      <c r="E143" s="4"/>
      <c r="F143" s="4"/>
      <c r="G143" s="4"/>
      <c r="H143" s="4"/>
      <c r="I143" s="4"/>
      <c r="J143" s="4"/>
      <c r="K143" s="4"/>
      <c r="L143" s="4"/>
      <c r="M143" s="4"/>
      <c r="N143" s="6">
        <f ca="1">IFERROR(__xludf.DUMMYFUNCTION("""COMPUTED_VALUE"""),38)</f>
        <v>38</v>
      </c>
      <c r="O143" s="6">
        <f ca="1">IFERROR(__xludf.DUMMYFUNCTION("""COMPUTED_VALUE"""),39)</f>
        <v>39</v>
      </c>
      <c r="P143" s="4" t="str">
        <f ca="1">IFERROR(__xludf.DUMMYFUNCTION("""COMPUTED_VALUE"""),"")</f>
        <v/>
      </c>
      <c r="Q143" s="6">
        <f ca="1">IFERROR(__xludf.DUMMYFUNCTION("""COMPUTED_VALUE"""),769)</f>
        <v>769</v>
      </c>
      <c r="R143" s="4" t="str">
        <f ca="1">IFERROR(__xludf.DUMMYFUNCTION("""COMPUTED_VALUE"""),"")</f>
        <v/>
      </c>
      <c r="S143" s="6">
        <f ca="1">IFERROR(__xludf.DUMMYFUNCTION("""COMPUTED_VALUE"""),1865)</f>
        <v>1865</v>
      </c>
      <c r="T143" s="4"/>
      <c r="U143" s="4"/>
      <c r="V143" s="4"/>
      <c r="W143" s="4"/>
      <c r="X143" s="4"/>
      <c r="Y143" s="4"/>
      <c r="Z143" s="4"/>
      <c r="AA143" s="4"/>
      <c r="AB143" s="4"/>
    </row>
    <row r="144" spans="1:28" x14ac:dyDescent="0.2">
      <c r="A144" s="4" t="str">
        <f t="shared" si="0"/>
        <v/>
      </c>
      <c r="B144" s="4" t="str">
        <f t="shared" si="1"/>
        <v/>
      </c>
      <c r="C144" s="4"/>
      <c r="D144" s="4"/>
      <c r="E144" s="4"/>
      <c r="F144" s="4"/>
      <c r="G144" s="4"/>
      <c r="H144" s="4"/>
      <c r="I144" s="4"/>
      <c r="J144" s="4"/>
      <c r="K144" s="4"/>
      <c r="L144" s="4"/>
      <c r="M144" s="4"/>
      <c r="N144" s="6">
        <f ca="1">IFERROR(__xludf.DUMMYFUNCTION("""COMPUTED_VALUE"""),38)</f>
        <v>38</v>
      </c>
      <c r="O144" s="6">
        <f ca="1">IFERROR(__xludf.DUMMYFUNCTION("""COMPUTED_VALUE"""),39)</f>
        <v>39</v>
      </c>
      <c r="P144" s="4" t="str">
        <f ca="1">IFERROR(__xludf.DUMMYFUNCTION("""COMPUTED_VALUE"""),"")</f>
        <v/>
      </c>
      <c r="Q144" s="6">
        <f ca="1">IFERROR(__xludf.DUMMYFUNCTION("""COMPUTED_VALUE"""),769)</f>
        <v>769</v>
      </c>
      <c r="R144" s="4" t="str">
        <f ca="1">IFERROR(__xludf.DUMMYFUNCTION("""COMPUTED_VALUE"""),"")</f>
        <v/>
      </c>
      <c r="S144" s="6">
        <f ca="1">IFERROR(__xludf.DUMMYFUNCTION("""COMPUTED_VALUE"""),1865)</f>
        <v>1865</v>
      </c>
      <c r="T144" s="4"/>
      <c r="U144" s="4"/>
      <c r="V144" s="4"/>
      <c r="W144" s="4"/>
      <c r="X144" s="4"/>
      <c r="Y144" s="4"/>
      <c r="Z144" s="4"/>
      <c r="AA144" s="4"/>
      <c r="AB144" s="4"/>
    </row>
    <row r="145" spans="1:28" x14ac:dyDescent="0.2">
      <c r="A145" s="4" t="str">
        <f t="shared" si="0"/>
        <v/>
      </c>
      <c r="B145" s="4" t="str">
        <f t="shared" si="1"/>
        <v/>
      </c>
      <c r="C145" s="4"/>
      <c r="D145" s="4"/>
      <c r="E145" s="4"/>
      <c r="F145" s="4"/>
      <c r="G145" s="4"/>
      <c r="H145" s="4"/>
      <c r="I145" s="4"/>
      <c r="J145" s="4"/>
      <c r="K145" s="4"/>
      <c r="L145" s="4"/>
      <c r="M145" s="4"/>
      <c r="N145" s="6">
        <f ca="1">IFERROR(__xludf.DUMMYFUNCTION("""COMPUTED_VALUE"""),38)</f>
        <v>38</v>
      </c>
      <c r="O145" s="6">
        <f ca="1">IFERROR(__xludf.DUMMYFUNCTION("""COMPUTED_VALUE"""),39)</f>
        <v>39</v>
      </c>
      <c r="P145" s="4" t="str">
        <f ca="1">IFERROR(__xludf.DUMMYFUNCTION("""COMPUTED_VALUE"""),"")</f>
        <v/>
      </c>
      <c r="Q145" s="6">
        <f ca="1">IFERROR(__xludf.DUMMYFUNCTION("""COMPUTED_VALUE"""),769)</f>
        <v>769</v>
      </c>
      <c r="R145" s="4" t="str">
        <f ca="1">IFERROR(__xludf.DUMMYFUNCTION("""COMPUTED_VALUE"""),"")</f>
        <v/>
      </c>
      <c r="S145" s="6">
        <f ca="1">IFERROR(__xludf.DUMMYFUNCTION("""COMPUTED_VALUE"""),1865)</f>
        <v>1865</v>
      </c>
      <c r="T145" s="4"/>
      <c r="U145" s="4"/>
      <c r="V145" s="4"/>
      <c r="W145" s="4"/>
      <c r="X145" s="4"/>
      <c r="Y145" s="4"/>
      <c r="Z145" s="4"/>
      <c r="AA145" s="4"/>
      <c r="AB145" s="4"/>
    </row>
    <row r="146" spans="1:28" x14ac:dyDescent="0.2">
      <c r="A146" s="4" t="str">
        <f t="shared" si="0"/>
        <v/>
      </c>
      <c r="B146" s="4" t="str">
        <f t="shared" si="1"/>
        <v/>
      </c>
      <c r="C146" s="4"/>
      <c r="D146" s="4"/>
      <c r="E146" s="4"/>
      <c r="F146" s="4"/>
      <c r="G146" s="4"/>
      <c r="H146" s="4"/>
      <c r="I146" s="4"/>
      <c r="J146" s="4"/>
      <c r="K146" s="4"/>
      <c r="L146" s="4"/>
      <c r="M146" s="4"/>
      <c r="N146" s="6">
        <f ca="1">IFERROR(__xludf.DUMMYFUNCTION("""COMPUTED_VALUE"""),38)</f>
        <v>38</v>
      </c>
      <c r="O146" s="6">
        <f ca="1">IFERROR(__xludf.DUMMYFUNCTION("""COMPUTED_VALUE"""),39)</f>
        <v>39</v>
      </c>
      <c r="P146" s="4" t="str">
        <f ca="1">IFERROR(__xludf.DUMMYFUNCTION("""COMPUTED_VALUE"""),"")</f>
        <v/>
      </c>
      <c r="Q146" s="6">
        <f ca="1">IFERROR(__xludf.DUMMYFUNCTION("""COMPUTED_VALUE"""),769)</f>
        <v>769</v>
      </c>
      <c r="R146" s="4" t="str">
        <f ca="1">IFERROR(__xludf.DUMMYFUNCTION("""COMPUTED_VALUE"""),"")</f>
        <v/>
      </c>
      <c r="S146" s="6">
        <f ca="1">IFERROR(__xludf.DUMMYFUNCTION("""COMPUTED_VALUE"""),1865)</f>
        <v>1865</v>
      </c>
      <c r="T146" s="4"/>
      <c r="U146" s="4"/>
      <c r="V146" s="4"/>
      <c r="W146" s="4"/>
      <c r="X146" s="4"/>
      <c r="Y146" s="4"/>
      <c r="Z146" s="4"/>
      <c r="AA146" s="4"/>
      <c r="AB146" s="4"/>
    </row>
    <row r="147" spans="1:28" x14ac:dyDescent="0.2">
      <c r="A147" s="4" t="str">
        <f t="shared" si="0"/>
        <v/>
      </c>
      <c r="B147" s="4" t="str">
        <f t="shared" si="1"/>
        <v/>
      </c>
      <c r="C147" s="4"/>
      <c r="D147" s="4"/>
      <c r="E147" s="4"/>
      <c r="F147" s="4"/>
      <c r="G147" s="4"/>
      <c r="H147" s="4"/>
      <c r="I147" s="4"/>
      <c r="J147" s="4"/>
      <c r="K147" s="4"/>
      <c r="L147" s="4"/>
      <c r="M147" s="4"/>
      <c r="N147" s="6">
        <f ca="1">IFERROR(__xludf.DUMMYFUNCTION("""COMPUTED_VALUE"""),38)</f>
        <v>38</v>
      </c>
      <c r="O147" s="6">
        <f ca="1">IFERROR(__xludf.DUMMYFUNCTION("""COMPUTED_VALUE"""),39)</f>
        <v>39</v>
      </c>
      <c r="P147" s="4" t="str">
        <f ca="1">IFERROR(__xludf.DUMMYFUNCTION("""COMPUTED_VALUE"""),"")</f>
        <v/>
      </c>
      <c r="Q147" s="6">
        <f ca="1">IFERROR(__xludf.DUMMYFUNCTION("""COMPUTED_VALUE"""),769)</f>
        <v>769</v>
      </c>
      <c r="R147" s="4" t="str">
        <f ca="1">IFERROR(__xludf.DUMMYFUNCTION("""COMPUTED_VALUE"""),"")</f>
        <v/>
      </c>
      <c r="S147" s="6">
        <f ca="1">IFERROR(__xludf.DUMMYFUNCTION("""COMPUTED_VALUE"""),1865)</f>
        <v>1865</v>
      </c>
      <c r="T147" s="4"/>
      <c r="U147" s="4"/>
      <c r="V147" s="4"/>
      <c r="W147" s="4"/>
      <c r="X147" s="4"/>
      <c r="Y147" s="4"/>
      <c r="Z147" s="4"/>
      <c r="AA147" s="4"/>
      <c r="AB147" s="4"/>
    </row>
    <row r="148" spans="1:28" x14ac:dyDescent="0.2">
      <c r="A148" s="4" t="str">
        <f t="shared" si="0"/>
        <v/>
      </c>
      <c r="B148" s="4" t="str">
        <f t="shared" si="1"/>
        <v/>
      </c>
      <c r="C148" s="4"/>
      <c r="D148" s="4"/>
      <c r="E148" s="4"/>
      <c r="F148" s="4"/>
      <c r="G148" s="4"/>
      <c r="H148" s="4"/>
      <c r="I148" s="4"/>
      <c r="J148" s="4"/>
      <c r="K148" s="4"/>
      <c r="L148" s="4"/>
      <c r="M148" s="4"/>
      <c r="N148" s="6">
        <f ca="1">IFERROR(__xludf.DUMMYFUNCTION("""COMPUTED_VALUE"""),38)</f>
        <v>38</v>
      </c>
      <c r="O148" s="6">
        <f ca="1">IFERROR(__xludf.DUMMYFUNCTION("""COMPUTED_VALUE"""),39)</f>
        <v>39</v>
      </c>
      <c r="P148" s="4" t="str">
        <f ca="1">IFERROR(__xludf.DUMMYFUNCTION("""COMPUTED_VALUE"""),"")</f>
        <v/>
      </c>
      <c r="Q148" s="6">
        <f ca="1">IFERROR(__xludf.DUMMYFUNCTION("""COMPUTED_VALUE"""),769)</f>
        <v>769</v>
      </c>
      <c r="R148" s="4" t="str">
        <f ca="1">IFERROR(__xludf.DUMMYFUNCTION("""COMPUTED_VALUE"""),"")</f>
        <v/>
      </c>
      <c r="S148" s="6">
        <f ca="1">IFERROR(__xludf.DUMMYFUNCTION("""COMPUTED_VALUE"""),1865)</f>
        <v>1865</v>
      </c>
      <c r="T148" s="4"/>
      <c r="U148" s="4"/>
      <c r="V148" s="4"/>
      <c r="W148" s="4"/>
      <c r="X148" s="4"/>
      <c r="Y148" s="4"/>
      <c r="Z148" s="4"/>
      <c r="AA148" s="4"/>
      <c r="AB148" s="4"/>
    </row>
    <row r="149" spans="1:28" x14ac:dyDescent="0.2">
      <c r="A149" s="4" t="str">
        <f t="shared" si="0"/>
        <v/>
      </c>
      <c r="B149" s="4" t="str">
        <f t="shared" si="1"/>
        <v/>
      </c>
      <c r="C149" s="4"/>
      <c r="D149" s="4"/>
      <c r="E149" s="4"/>
      <c r="F149" s="4"/>
      <c r="G149" s="4"/>
      <c r="H149" s="4"/>
      <c r="I149" s="4"/>
      <c r="J149" s="4"/>
      <c r="K149" s="4"/>
      <c r="L149" s="4"/>
      <c r="M149" s="4"/>
      <c r="N149" s="6">
        <f ca="1">IFERROR(__xludf.DUMMYFUNCTION("""COMPUTED_VALUE"""),38)</f>
        <v>38</v>
      </c>
      <c r="O149" s="6">
        <f ca="1">IFERROR(__xludf.DUMMYFUNCTION("""COMPUTED_VALUE"""),39)</f>
        <v>39</v>
      </c>
      <c r="P149" s="4" t="str">
        <f ca="1">IFERROR(__xludf.DUMMYFUNCTION("""COMPUTED_VALUE"""),"")</f>
        <v/>
      </c>
      <c r="Q149" s="6">
        <f ca="1">IFERROR(__xludf.DUMMYFUNCTION("""COMPUTED_VALUE"""),769)</f>
        <v>769</v>
      </c>
      <c r="R149" s="4" t="str">
        <f ca="1">IFERROR(__xludf.DUMMYFUNCTION("""COMPUTED_VALUE"""),"")</f>
        <v/>
      </c>
      <c r="S149" s="6">
        <f ca="1">IFERROR(__xludf.DUMMYFUNCTION("""COMPUTED_VALUE"""),1865)</f>
        <v>1865</v>
      </c>
      <c r="T149" s="4"/>
      <c r="U149" s="4"/>
      <c r="V149" s="4"/>
      <c r="W149" s="4"/>
      <c r="X149" s="4"/>
      <c r="Y149" s="4"/>
      <c r="Z149" s="4"/>
      <c r="AA149" s="4"/>
      <c r="AB149" s="4"/>
    </row>
    <row r="150" spans="1:28" x14ac:dyDescent="0.2">
      <c r="A150" s="4" t="str">
        <f t="shared" si="0"/>
        <v/>
      </c>
      <c r="B150" s="4" t="str">
        <f t="shared" si="1"/>
        <v/>
      </c>
      <c r="C150" s="4"/>
      <c r="D150" s="4"/>
      <c r="E150" s="4"/>
      <c r="F150" s="4"/>
      <c r="G150" s="4"/>
      <c r="H150" s="4"/>
      <c r="I150" s="4"/>
      <c r="J150" s="4"/>
      <c r="K150" s="4"/>
      <c r="L150" s="4"/>
      <c r="M150" s="4"/>
      <c r="N150" s="6">
        <f ca="1">IFERROR(__xludf.DUMMYFUNCTION("""COMPUTED_VALUE"""),38)</f>
        <v>38</v>
      </c>
      <c r="O150" s="6">
        <f ca="1">IFERROR(__xludf.DUMMYFUNCTION("""COMPUTED_VALUE"""),39)</f>
        <v>39</v>
      </c>
      <c r="P150" s="4" t="str">
        <f ca="1">IFERROR(__xludf.DUMMYFUNCTION("""COMPUTED_VALUE"""),"")</f>
        <v/>
      </c>
      <c r="Q150" s="6">
        <f ca="1">IFERROR(__xludf.DUMMYFUNCTION("""COMPUTED_VALUE"""),769)</f>
        <v>769</v>
      </c>
      <c r="R150" s="4" t="str">
        <f ca="1">IFERROR(__xludf.DUMMYFUNCTION("""COMPUTED_VALUE"""),"")</f>
        <v/>
      </c>
      <c r="S150" s="6">
        <f ca="1">IFERROR(__xludf.DUMMYFUNCTION("""COMPUTED_VALUE"""),1865)</f>
        <v>1865</v>
      </c>
      <c r="T150" s="4"/>
      <c r="U150" s="4"/>
      <c r="V150" s="4"/>
      <c r="W150" s="4"/>
      <c r="X150" s="4"/>
      <c r="Y150" s="4"/>
      <c r="Z150" s="4"/>
      <c r="AA150" s="4"/>
      <c r="AB150" s="4"/>
    </row>
    <row r="151" spans="1:28" x14ac:dyDescent="0.2">
      <c r="A151" s="4" t="str">
        <f t="shared" si="0"/>
        <v/>
      </c>
      <c r="B151" s="4" t="str">
        <f t="shared" si="1"/>
        <v/>
      </c>
      <c r="C151" s="4"/>
      <c r="D151" s="4"/>
      <c r="E151" s="4"/>
      <c r="F151" s="4"/>
      <c r="G151" s="4"/>
      <c r="H151" s="4"/>
      <c r="I151" s="4"/>
      <c r="J151" s="4"/>
      <c r="K151" s="4"/>
      <c r="L151" s="4"/>
      <c r="M151" s="4"/>
      <c r="N151" s="6">
        <f ca="1">IFERROR(__xludf.DUMMYFUNCTION("""COMPUTED_VALUE"""),38)</f>
        <v>38</v>
      </c>
      <c r="O151" s="6">
        <f ca="1">IFERROR(__xludf.DUMMYFUNCTION("""COMPUTED_VALUE"""),39)</f>
        <v>39</v>
      </c>
      <c r="P151" s="4" t="str">
        <f ca="1">IFERROR(__xludf.DUMMYFUNCTION("""COMPUTED_VALUE"""),"")</f>
        <v/>
      </c>
      <c r="Q151" s="6">
        <f ca="1">IFERROR(__xludf.DUMMYFUNCTION("""COMPUTED_VALUE"""),769)</f>
        <v>769</v>
      </c>
      <c r="R151" s="4" t="str">
        <f ca="1">IFERROR(__xludf.DUMMYFUNCTION("""COMPUTED_VALUE"""),"")</f>
        <v/>
      </c>
      <c r="S151" s="6">
        <f ca="1">IFERROR(__xludf.DUMMYFUNCTION("""COMPUTED_VALUE"""),1865)</f>
        <v>1865</v>
      </c>
      <c r="T151" s="4"/>
      <c r="U151" s="4"/>
      <c r="V151" s="4"/>
      <c r="W151" s="4"/>
      <c r="X151" s="4"/>
      <c r="Y151" s="4"/>
      <c r="Z151" s="4"/>
      <c r="AA151" s="4"/>
      <c r="AB151" s="4"/>
    </row>
    <row r="152" spans="1:28" x14ac:dyDescent="0.2">
      <c r="A152" s="4" t="str">
        <f t="shared" si="0"/>
        <v/>
      </c>
      <c r="B152" s="4" t="str">
        <f t="shared" si="1"/>
        <v/>
      </c>
      <c r="C152" s="4"/>
      <c r="D152" s="4"/>
      <c r="E152" s="4"/>
      <c r="F152" s="4"/>
      <c r="G152" s="4"/>
      <c r="H152" s="4"/>
      <c r="I152" s="4"/>
      <c r="J152" s="4"/>
      <c r="K152" s="4"/>
      <c r="L152" s="4"/>
      <c r="M152" s="4"/>
      <c r="N152" s="6">
        <f ca="1">IFERROR(__xludf.DUMMYFUNCTION("""COMPUTED_VALUE"""),38)</f>
        <v>38</v>
      </c>
      <c r="O152" s="6">
        <f ca="1">IFERROR(__xludf.DUMMYFUNCTION("""COMPUTED_VALUE"""),39)</f>
        <v>39</v>
      </c>
      <c r="P152" s="4" t="str">
        <f ca="1">IFERROR(__xludf.DUMMYFUNCTION("""COMPUTED_VALUE"""),"")</f>
        <v/>
      </c>
      <c r="Q152" s="6">
        <f ca="1">IFERROR(__xludf.DUMMYFUNCTION("""COMPUTED_VALUE"""),769)</f>
        <v>769</v>
      </c>
      <c r="R152" s="4" t="str">
        <f ca="1">IFERROR(__xludf.DUMMYFUNCTION("""COMPUTED_VALUE"""),"")</f>
        <v/>
      </c>
      <c r="S152" s="6">
        <f ca="1">IFERROR(__xludf.DUMMYFUNCTION("""COMPUTED_VALUE"""),1865)</f>
        <v>1865</v>
      </c>
      <c r="T152" s="4"/>
      <c r="U152" s="4"/>
      <c r="V152" s="4"/>
      <c r="W152" s="4"/>
      <c r="X152" s="4"/>
      <c r="Y152" s="4"/>
      <c r="Z152" s="4"/>
      <c r="AA152" s="4"/>
      <c r="AB152" s="4"/>
    </row>
    <row r="153" spans="1:28" x14ac:dyDescent="0.2">
      <c r="A153" s="4" t="str">
        <f t="shared" si="0"/>
        <v/>
      </c>
      <c r="B153" s="4" t="str">
        <f t="shared" si="1"/>
        <v/>
      </c>
      <c r="C153" s="4"/>
      <c r="D153" s="4"/>
      <c r="E153" s="4"/>
      <c r="F153" s="4"/>
      <c r="G153" s="4"/>
      <c r="H153" s="4"/>
      <c r="I153" s="4"/>
      <c r="J153" s="4"/>
      <c r="K153" s="4"/>
      <c r="L153" s="4"/>
      <c r="M153" s="4"/>
      <c r="N153" s="6">
        <f ca="1">IFERROR(__xludf.DUMMYFUNCTION("""COMPUTED_VALUE"""),38)</f>
        <v>38</v>
      </c>
      <c r="O153" s="6">
        <f ca="1">IFERROR(__xludf.DUMMYFUNCTION("""COMPUTED_VALUE"""),39)</f>
        <v>39</v>
      </c>
      <c r="P153" s="4" t="str">
        <f ca="1">IFERROR(__xludf.DUMMYFUNCTION("""COMPUTED_VALUE"""),"")</f>
        <v/>
      </c>
      <c r="Q153" s="6">
        <f ca="1">IFERROR(__xludf.DUMMYFUNCTION("""COMPUTED_VALUE"""),769)</f>
        <v>769</v>
      </c>
      <c r="R153" s="4" t="str">
        <f ca="1">IFERROR(__xludf.DUMMYFUNCTION("""COMPUTED_VALUE"""),"")</f>
        <v/>
      </c>
      <c r="S153" s="6">
        <f ca="1">IFERROR(__xludf.DUMMYFUNCTION("""COMPUTED_VALUE"""),1865)</f>
        <v>1865</v>
      </c>
      <c r="T153" s="4"/>
      <c r="U153" s="4"/>
      <c r="V153" s="4"/>
      <c r="W153" s="4"/>
      <c r="X153" s="4"/>
      <c r="Y153" s="4"/>
      <c r="Z153" s="4"/>
      <c r="AA153" s="4"/>
      <c r="AB153" s="4"/>
    </row>
    <row r="154" spans="1:28" x14ac:dyDescent="0.2">
      <c r="A154" s="4" t="str">
        <f t="shared" si="0"/>
        <v/>
      </c>
      <c r="B154" s="4" t="str">
        <f t="shared" si="1"/>
        <v/>
      </c>
      <c r="C154" s="4"/>
      <c r="D154" s="4"/>
      <c r="E154" s="4"/>
      <c r="F154" s="4"/>
      <c r="G154" s="4"/>
      <c r="H154" s="4"/>
      <c r="I154" s="4"/>
      <c r="J154" s="4"/>
      <c r="K154" s="4"/>
      <c r="L154" s="4"/>
      <c r="M154" s="4"/>
      <c r="N154" s="6">
        <f ca="1">IFERROR(__xludf.DUMMYFUNCTION("""COMPUTED_VALUE"""),38)</f>
        <v>38</v>
      </c>
      <c r="O154" s="6">
        <f ca="1">IFERROR(__xludf.DUMMYFUNCTION("""COMPUTED_VALUE"""),39)</f>
        <v>39</v>
      </c>
      <c r="P154" s="4" t="str">
        <f ca="1">IFERROR(__xludf.DUMMYFUNCTION("""COMPUTED_VALUE"""),"")</f>
        <v/>
      </c>
      <c r="Q154" s="6">
        <f ca="1">IFERROR(__xludf.DUMMYFUNCTION("""COMPUTED_VALUE"""),769)</f>
        <v>769</v>
      </c>
      <c r="R154" s="4" t="str">
        <f ca="1">IFERROR(__xludf.DUMMYFUNCTION("""COMPUTED_VALUE"""),"")</f>
        <v/>
      </c>
      <c r="S154" s="6">
        <f ca="1">IFERROR(__xludf.DUMMYFUNCTION("""COMPUTED_VALUE"""),1865)</f>
        <v>1865</v>
      </c>
      <c r="T154" s="4"/>
      <c r="U154" s="4"/>
      <c r="V154" s="4"/>
      <c r="W154" s="4"/>
      <c r="X154" s="4"/>
      <c r="Y154" s="4"/>
      <c r="Z154" s="4"/>
      <c r="AA154" s="4"/>
      <c r="AB154" s="4"/>
    </row>
    <row r="155" spans="1:28" x14ac:dyDescent="0.2">
      <c r="A155" s="4" t="str">
        <f t="shared" si="0"/>
        <v/>
      </c>
      <c r="B155" s="4" t="str">
        <f t="shared" si="1"/>
        <v/>
      </c>
      <c r="C155" s="4"/>
      <c r="D155" s="4"/>
      <c r="E155" s="4"/>
      <c r="F155" s="4"/>
      <c r="G155" s="4"/>
      <c r="H155" s="4"/>
      <c r="I155" s="4"/>
      <c r="J155" s="4"/>
      <c r="K155" s="4"/>
      <c r="L155" s="4"/>
      <c r="M155" s="4"/>
      <c r="N155" s="6">
        <f ca="1">IFERROR(__xludf.DUMMYFUNCTION("""COMPUTED_VALUE"""),38)</f>
        <v>38</v>
      </c>
      <c r="O155" s="6">
        <f ca="1">IFERROR(__xludf.DUMMYFUNCTION("""COMPUTED_VALUE"""),39)</f>
        <v>39</v>
      </c>
      <c r="P155" s="4" t="str">
        <f ca="1">IFERROR(__xludf.DUMMYFUNCTION("""COMPUTED_VALUE"""),"")</f>
        <v/>
      </c>
      <c r="Q155" s="6">
        <f ca="1">IFERROR(__xludf.DUMMYFUNCTION("""COMPUTED_VALUE"""),769)</f>
        <v>769</v>
      </c>
      <c r="R155" s="4" t="str">
        <f ca="1">IFERROR(__xludf.DUMMYFUNCTION("""COMPUTED_VALUE"""),"")</f>
        <v/>
      </c>
      <c r="S155" s="6">
        <f ca="1">IFERROR(__xludf.DUMMYFUNCTION("""COMPUTED_VALUE"""),1865)</f>
        <v>1865</v>
      </c>
      <c r="T155" s="4"/>
      <c r="U155" s="4"/>
      <c r="V155" s="4"/>
      <c r="W155" s="4"/>
      <c r="X155" s="4"/>
      <c r="Y155" s="4"/>
      <c r="Z155" s="4"/>
      <c r="AA155" s="4"/>
      <c r="AB155" s="4"/>
    </row>
    <row r="156" spans="1:28" x14ac:dyDescent="0.2">
      <c r="A156" s="4" t="str">
        <f t="shared" si="0"/>
        <v/>
      </c>
      <c r="B156" s="4" t="str">
        <f t="shared" si="1"/>
        <v/>
      </c>
      <c r="C156" s="4"/>
      <c r="D156" s="4"/>
      <c r="E156" s="4"/>
      <c r="F156" s="4"/>
      <c r="G156" s="4"/>
      <c r="H156" s="4"/>
      <c r="I156" s="4"/>
      <c r="J156" s="4"/>
      <c r="K156" s="4"/>
      <c r="L156" s="4"/>
      <c r="M156" s="4"/>
      <c r="N156" s="6">
        <f ca="1">IFERROR(__xludf.DUMMYFUNCTION("""COMPUTED_VALUE"""),38)</f>
        <v>38</v>
      </c>
      <c r="O156" s="6">
        <f ca="1">IFERROR(__xludf.DUMMYFUNCTION("""COMPUTED_VALUE"""),39)</f>
        <v>39</v>
      </c>
      <c r="P156" s="4" t="str">
        <f ca="1">IFERROR(__xludf.DUMMYFUNCTION("""COMPUTED_VALUE"""),"")</f>
        <v/>
      </c>
      <c r="Q156" s="6">
        <f ca="1">IFERROR(__xludf.DUMMYFUNCTION("""COMPUTED_VALUE"""),769)</f>
        <v>769</v>
      </c>
      <c r="R156" s="4" t="str">
        <f ca="1">IFERROR(__xludf.DUMMYFUNCTION("""COMPUTED_VALUE"""),"")</f>
        <v/>
      </c>
      <c r="S156" s="6">
        <f ca="1">IFERROR(__xludf.DUMMYFUNCTION("""COMPUTED_VALUE"""),1865)</f>
        <v>1865</v>
      </c>
      <c r="T156" s="4"/>
      <c r="U156" s="4"/>
      <c r="V156" s="4"/>
      <c r="W156" s="4"/>
      <c r="X156" s="4"/>
      <c r="Y156" s="4"/>
      <c r="Z156" s="4"/>
      <c r="AA156" s="4"/>
      <c r="AB156" s="4"/>
    </row>
    <row r="157" spans="1:28" x14ac:dyDescent="0.2">
      <c r="A157" s="4" t="str">
        <f t="shared" si="0"/>
        <v/>
      </c>
      <c r="B157" s="4" t="str">
        <f t="shared" si="1"/>
        <v/>
      </c>
      <c r="C157" s="4"/>
      <c r="D157" s="4"/>
      <c r="E157" s="4"/>
      <c r="F157" s="4"/>
      <c r="G157" s="4"/>
      <c r="H157" s="4"/>
      <c r="I157" s="4"/>
      <c r="J157" s="4"/>
      <c r="K157" s="4"/>
      <c r="L157" s="4"/>
      <c r="M157" s="4"/>
      <c r="N157" s="6">
        <f ca="1">IFERROR(__xludf.DUMMYFUNCTION("""COMPUTED_VALUE"""),38)</f>
        <v>38</v>
      </c>
      <c r="O157" s="6">
        <f ca="1">IFERROR(__xludf.DUMMYFUNCTION("""COMPUTED_VALUE"""),39)</f>
        <v>39</v>
      </c>
      <c r="P157" s="4" t="str">
        <f ca="1">IFERROR(__xludf.DUMMYFUNCTION("""COMPUTED_VALUE"""),"")</f>
        <v/>
      </c>
      <c r="Q157" s="6">
        <f ca="1">IFERROR(__xludf.DUMMYFUNCTION("""COMPUTED_VALUE"""),769)</f>
        <v>769</v>
      </c>
      <c r="R157" s="4" t="str">
        <f ca="1">IFERROR(__xludf.DUMMYFUNCTION("""COMPUTED_VALUE"""),"")</f>
        <v/>
      </c>
      <c r="S157" s="6">
        <f ca="1">IFERROR(__xludf.DUMMYFUNCTION("""COMPUTED_VALUE"""),1865)</f>
        <v>1865</v>
      </c>
      <c r="T157" s="4"/>
      <c r="U157" s="4"/>
      <c r="V157" s="4"/>
      <c r="W157" s="4"/>
      <c r="X157" s="4"/>
      <c r="Y157" s="4"/>
      <c r="Z157" s="4"/>
      <c r="AA157" s="4"/>
      <c r="AB157" s="4"/>
    </row>
    <row r="158" spans="1:28" x14ac:dyDescent="0.2">
      <c r="A158" s="4" t="str">
        <f t="shared" si="0"/>
        <v/>
      </c>
      <c r="B158" s="4" t="str">
        <f t="shared" si="1"/>
        <v/>
      </c>
      <c r="C158" s="4"/>
      <c r="D158" s="4"/>
      <c r="E158" s="4"/>
      <c r="F158" s="4"/>
      <c r="G158" s="4"/>
      <c r="H158" s="4"/>
      <c r="I158" s="4"/>
      <c r="J158" s="4"/>
      <c r="K158" s="4"/>
      <c r="L158" s="4"/>
      <c r="M158" s="4"/>
      <c r="N158" s="6">
        <f ca="1">IFERROR(__xludf.DUMMYFUNCTION("""COMPUTED_VALUE"""),38)</f>
        <v>38</v>
      </c>
      <c r="O158" s="6">
        <f ca="1">IFERROR(__xludf.DUMMYFUNCTION("""COMPUTED_VALUE"""),39)</f>
        <v>39</v>
      </c>
      <c r="P158" s="4" t="str">
        <f ca="1">IFERROR(__xludf.DUMMYFUNCTION("""COMPUTED_VALUE"""),"")</f>
        <v/>
      </c>
      <c r="Q158" s="6">
        <f ca="1">IFERROR(__xludf.DUMMYFUNCTION("""COMPUTED_VALUE"""),769)</f>
        <v>769</v>
      </c>
      <c r="R158" s="4" t="str">
        <f ca="1">IFERROR(__xludf.DUMMYFUNCTION("""COMPUTED_VALUE"""),"")</f>
        <v/>
      </c>
      <c r="S158" s="6">
        <f ca="1">IFERROR(__xludf.DUMMYFUNCTION("""COMPUTED_VALUE"""),1865)</f>
        <v>1865</v>
      </c>
      <c r="T158" s="4"/>
      <c r="U158" s="4"/>
      <c r="V158" s="4"/>
      <c r="W158" s="4"/>
      <c r="X158" s="4"/>
      <c r="Y158" s="4"/>
      <c r="Z158" s="4"/>
      <c r="AA158" s="4"/>
      <c r="AB158" s="4"/>
    </row>
    <row r="159" spans="1:28" x14ac:dyDescent="0.2">
      <c r="A159" s="4" t="str">
        <f t="shared" si="0"/>
        <v/>
      </c>
      <c r="B159" s="4" t="str">
        <f t="shared" si="1"/>
        <v/>
      </c>
      <c r="C159" s="4"/>
      <c r="D159" s="4"/>
      <c r="E159" s="4"/>
      <c r="F159" s="4"/>
      <c r="G159" s="4"/>
      <c r="H159" s="4"/>
      <c r="I159" s="4"/>
      <c r="J159" s="4"/>
      <c r="K159" s="4"/>
      <c r="L159" s="4"/>
      <c r="M159" s="4"/>
      <c r="N159" s="6">
        <f ca="1">IFERROR(__xludf.DUMMYFUNCTION("""COMPUTED_VALUE"""),38)</f>
        <v>38</v>
      </c>
      <c r="O159" s="6">
        <f ca="1">IFERROR(__xludf.DUMMYFUNCTION("""COMPUTED_VALUE"""),39)</f>
        <v>39</v>
      </c>
      <c r="P159" s="4" t="str">
        <f ca="1">IFERROR(__xludf.DUMMYFUNCTION("""COMPUTED_VALUE"""),"")</f>
        <v/>
      </c>
      <c r="Q159" s="6">
        <f ca="1">IFERROR(__xludf.DUMMYFUNCTION("""COMPUTED_VALUE"""),769)</f>
        <v>769</v>
      </c>
      <c r="R159" s="4" t="str">
        <f ca="1">IFERROR(__xludf.DUMMYFUNCTION("""COMPUTED_VALUE"""),"")</f>
        <v/>
      </c>
      <c r="S159" s="6">
        <f ca="1">IFERROR(__xludf.DUMMYFUNCTION("""COMPUTED_VALUE"""),1865)</f>
        <v>1865</v>
      </c>
      <c r="T159" s="4"/>
      <c r="U159" s="4"/>
      <c r="V159" s="4"/>
      <c r="W159" s="4"/>
      <c r="X159" s="4"/>
      <c r="Y159" s="4"/>
      <c r="Z159" s="4"/>
      <c r="AA159" s="4"/>
      <c r="AB159" s="4"/>
    </row>
    <row r="160" spans="1:28" x14ac:dyDescent="0.2">
      <c r="A160" s="4" t="str">
        <f t="shared" si="0"/>
        <v/>
      </c>
      <c r="B160" s="4" t="str">
        <f t="shared" si="1"/>
        <v/>
      </c>
      <c r="C160" s="4"/>
      <c r="D160" s="4"/>
      <c r="E160" s="4"/>
      <c r="F160" s="4"/>
      <c r="G160" s="4"/>
      <c r="H160" s="4"/>
      <c r="I160" s="4"/>
      <c r="J160" s="4"/>
      <c r="K160" s="4"/>
      <c r="L160" s="4"/>
      <c r="M160" s="4"/>
      <c r="N160" s="6">
        <f ca="1">IFERROR(__xludf.DUMMYFUNCTION("""COMPUTED_VALUE"""),38)</f>
        <v>38</v>
      </c>
      <c r="O160" s="6">
        <f ca="1">IFERROR(__xludf.DUMMYFUNCTION("""COMPUTED_VALUE"""),39)</f>
        <v>39</v>
      </c>
      <c r="P160" s="4" t="str">
        <f ca="1">IFERROR(__xludf.DUMMYFUNCTION("""COMPUTED_VALUE"""),"")</f>
        <v/>
      </c>
      <c r="Q160" s="6">
        <f ca="1">IFERROR(__xludf.DUMMYFUNCTION("""COMPUTED_VALUE"""),769)</f>
        <v>769</v>
      </c>
      <c r="R160" s="4" t="str">
        <f ca="1">IFERROR(__xludf.DUMMYFUNCTION("""COMPUTED_VALUE"""),"")</f>
        <v/>
      </c>
      <c r="S160" s="6">
        <f ca="1">IFERROR(__xludf.DUMMYFUNCTION("""COMPUTED_VALUE"""),1865)</f>
        <v>1865</v>
      </c>
      <c r="T160" s="4"/>
      <c r="U160" s="4"/>
      <c r="V160" s="4"/>
      <c r="W160" s="4"/>
      <c r="X160" s="4"/>
      <c r="Y160" s="4"/>
      <c r="Z160" s="4"/>
      <c r="AA160" s="4"/>
      <c r="AB160" s="4"/>
    </row>
    <row r="161" spans="1:28" x14ac:dyDescent="0.2">
      <c r="A161" s="4" t="str">
        <f t="shared" si="0"/>
        <v/>
      </c>
      <c r="B161" s="4" t="str">
        <f t="shared" si="1"/>
        <v/>
      </c>
      <c r="C161" s="4"/>
      <c r="D161" s="4"/>
      <c r="E161" s="4"/>
      <c r="F161" s="4"/>
      <c r="G161" s="4"/>
      <c r="H161" s="4"/>
      <c r="I161" s="4"/>
      <c r="J161" s="4"/>
      <c r="K161" s="4"/>
      <c r="L161" s="4"/>
      <c r="M161" s="4"/>
      <c r="N161" s="6">
        <f ca="1">IFERROR(__xludf.DUMMYFUNCTION("""COMPUTED_VALUE"""),38)</f>
        <v>38</v>
      </c>
      <c r="O161" s="6">
        <f ca="1">IFERROR(__xludf.DUMMYFUNCTION("""COMPUTED_VALUE"""),39)</f>
        <v>39</v>
      </c>
      <c r="P161" s="4" t="str">
        <f ca="1">IFERROR(__xludf.DUMMYFUNCTION("""COMPUTED_VALUE"""),"")</f>
        <v/>
      </c>
      <c r="Q161" s="6">
        <f ca="1">IFERROR(__xludf.DUMMYFUNCTION("""COMPUTED_VALUE"""),769)</f>
        <v>769</v>
      </c>
      <c r="R161" s="4" t="str">
        <f ca="1">IFERROR(__xludf.DUMMYFUNCTION("""COMPUTED_VALUE"""),"")</f>
        <v/>
      </c>
      <c r="S161" s="6">
        <f ca="1">IFERROR(__xludf.DUMMYFUNCTION("""COMPUTED_VALUE"""),1865)</f>
        <v>1865</v>
      </c>
      <c r="T161" s="4"/>
      <c r="U161" s="4"/>
      <c r="V161" s="4"/>
      <c r="W161" s="4"/>
      <c r="X161" s="4"/>
      <c r="Y161" s="4"/>
      <c r="Z161" s="4"/>
      <c r="AA161" s="4"/>
      <c r="AB161" s="4"/>
    </row>
    <row r="162" spans="1:28" x14ac:dyDescent="0.2">
      <c r="A162" s="4" t="str">
        <f t="shared" si="0"/>
        <v/>
      </c>
      <c r="B162" s="4" t="str">
        <f t="shared" si="1"/>
        <v/>
      </c>
      <c r="C162" s="4"/>
      <c r="D162" s="4"/>
      <c r="E162" s="4"/>
      <c r="F162" s="4"/>
      <c r="G162" s="4"/>
      <c r="H162" s="4"/>
      <c r="I162" s="4"/>
      <c r="J162" s="4"/>
      <c r="K162" s="4"/>
      <c r="L162" s="4"/>
      <c r="M162" s="4"/>
      <c r="N162" s="6">
        <f ca="1">IFERROR(__xludf.DUMMYFUNCTION("""COMPUTED_VALUE"""),38)</f>
        <v>38</v>
      </c>
      <c r="O162" s="6">
        <f ca="1">IFERROR(__xludf.DUMMYFUNCTION("""COMPUTED_VALUE"""),39)</f>
        <v>39</v>
      </c>
      <c r="P162" s="4" t="str">
        <f ca="1">IFERROR(__xludf.DUMMYFUNCTION("""COMPUTED_VALUE"""),"")</f>
        <v/>
      </c>
      <c r="Q162" s="6">
        <f ca="1">IFERROR(__xludf.DUMMYFUNCTION("""COMPUTED_VALUE"""),769)</f>
        <v>769</v>
      </c>
      <c r="R162" s="4" t="str">
        <f ca="1">IFERROR(__xludf.DUMMYFUNCTION("""COMPUTED_VALUE"""),"")</f>
        <v/>
      </c>
      <c r="S162" s="6">
        <f ca="1">IFERROR(__xludf.DUMMYFUNCTION("""COMPUTED_VALUE"""),1865)</f>
        <v>1865</v>
      </c>
      <c r="T162" s="4"/>
      <c r="U162" s="4"/>
      <c r="V162" s="4"/>
      <c r="W162" s="4"/>
      <c r="X162" s="4"/>
      <c r="Y162" s="4"/>
      <c r="Z162" s="4"/>
      <c r="AA162" s="4"/>
      <c r="AB162" s="4"/>
    </row>
    <row r="163" spans="1:28" x14ac:dyDescent="0.2">
      <c r="A163" s="4" t="str">
        <f t="shared" si="0"/>
        <v/>
      </c>
      <c r="B163" s="4" t="str">
        <f t="shared" si="1"/>
        <v/>
      </c>
      <c r="C163" s="4"/>
      <c r="D163" s="4"/>
      <c r="E163" s="4"/>
      <c r="F163" s="4"/>
      <c r="G163" s="4"/>
      <c r="H163" s="4"/>
      <c r="I163" s="4"/>
      <c r="J163" s="4"/>
      <c r="K163" s="4"/>
      <c r="L163" s="4"/>
      <c r="M163" s="4"/>
      <c r="N163" s="6">
        <f ca="1">IFERROR(__xludf.DUMMYFUNCTION("""COMPUTED_VALUE"""),38)</f>
        <v>38</v>
      </c>
      <c r="O163" s="6">
        <f ca="1">IFERROR(__xludf.DUMMYFUNCTION("""COMPUTED_VALUE"""),39)</f>
        <v>39</v>
      </c>
      <c r="P163" s="4" t="str">
        <f ca="1">IFERROR(__xludf.DUMMYFUNCTION("""COMPUTED_VALUE"""),"")</f>
        <v/>
      </c>
      <c r="Q163" s="6">
        <f ca="1">IFERROR(__xludf.DUMMYFUNCTION("""COMPUTED_VALUE"""),769)</f>
        <v>769</v>
      </c>
      <c r="R163" s="4" t="str">
        <f ca="1">IFERROR(__xludf.DUMMYFUNCTION("""COMPUTED_VALUE"""),"")</f>
        <v/>
      </c>
      <c r="S163" s="6">
        <f ca="1">IFERROR(__xludf.DUMMYFUNCTION("""COMPUTED_VALUE"""),1865)</f>
        <v>1865</v>
      </c>
      <c r="T163" s="4"/>
      <c r="U163" s="4"/>
      <c r="V163" s="4"/>
      <c r="W163" s="4"/>
      <c r="X163" s="4"/>
      <c r="Y163" s="4"/>
      <c r="Z163" s="4"/>
      <c r="AA163" s="4"/>
      <c r="AB163" s="4"/>
    </row>
    <row r="164" spans="1:28" x14ac:dyDescent="0.2">
      <c r="A164" s="4" t="str">
        <f t="shared" si="0"/>
        <v/>
      </c>
      <c r="B164" s="4" t="str">
        <f t="shared" si="1"/>
        <v/>
      </c>
      <c r="C164" s="4"/>
      <c r="D164" s="4"/>
      <c r="E164" s="4"/>
      <c r="F164" s="4"/>
      <c r="G164" s="4"/>
      <c r="H164" s="4"/>
      <c r="I164" s="4"/>
      <c r="J164" s="4"/>
      <c r="K164" s="4"/>
      <c r="L164" s="4"/>
      <c r="M164" s="4"/>
      <c r="N164" s="6">
        <f ca="1">IFERROR(__xludf.DUMMYFUNCTION("""COMPUTED_VALUE"""),38)</f>
        <v>38</v>
      </c>
      <c r="O164" s="6">
        <f ca="1">IFERROR(__xludf.DUMMYFUNCTION("""COMPUTED_VALUE"""),39)</f>
        <v>39</v>
      </c>
      <c r="P164" s="4" t="str">
        <f ca="1">IFERROR(__xludf.DUMMYFUNCTION("""COMPUTED_VALUE"""),"")</f>
        <v/>
      </c>
      <c r="Q164" s="6">
        <f ca="1">IFERROR(__xludf.DUMMYFUNCTION("""COMPUTED_VALUE"""),769)</f>
        <v>769</v>
      </c>
      <c r="R164" s="4" t="str">
        <f ca="1">IFERROR(__xludf.DUMMYFUNCTION("""COMPUTED_VALUE"""),"")</f>
        <v/>
      </c>
      <c r="S164" s="6">
        <f ca="1">IFERROR(__xludf.DUMMYFUNCTION("""COMPUTED_VALUE"""),1865)</f>
        <v>1865</v>
      </c>
      <c r="T164" s="4"/>
      <c r="U164" s="4"/>
      <c r="V164" s="4"/>
      <c r="W164" s="4"/>
      <c r="X164" s="4"/>
      <c r="Y164" s="4"/>
      <c r="Z164" s="4"/>
      <c r="AA164" s="4"/>
      <c r="AB164" s="4"/>
    </row>
    <row r="165" spans="1:28" x14ac:dyDescent="0.2">
      <c r="A165" s="4" t="str">
        <f t="shared" si="0"/>
        <v/>
      </c>
      <c r="B165" s="4" t="str">
        <f t="shared" si="1"/>
        <v/>
      </c>
      <c r="C165" s="4"/>
      <c r="D165" s="4"/>
      <c r="E165" s="4"/>
      <c r="F165" s="4"/>
      <c r="G165" s="4"/>
      <c r="H165" s="4"/>
      <c r="I165" s="4"/>
      <c r="J165" s="4"/>
      <c r="K165" s="4"/>
      <c r="L165" s="4"/>
      <c r="M165" s="4"/>
      <c r="N165" s="6">
        <f ca="1">IFERROR(__xludf.DUMMYFUNCTION("""COMPUTED_VALUE"""),38)</f>
        <v>38</v>
      </c>
      <c r="O165" s="6">
        <f ca="1">IFERROR(__xludf.DUMMYFUNCTION("""COMPUTED_VALUE"""),39)</f>
        <v>39</v>
      </c>
      <c r="P165" s="4" t="str">
        <f ca="1">IFERROR(__xludf.DUMMYFUNCTION("""COMPUTED_VALUE"""),"")</f>
        <v/>
      </c>
      <c r="Q165" s="6">
        <f ca="1">IFERROR(__xludf.DUMMYFUNCTION("""COMPUTED_VALUE"""),769)</f>
        <v>769</v>
      </c>
      <c r="R165" s="4" t="str">
        <f ca="1">IFERROR(__xludf.DUMMYFUNCTION("""COMPUTED_VALUE"""),"")</f>
        <v/>
      </c>
      <c r="S165" s="6">
        <f ca="1">IFERROR(__xludf.DUMMYFUNCTION("""COMPUTED_VALUE"""),1865)</f>
        <v>1865</v>
      </c>
      <c r="T165" s="4"/>
      <c r="U165" s="4"/>
      <c r="V165" s="4"/>
      <c r="W165" s="4"/>
      <c r="X165" s="4"/>
      <c r="Y165" s="4"/>
      <c r="Z165" s="4"/>
      <c r="AA165" s="4"/>
      <c r="AB165" s="4"/>
    </row>
    <row r="166" spans="1:28" x14ac:dyDescent="0.2">
      <c r="A166" s="4" t="str">
        <f t="shared" si="0"/>
        <v/>
      </c>
      <c r="B166" s="4" t="str">
        <f t="shared" si="1"/>
        <v/>
      </c>
      <c r="C166" s="4"/>
      <c r="D166" s="4"/>
      <c r="E166" s="4"/>
      <c r="F166" s="4"/>
      <c r="G166" s="4"/>
      <c r="H166" s="4"/>
      <c r="I166" s="4"/>
      <c r="J166" s="4"/>
      <c r="K166" s="4"/>
      <c r="L166" s="4"/>
      <c r="M166" s="4"/>
      <c r="N166" s="6">
        <f ca="1">IFERROR(__xludf.DUMMYFUNCTION("""COMPUTED_VALUE"""),38)</f>
        <v>38</v>
      </c>
      <c r="O166" s="6">
        <f ca="1">IFERROR(__xludf.DUMMYFUNCTION("""COMPUTED_VALUE"""),39)</f>
        <v>39</v>
      </c>
      <c r="P166" s="4" t="str">
        <f ca="1">IFERROR(__xludf.DUMMYFUNCTION("""COMPUTED_VALUE"""),"")</f>
        <v/>
      </c>
      <c r="Q166" s="6">
        <f ca="1">IFERROR(__xludf.DUMMYFUNCTION("""COMPUTED_VALUE"""),769)</f>
        <v>769</v>
      </c>
      <c r="R166" s="4" t="str">
        <f ca="1">IFERROR(__xludf.DUMMYFUNCTION("""COMPUTED_VALUE"""),"")</f>
        <v/>
      </c>
      <c r="S166" s="6">
        <f ca="1">IFERROR(__xludf.DUMMYFUNCTION("""COMPUTED_VALUE"""),1865)</f>
        <v>1865</v>
      </c>
      <c r="T166" s="4"/>
      <c r="U166" s="4"/>
      <c r="V166" s="4"/>
      <c r="W166" s="4"/>
      <c r="X166" s="4"/>
      <c r="Y166" s="4"/>
      <c r="Z166" s="4"/>
      <c r="AA166" s="4"/>
      <c r="AB166" s="4"/>
    </row>
    <row r="167" spans="1:28" x14ac:dyDescent="0.2">
      <c r="A167" s="4" t="str">
        <f t="shared" si="0"/>
        <v/>
      </c>
      <c r="B167" s="4" t="str">
        <f t="shared" si="1"/>
        <v/>
      </c>
      <c r="C167" s="4"/>
      <c r="D167" s="4"/>
      <c r="E167" s="4"/>
      <c r="F167" s="4"/>
      <c r="G167" s="4"/>
      <c r="H167" s="4"/>
      <c r="I167" s="4"/>
      <c r="J167" s="4"/>
      <c r="K167" s="4"/>
      <c r="L167" s="4"/>
      <c r="M167" s="4"/>
      <c r="N167" s="6">
        <f ca="1">IFERROR(__xludf.DUMMYFUNCTION("""COMPUTED_VALUE"""),38)</f>
        <v>38</v>
      </c>
      <c r="O167" s="6">
        <f ca="1">IFERROR(__xludf.DUMMYFUNCTION("""COMPUTED_VALUE"""),39)</f>
        <v>39</v>
      </c>
      <c r="P167" s="4" t="str">
        <f ca="1">IFERROR(__xludf.DUMMYFUNCTION("""COMPUTED_VALUE"""),"")</f>
        <v/>
      </c>
      <c r="Q167" s="6">
        <f ca="1">IFERROR(__xludf.DUMMYFUNCTION("""COMPUTED_VALUE"""),769)</f>
        <v>769</v>
      </c>
      <c r="R167" s="4" t="str">
        <f ca="1">IFERROR(__xludf.DUMMYFUNCTION("""COMPUTED_VALUE"""),"")</f>
        <v/>
      </c>
      <c r="S167" s="6">
        <f ca="1">IFERROR(__xludf.DUMMYFUNCTION("""COMPUTED_VALUE"""),1865)</f>
        <v>1865</v>
      </c>
      <c r="T167" s="4"/>
      <c r="U167" s="4"/>
      <c r="V167" s="4"/>
      <c r="W167" s="4"/>
      <c r="X167" s="4"/>
      <c r="Y167" s="4"/>
      <c r="Z167" s="4"/>
      <c r="AA167" s="4"/>
      <c r="AB167" s="4"/>
    </row>
    <row r="168" spans="1:28" x14ac:dyDescent="0.2">
      <c r="A168" s="4" t="str">
        <f t="shared" si="0"/>
        <v/>
      </c>
      <c r="B168" s="4" t="str">
        <f t="shared" si="1"/>
        <v/>
      </c>
      <c r="C168" s="4"/>
      <c r="D168" s="4"/>
      <c r="E168" s="4"/>
      <c r="F168" s="4"/>
      <c r="G168" s="4"/>
      <c r="H168" s="4"/>
      <c r="I168" s="4"/>
      <c r="J168" s="4"/>
      <c r="K168" s="4"/>
      <c r="L168" s="4"/>
      <c r="M168" s="4"/>
      <c r="N168" s="6">
        <f ca="1">IFERROR(__xludf.DUMMYFUNCTION("""COMPUTED_VALUE"""),38)</f>
        <v>38</v>
      </c>
      <c r="O168" s="6">
        <f ca="1">IFERROR(__xludf.DUMMYFUNCTION("""COMPUTED_VALUE"""),39)</f>
        <v>39</v>
      </c>
      <c r="P168" s="4" t="str">
        <f ca="1">IFERROR(__xludf.DUMMYFUNCTION("""COMPUTED_VALUE"""),"")</f>
        <v/>
      </c>
      <c r="Q168" s="6">
        <f ca="1">IFERROR(__xludf.DUMMYFUNCTION("""COMPUTED_VALUE"""),769)</f>
        <v>769</v>
      </c>
      <c r="R168" s="4" t="str">
        <f ca="1">IFERROR(__xludf.DUMMYFUNCTION("""COMPUTED_VALUE"""),"")</f>
        <v/>
      </c>
      <c r="S168" s="6">
        <f ca="1">IFERROR(__xludf.DUMMYFUNCTION("""COMPUTED_VALUE"""),1865)</f>
        <v>1865</v>
      </c>
      <c r="T168" s="4"/>
      <c r="U168" s="4"/>
      <c r="V168" s="4"/>
      <c r="W168" s="4"/>
      <c r="X168" s="4"/>
      <c r="Y168" s="4"/>
      <c r="Z168" s="4"/>
      <c r="AA168" s="4"/>
      <c r="AB168" s="4"/>
    </row>
    <row r="169" spans="1:28" x14ac:dyDescent="0.2">
      <c r="A169" s="4" t="str">
        <f t="shared" si="0"/>
        <v/>
      </c>
      <c r="B169" s="4" t="str">
        <f t="shared" si="1"/>
        <v/>
      </c>
      <c r="C169" s="4"/>
      <c r="D169" s="4"/>
      <c r="E169" s="4"/>
      <c r="F169" s="4"/>
      <c r="G169" s="4"/>
      <c r="H169" s="4"/>
      <c r="I169" s="4"/>
      <c r="J169" s="4"/>
      <c r="K169" s="4"/>
      <c r="L169" s="4"/>
      <c r="M169" s="4"/>
      <c r="N169" s="6">
        <f ca="1">IFERROR(__xludf.DUMMYFUNCTION("""COMPUTED_VALUE"""),38)</f>
        <v>38</v>
      </c>
      <c r="O169" s="6">
        <f ca="1">IFERROR(__xludf.DUMMYFUNCTION("""COMPUTED_VALUE"""),39)</f>
        <v>39</v>
      </c>
      <c r="P169" s="4" t="str">
        <f ca="1">IFERROR(__xludf.DUMMYFUNCTION("""COMPUTED_VALUE"""),"")</f>
        <v/>
      </c>
      <c r="Q169" s="6">
        <f ca="1">IFERROR(__xludf.DUMMYFUNCTION("""COMPUTED_VALUE"""),769)</f>
        <v>769</v>
      </c>
      <c r="R169" s="4" t="str">
        <f ca="1">IFERROR(__xludf.DUMMYFUNCTION("""COMPUTED_VALUE"""),"")</f>
        <v/>
      </c>
      <c r="S169" s="6">
        <f ca="1">IFERROR(__xludf.DUMMYFUNCTION("""COMPUTED_VALUE"""),1865)</f>
        <v>1865</v>
      </c>
      <c r="T169" s="4"/>
      <c r="U169" s="4"/>
      <c r="V169" s="4"/>
      <c r="W169" s="4"/>
      <c r="X169" s="4"/>
      <c r="Y169" s="4"/>
      <c r="Z169" s="4"/>
      <c r="AA169" s="4"/>
      <c r="AB169" s="4"/>
    </row>
    <row r="170" spans="1:28" x14ac:dyDescent="0.2">
      <c r="A170" s="4" t="str">
        <f t="shared" si="0"/>
        <v/>
      </c>
      <c r="B170" s="4" t="str">
        <f t="shared" si="1"/>
        <v/>
      </c>
      <c r="C170" s="4"/>
      <c r="D170" s="4"/>
      <c r="E170" s="4"/>
      <c r="F170" s="4"/>
      <c r="G170" s="4"/>
      <c r="H170" s="4"/>
      <c r="I170" s="4"/>
      <c r="J170" s="4"/>
      <c r="K170" s="4"/>
      <c r="L170" s="4"/>
      <c r="M170" s="4"/>
      <c r="N170" s="6">
        <f ca="1">IFERROR(__xludf.DUMMYFUNCTION("""COMPUTED_VALUE"""),38)</f>
        <v>38</v>
      </c>
      <c r="O170" s="6">
        <f ca="1">IFERROR(__xludf.DUMMYFUNCTION("""COMPUTED_VALUE"""),39)</f>
        <v>39</v>
      </c>
      <c r="P170" s="4" t="str">
        <f ca="1">IFERROR(__xludf.DUMMYFUNCTION("""COMPUTED_VALUE"""),"")</f>
        <v/>
      </c>
      <c r="Q170" s="6">
        <f ca="1">IFERROR(__xludf.DUMMYFUNCTION("""COMPUTED_VALUE"""),769)</f>
        <v>769</v>
      </c>
      <c r="R170" s="4" t="str">
        <f ca="1">IFERROR(__xludf.DUMMYFUNCTION("""COMPUTED_VALUE"""),"")</f>
        <v/>
      </c>
      <c r="S170" s="6">
        <f ca="1">IFERROR(__xludf.DUMMYFUNCTION("""COMPUTED_VALUE"""),1865)</f>
        <v>1865</v>
      </c>
      <c r="T170" s="4"/>
      <c r="U170" s="4"/>
      <c r="V170" s="4"/>
      <c r="W170" s="4"/>
      <c r="X170" s="4"/>
      <c r="Y170" s="4"/>
      <c r="Z170" s="4"/>
      <c r="AA170" s="4"/>
      <c r="AB170" s="4"/>
    </row>
    <row r="171" spans="1:28" x14ac:dyDescent="0.2">
      <c r="A171" s="4" t="str">
        <f t="shared" si="0"/>
        <v/>
      </c>
      <c r="B171" s="4" t="str">
        <f t="shared" si="1"/>
        <v/>
      </c>
      <c r="C171" s="4"/>
      <c r="D171" s="4"/>
      <c r="E171" s="4"/>
      <c r="F171" s="4"/>
      <c r="G171" s="4"/>
      <c r="H171" s="4"/>
      <c r="I171" s="4"/>
      <c r="J171" s="4"/>
      <c r="K171" s="4"/>
      <c r="L171" s="4"/>
      <c r="M171" s="4"/>
      <c r="N171" s="6">
        <f ca="1">IFERROR(__xludf.DUMMYFUNCTION("""COMPUTED_VALUE"""),38)</f>
        <v>38</v>
      </c>
      <c r="O171" s="6">
        <f ca="1">IFERROR(__xludf.DUMMYFUNCTION("""COMPUTED_VALUE"""),39)</f>
        <v>39</v>
      </c>
      <c r="P171" s="4" t="str">
        <f ca="1">IFERROR(__xludf.DUMMYFUNCTION("""COMPUTED_VALUE"""),"")</f>
        <v/>
      </c>
      <c r="Q171" s="6">
        <f ca="1">IFERROR(__xludf.DUMMYFUNCTION("""COMPUTED_VALUE"""),769)</f>
        <v>769</v>
      </c>
      <c r="R171" s="4" t="str">
        <f ca="1">IFERROR(__xludf.DUMMYFUNCTION("""COMPUTED_VALUE"""),"")</f>
        <v/>
      </c>
      <c r="S171" s="6">
        <f ca="1">IFERROR(__xludf.DUMMYFUNCTION("""COMPUTED_VALUE"""),1865)</f>
        <v>1865</v>
      </c>
      <c r="T171" s="4"/>
      <c r="U171" s="4"/>
      <c r="V171" s="4"/>
      <c r="W171" s="4"/>
      <c r="X171" s="4"/>
      <c r="Y171" s="4"/>
      <c r="Z171" s="4"/>
      <c r="AA171" s="4"/>
      <c r="AB171" s="4"/>
    </row>
    <row r="172" spans="1:28" x14ac:dyDescent="0.2">
      <c r="A172" s="4" t="str">
        <f t="shared" si="0"/>
        <v/>
      </c>
      <c r="B172" s="4" t="str">
        <f t="shared" si="1"/>
        <v/>
      </c>
      <c r="C172" s="4"/>
      <c r="D172" s="4"/>
      <c r="E172" s="4"/>
      <c r="F172" s="4"/>
      <c r="G172" s="4"/>
      <c r="H172" s="4"/>
      <c r="I172" s="4"/>
      <c r="J172" s="4"/>
      <c r="K172" s="4"/>
      <c r="L172" s="4"/>
      <c r="M172" s="4"/>
      <c r="N172" s="6">
        <f ca="1">IFERROR(__xludf.DUMMYFUNCTION("""COMPUTED_VALUE"""),38)</f>
        <v>38</v>
      </c>
      <c r="O172" s="6">
        <f ca="1">IFERROR(__xludf.DUMMYFUNCTION("""COMPUTED_VALUE"""),39)</f>
        <v>39</v>
      </c>
      <c r="P172" s="4" t="str">
        <f ca="1">IFERROR(__xludf.DUMMYFUNCTION("""COMPUTED_VALUE"""),"")</f>
        <v/>
      </c>
      <c r="Q172" s="6">
        <f ca="1">IFERROR(__xludf.DUMMYFUNCTION("""COMPUTED_VALUE"""),769)</f>
        <v>769</v>
      </c>
      <c r="R172" s="4" t="str">
        <f ca="1">IFERROR(__xludf.DUMMYFUNCTION("""COMPUTED_VALUE"""),"")</f>
        <v/>
      </c>
      <c r="S172" s="6">
        <f ca="1">IFERROR(__xludf.DUMMYFUNCTION("""COMPUTED_VALUE"""),1865)</f>
        <v>1865</v>
      </c>
      <c r="T172" s="4"/>
      <c r="U172" s="4"/>
      <c r="V172" s="4"/>
      <c r="W172" s="4"/>
      <c r="X172" s="4"/>
      <c r="Y172" s="4"/>
      <c r="Z172" s="4"/>
      <c r="AA172" s="4"/>
      <c r="AB172" s="4"/>
    </row>
    <row r="173" spans="1:28" x14ac:dyDescent="0.2">
      <c r="A173" s="4" t="str">
        <f t="shared" si="0"/>
        <v/>
      </c>
      <c r="B173" s="4" t="str">
        <f t="shared" si="1"/>
        <v/>
      </c>
      <c r="C173" s="4"/>
      <c r="D173" s="4"/>
      <c r="E173" s="4"/>
      <c r="F173" s="4"/>
      <c r="G173" s="4"/>
      <c r="H173" s="4"/>
      <c r="I173" s="4"/>
      <c r="J173" s="4"/>
      <c r="K173" s="4"/>
      <c r="L173" s="4"/>
      <c r="M173" s="4"/>
      <c r="N173" s="6">
        <f ca="1">IFERROR(__xludf.DUMMYFUNCTION("""COMPUTED_VALUE"""),38)</f>
        <v>38</v>
      </c>
      <c r="O173" s="6">
        <f ca="1">IFERROR(__xludf.DUMMYFUNCTION("""COMPUTED_VALUE"""),39)</f>
        <v>39</v>
      </c>
      <c r="P173" s="4" t="str">
        <f ca="1">IFERROR(__xludf.DUMMYFUNCTION("""COMPUTED_VALUE"""),"")</f>
        <v/>
      </c>
      <c r="Q173" s="6">
        <f ca="1">IFERROR(__xludf.DUMMYFUNCTION("""COMPUTED_VALUE"""),769)</f>
        <v>769</v>
      </c>
      <c r="R173" s="4" t="str">
        <f ca="1">IFERROR(__xludf.DUMMYFUNCTION("""COMPUTED_VALUE"""),"")</f>
        <v/>
      </c>
      <c r="S173" s="6">
        <f ca="1">IFERROR(__xludf.DUMMYFUNCTION("""COMPUTED_VALUE"""),1865)</f>
        <v>1865</v>
      </c>
      <c r="T173" s="4"/>
      <c r="U173" s="4"/>
      <c r="V173" s="4"/>
      <c r="W173" s="4"/>
      <c r="X173" s="4"/>
      <c r="Y173" s="4"/>
      <c r="Z173" s="4"/>
      <c r="AA173" s="4"/>
      <c r="AB173" s="4"/>
    </row>
    <row r="174" spans="1:28" x14ac:dyDescent="0.2">
      <c r="A174" s="4" t="str">
        <f t="shared" si="0"/>
        <v/>
      </c>
      <c r="B174" s="4" t="str">
        <f t="shared" si="1"/>
        <v/>
      </c>
      <c r="C174" s="4"/>
      <c r="D174" s="4"/>
      <c r="E174" s="4"/>
      <c r="F174" s="4"/>
      <c r="G174" s="4"/>
      <c r="H174" s="4"/>
      <c r="I174" s="4"/>
      <c r="J174" s="4"/>
      <c r="K174" s="4"/>
      <c r="L174" s="4"/>
      <c r="M174" s="4"/>
      <c r="N174" s="6">
        <f ca="1">IFERROR(__xludf.DUMMYFUNCTION("""COMPUTED_VALUE"""),38)</f>
        <v>38</v>
      </c>
      <c r="O174" s="6">
        <f ca="1">IFERROR(__xludf.DUMMYFUNCTION("""COMPUTED_VALUE"""),39)</f>
        <v>39</v>
      </c>
      <c r="P174" s="4" t="str">
        <f ca="1">IFERROR(__xludf.DUMMYFUNCTION("""COMPUTED_VALUE"""),"")</f>
        <v/>
      </c>
      <c r="Q174" s="6">
        <f ca="1">IFERROR(__xludf.DUMMYFUNCTION("""COMPUTED_VALUE"""),769)</f>
        <v>769</v>
      </c>
      <c r="R174" s="4" t="str">
        <f ca="1">IFERROR(__xludf.DUMMYFUNCTION("""COMPUTED_VALUE"""),"")</f>
        <v/>
      </c>
      <c r="S174" s="6">
        <f ca="1">IFERROR(__xludf.DUMMYFUNCTION("""COMPUTED_VALUE"""),1865)</f>
        <v>1865</v>
      </c>
      <c r="T174" s="4"/>
      <c r="U174" s="4"/>
      <c r="V174" s="4"/>
      <c r="W174" s="4"/>
      <c r="X174" s="4"/>
      <c r="Y174" s="4"/>
      <c r="Z174" s="4"/>
      <c r="AA174" s="4"/>
      <c r="AB174" s="4"/>
    </row>
    <row r="175" spans="1:28" x14ac:dyDescent="0.2">
      <c r="A175" s="4" t="str">
        <f t="shared" si="0"/>
        <v/>
      </c>
      <c r="B175" s="4" t="str">
        <f t="shared" si="1"/>
        <v/>
      </c>
      <c r="C175" s="4"/>
      <c r="D175" s="4"/>
      <c r="E175" s="4"/>
      <c r="F175" s="4"/>
      <c r="G175" s="4"/>
      <c r="H175" s="4"/>
      <c r="I175" s="4"/>
      <c r="J175" s="4"/>
      <c r="K175" s="4"/>
      <c r="L175" s="4"/>
      <c r="M175" s="4"/>
      <c r="N175" s="6">
        <f ca="1">IFERROR(__xludf.DUMMYFUNCTION("""COMPUTED_VALUE"""),38)</f>
        <v>38</v>
      </c>
      <c r="O175" s="6">
        <f ca="1">IFERROR(__xludf.DUMMYFUNCTION("""COMPUTED_VALUE"""),39)</f>
        <v>39</v>
      </c>
      <c r="P175" s="4" t="str">
        <f ca="1">IFERROR(__xludf.DUMMYFUNCTION("""COMPUTED_VALUE"""),"")</f>
        <v/>
      </c>
      <c r="Q175" s="6">
        <f ca="1">IFERROR(__xludf.DUMMYFUNCTION("""COMPUTED_VALUE"""),769)</f>
        <v>769</v>
      </c>
      <c r="R175" s="4" t="str">
        <f ca="1">IFERROR(__xludf.DUMMYFUNCTION("""COMPUTED_VALUE"""),"")</f>
        <v/>
      </c>
      <c r="S175" s="6">
        <f ca="1">IFERROR(__xludf.DUMMYFUNCTION("""COMPUTED_VALUE"""),1865)</f>
        <v>1865</v>
      </c>
      <c r="T175" s="4"/>
      <c r="U175" s="4"/>
      <c r="V175" s="4"/>
      <c r="W175" s="4"/>
      <c r="X175" s="4"/>
      <c r="Y175" s="4"/>
      <c r="Z175" s="4"/>
      <c r="AA175" s="4"/>
      <c r="AB175" s="4"/>
    </row>
    <row r="176" spans="1:28" x14ac:dyDescent="0.2">
      <c r="A176" s="4" t="str">
        <f t="shared" si="0"/>
        <v/>
      </c>
      <c r="B176" s="4" t="str">
        <f t="shared" si="1"/>
        <v/>
      </c>
      <c r="C176" s="4"/>
      <c r="D176" s="4"/>
      <c r="E176" s="4"/>
      <c r="F176" s="4"/>
      <c r="G176" s="4"/>
      <c r="H176" s="4"/>
      <c r="I176" s="4"/>
      <c r="J176" s="4"/>
      <c r="K176" s="4"/>
      <c r="L176" s="4"/>
      <c r="M176" s="4"/>
      <c r="N176" s="6">
        <f ca="1">IFERROR(__xludf.DUMMYFUNCTION("""COMPUTED_VALUE"""),38)</f>
        <v>38</v>
      </c>
      <c r="O176" s="6">
        <f ca="1">IFERROR(__xludf.DUMMYFUNCTION("""COMPUTED_VALUE"""),39)</f>
        <v>39</v>
      </c>
      <c r="P176" s="4" t="str">
        <f ca="1">IFERROR(__xludf.DUMMYFUNCTION("""COMPUTED_VALUE"""),"")</f>
        <v/>
      </c>
      <c r="Q176" s="6">
        <f ca="1">IFERROR(__xludf.DUMMYFUNCTION("""COMPUTED_VALUE"""),769)</f>
        <v>769</v>
      </c>
      <c r="R176" s="4" t="str">
        <f ca="1">IFERROR(__xludf.DUMMYFUNCTION("""COMPUTED_VALUE"""),"")</f>
        <v/>
      </c>
      <c r="S176" s="6">
        <f ca="1">IFERROR(__xludf.DUMMYFUNCTION("""COMPUTED_VALUE"""),1865)</f>
        <v>1865</v>
      </c>
      <c r="T176" s="4"/>
      <c r="U176" s="4"/>
      <c r="V176" s="4"/>
      <c r="W176" s="4"/>
      <c r="X176" s="4"/>
      <c r="Y176" s="4"/>
      <c r="Z176" s="4"/>
      <c r="AA176" s="4"/>
      <c r="AB176" s="4"/>
    </row>
    <row r="177" spans="1:28" x14ac:dyDescent="0.2">
      <c r="A177" s="4" t="str">
        <f t="shared" si="0"/>
        <v/>
      </c>
      <c r="B177" s="4" t="str">
        <f t="shared" si="1"/>
        <v/>
      </c>
      <c r="C177" s="4"/>
      <c r="D177" s="4"/>
      <c r="E177" s="4"/>
      <c r="F177" s="4"/>
      <c r="G177" s="4"/>
      <c r="H177" s="4"/>
      <c r="I177" s="4"/>
      <c r="J177" s="4"/>
      <c r="K177" s="4"/>
      <c r="L177" s="4"/>
      <c r="M177" s="4"/>
      <c r="N177" s="6">
        <f ca="1">IFERROR(__xludf.DUMMYFUNCTION("""COMPUTED_VALUE"""),38)</f>
        <v>38</v>
      </c>
      <c r="O177" s="6">
        <f ca="1">IFERROR(__xludf.DUMMYFUNCTION("""COMPUTED_VALUE"""),39)</f>
        <v>39</v>
      </c>
      <c r="P177" s="4" t="str">
        <f ca="1">IFERROR(__xludf.DUMMYFUNCTION("""COMPUTED_VALUE"""),"")</f>
        <v/>
      </c>
      <c r="Q177" s="6">
        <f ca="1">IFERROR(__xludf.DUMMYFUNCTION("""COMPUTED_VALUE"""),769)</f>
        <v>769</v>
      </c>
      <c r="R177" s="4" t="str">
        <f ca="1">IFERROR(__xludf.DUMMYFUNCTION("""COMPUTED_VALUE"""),"")</f>
        <v/>
      </c>
      <c r="S177" s="6">
        <f ca="1">IFERROR(__xludf.DUMMYFUNCTION("""COMPUTED_VALUE"""),1865)</f>
        <v>1865</v>
      </c>
      <c r="T177" s="4"/>
      <c r="U177" s="4"/>
      <c r="V177" s="4"/>
      <c r="W177" s="4"/>
      <c r="X177" s="4"/>
      <c r="Y177" s="4"/>
      <c r="Z177" s="4"/>
      <c r="AA177" s="4"/>
      <c r="AB177" s="4"/>
    </row>
    <row r="178" spans="1:28" x14ac:dyDescent="0.2">
      <c r="A178" s="4" t="str">
        <f t="shared" si="0"/>
        <v/>
      </c>
      <c r="B178" s="4" t="str">
        <f t="shared" si="1"/>
        <v/>
      </c>
      <c r="C178" s="4"/>
      <c r="D178" s="4"/>
      <c r="E178" s="4"/>
      <c r="F178" s="4"/>
      <c r="G178" s="4"/>
      <c r="H178" s="4"/>
      <c r="I178" s="4"/>
      <c r="J178" s="4"/>
      <c r="K178" s="4"/>
      <c r="L178" s="4"/>
      <c r="M178" s="4"/>
      <c r="N178" s="6">
        <f ca="1">IFERROR(__xludf.DUMMYFUNCTION("""COMPUTED_VALUE"""),38)</f>
        <v>38</v>
      </c>
      <c r="O178" s="6">
        <f ca="1">IFERROR(__xludf.DUMMYFUNCTION("""COMPUTED_VALUE"""),39)</f>
        <v>39</v>
      </c>
      <c r="P178" s="4" t="str">
        <f ca="1">IFERROR(__xludf.DUMMYFUNCTION("""COMPUTED_VALUE"""),"")</f>
        <v/>
      </c>
      <c r="Q178" s="6">
        <f ca="1">IFERROR(__xludf.DUMMYFUNCTION("""COMPUTED_VALUE"""),769)</f>
        <v>769</v>
      </c>
      <c r="R178" s="4" t="str">
        <f ca="1">IFERROR(__xludf.DUMMYFUNCTION("""COMPUTED_VALUE"""),"")</f>
        <v/>
      </c>
      <c r="S178" s="6">
        <f ca="1">IFERROR(__xludf.DUMMYFUNCTION("""COMPUTED_VALUE"""),1865)</f>
        <v>1865</v>
      </c>
      <c r="T178" s="4"/>
      <c r="U178" s="4"/>
      <c r="V178" s="4"/>
      <c r="W178" s="4"/>
      <c r="X178" s="4"/>
      <c r="Y178" s="4"/>
      <c r="Z178" s="4"/>
      <c r="AA178" s="4"/>
      <c r="AB178" s="4"/>
    </row>
    <row r="179" spans="1:28" x14ac:dyDescent="0.2">
      <c r="A179" s="4" t="str">
        <f t="shared" si="0"/>
        <v/>
      </c>
      <c r="B179" s="4" t="str">
        <f t="shared" si="1"/>
        <v/>
      </c>
      <c r="C179" s="4"/>
      <c r="D179" s="4"/>
      <c r="E179" s="4"/>
      <c r="F179" s="4"/>
      <c r="G179" s="4"/>
      <c r="H179" s="4"/>
      <c r="I179" s="4"/>
      <c r="J179" s="4"/>
      <c r="K179" s="4"/>
      <c r="L179" s="4"/>
      <c r="M179" s="4"/>
      <c r="N179" s="6">
        <f ca="1">IFERROR(__xludf.DUMMYFUNCTION("""COMPUTED_VALUE"""),38)</f>
        <v>38</v>
      </c>
      <c r="O179" s="6">
        <f ca="1">IFERROR(__xludf.DUMMYFUNCTION("""COMPUTED_VALUE"""),39)</f>
        <v>39</v>
      </c>
      <c r="P179" s="4" t="str">
        <f ca="1">IFERROR(__xludf.DUMMYFUNCTION("""COMPUTED_VALUE"""),"")</f>
        <v/>
      </c>
      <c r="Q179" s="6">
        <f ca="1">IFERROR(__xludf.DUMMYFUNCTION("""COMPUTED_VALUE"""),769)</f>
        <v>769</v>
      </c>
      <c r="R179" s="4" t="str">
        <f ca="1">IFERROR(__xludf.DUMMYFUNCTION("""COMPUTED_VALUE"""),"")</f>
        <v/>
      </c>
      <c r="S179" s="6">
        <f ca="1">IFERROR(__xludf.DUMMYFUNCTION("""COMPUTED_VALUE"""),1865)</f>
        <v>1865</v>
      </c>
      <c r="T179" s="4"/>
      <c r="U179" s="4"/>
      <c r="V179" s="4"/>
      <c r="W179" s="4"/>
      <c r="X179" s="4"/>
      <c r="Y179" s="4"/>
      <c r="Z179" s="4"/>
      <c r="AA179" s="4"/>
      <c r="AB179" s="4"/>
    </row>
    <row r="180" spans="1:28" x14ac:dyDescent="0.2">
      <c r="A180" s="4" t="str">
        <f t="shared" si="0"/>
        <v/>
      </c>
      <c r="B180" s="4" t="str">
        <f t="shared" si="1"/>
        <v/>
      </c>
      <c r="C180" s="4"/>
      <c r="D180" s="4"/>
      <c r="E180" s="4"/>
      <c r="F180" s="4"/>
      <c r="G180" s="4"/>
      <c r="H180" s="4"/>
      <c r="I180" s="4"/>
      <c r="J180" s="4"/>
      <c r="K180" s="4"/>
      <c r="L180" s="4"/>
      <c r="M180" s="4"/>
      <c r="N180" s="6">
        <f ca="1">IFERROR(__xludf.DUMMYFUNCTION("""COMPUTED_VALUE"""),38)</f>
        <v>38</v>
      </c>
      <c r="O180" s="6">
        <f ca="1">IFERROR(__xludf.DUMMYFUNCTION("""COMPUTED_VALUE"""),39)</f>
        <v>39</v>
      </c>
      <c r="P180" s="4" t="str">
        <f ca="1">IFERROR(__xludf.DUMMYFUNCTION("""COMPUTED_VALUE"""),"")</f>
        <v/>
      </c>
      <c r="Q180" s="6">
        <f ca="1">IFERROR(__xludf.DUMMYFUNCTION("""COMPUTED_VALUE"""),769)</f>
        <v>769</v>
      </c>
      <c r="R180" s="4" t="str">
        <f ca="1">IFERROR(__xludf.DUMMYFUNCTION("""COMPUTED_VALUE"""),"")</f>
        <v/>
      </c>
      <c r="S180" s="6">
        <f ca="1">IFERROR(__xludf.DUMMYFUNCTION("""COMPUTED_VALUE"""),1865)</f>
        <v>1865</v>
      </c>
      <c r="T180" s="4"/>
      <c r="U180" s="4"/>
      <c r="V180" s="4"/>
      <c r="W180" s="4"/>
      <c r="X180" s="4"/>
      <c r="Y180" s="4"/>
      <c r="Z180" s="4"/>
      <c r="AA180" s="4"/>
      <c r="AB180" s="4"/>
    </row>
    <row r="181" spans="1:28" x14ac:dyDescent="0.2">
      <c r="A181" s="4" t="str">
        <f t="shared" si="0"/>
        <v/>
      </c>
      <c r="B181" s="4" t="str">
        <f t="shared" si="1"/>
        <v/>
      </c>
      <c r="C181" s="4"/>
      <c r="D181" s="4"/>
      <c r="E181" s="4"/>
      <c r="F181" s="4"/>
      <c r="G181" s="4"/>
      <c r="H181" s="4"/>
      <c r="I181" s="4"/>
      <c r="J181" s="4"/>
      <c r="K181" s="4"/>
      <c r="L181" s="4"/>
      <c r="M181" s="4"/>
      <c r="N181" s="6">
        <f ca="1">IFERROR(__xludf.DUMMYFUNCTION("""COMPUTED_VALUE"""),38)</f>
        <v>38</v>
      </c>
      <c r="O181" s="6">
        <f ca="1">IFERROR(__xludf.DUMMYFUNCTION("""COMPUTED_VALUE"""),39)</f>
        <v>39</v>
      </c>
      <c r="P181" s="4" t="str">
        <f ca="1">IFERROR(__xludf.DUMMYFUNCTION("""COMPUTED_VALUE"""),"")</f>
        <v/>
      </c>
      <c r="Q181" s="6">
        <f ca="1">IFERROR(__xludf.DUMMYFUNCTION("""COMPUTED_VALUE"""),769)</f>
        <v>769</v>
      </c>
      <c r="R181" s="4" t="str">
        <f ca="1">IFERROR(__xludf.DUMMYFUNCTION("""COMPUTED_VALUE"""),"")</f>
        <v/>
      </c>
      <c r="S181" s="6">
        <f ca="1">IFERROR(__xludf.DUMMYFUNCTION("""COMPUTED_VALUE"""),1865)</f>
        <v>1865</v>
      </c>
      <c r="T181" s="4"/>
      <c r="U181" s="4"/>
      <c r="V181" s="4"/>
      <c r="W181" s="4"/>
      <c r="X181" s="4"/>
      <c r="Y181" s="4"/>
      <c r="Z181" s="4"/>
      <c r="AA181" s="4"/>
      <c r="AB181" s="4"/>
    </row>
    <row r="182" spans="1:28" x14ac:dyDescent="0.2">
      <c r="A182" s="4" t="str">
        <f t="shared" si="0"/>
        <v/>
      </c>
      <c r="B182" s="4" t="str">
        <f t="shared" si="1"/>
        <v/>
      </c>
      <c r="C182" s="4"/>
      <c r="D182" s="4"/>
      <c r="E182" s="4"/>
      <c r="F182" s="4"/>
      <c r="G182" s="4"/>
      <c r="H182" s="4"/>
      <c r="I182" s="4"/>
      <c r="J182" s="4"/>
      <c r="K182" s="4"/>
      <c r="L182" s="4"/>
      <c r="M182" s="4"/>
      <c r="N182" s="6">
        <f ca="1">IFERROR(__xludf.DUMMYFUNCTION("""COMPUTED_VALUE"""),38)</f>
        <v>38</v>
      </c>
      <c r="O182" s="6">
        <f ca="1">IFERROR(__xludf.DUMMYFUNCTION("""COMPUTED_VALUE"""),39)</f>
        <v>39</v>
      </c>
      <c r="P182" s="4" t="str">
        <f ca="1">IFERROR(__xludf.DUMMYFUNCTION("""COMPUTED_VALUE"""),"")</f>
        <v/>
      </c>
      <c r="Q182" s="6">
        <f ca="1">IFERROR(__xludf.DUMMYFUNCTION("""COMPUTED_VALUE"""),769)</f>
        <v>769</v>
      </c>
      <c r="R182" s="4" t="str">
        <f ca="1">IFERROR(__xludf.DUMMYFUNCTION("""COMPUTED_VALUE"""),"")</f>
        <v/>
      </c>
      <c r="S182" s="6">
        <f ca="1">IFERROR(__xludf.DUMMYFUNCTION("""COMPUTED_VALUE"""),1865)</f>
        <v>1865</v>
      </c>
      <c r="T182" s="4"/>
      <c r="U182" s="4"/>
      <c r="V182" s="4"/>
      <c r="W182" s="4"/>
      <c r="X182" s="4"/>
      <c r="Y182" s="4"/>
      <c r="Z182" s="4"/>
      <c r="AA182" s="4"/>
      <c r="AB182" s="4"/>
    </row>
    <row r="183" spans="1:28" x14ac:dyDescent="0.2">
      <c r="A183" s="4" t="str">
        <f t="shared" si="0"/>
        <v/>
      </c>
      <c r="B183" s="4" t="str">
        <f t="shared" si="1"/>
        <v/>
      </c>
      <c r="C183" s="4"/>
      <c r="D183" s="4"/>
      <c r="E183" s="4"/>
      <c r="F183" s="4"/>
      <c r="G183" s="4"/>
      <c r="H183" s="4"/>
      <c r="I183" s="4"/>
      <c r="J183" s="4"/>
      <c r="K183" s="4"/>
      <c r="L183" s="4"/>
      <c r="M183" s="4"/>
      <c r="N183" s="6">
        <f ca="1">IFERROR(__xludf.DUMMYFUNCTION("""COMPUTED_VALUE"""),38)</f>
        <v>38</v>
      </c>
      <c r="O183" s="6">
        <f ca="1">IFERROR(__xludf.DUMMYFUNCTION("""COMPUTED_VALUE"""),39)</f>
        <v>39</v>
      </c>
      <c r="P183" s="4" t="str">
        <f ca="1">IFERROR(__xludf.DUMMYFUNCTION("""COMPUTED_VALUE"""),"")</f>
        <v/>
      </c>
      <c r="Q183" s="6">
        <f ca="1">IFERROR(__xludf.DUMMYFUNCTION("""COMPUTED_VALUE"""),769)</f>
        <v>769</v>
      </c>
      <c r="R183" s="4" t="str">
        <f ca="1">IFERROR(__xludf.DUMMYFUNCTION("""COMPUTED_VALUE"""),"")</f>
        <v/>
      </c>
      <c r="S183" s="6">
        <f ca="1">IFERROR(__xludf.DUMMYFUNCTION("""COMPUTED_VALUE"""),1865)</f>
        <v>1865</v>
      </c>
      <c r="T183" s="4"/>
      <c r="U183" s="4"/>
      <c r="V183" s="4"/>
      <c r="W183" s="4"/>
      <c r="X183" s="4"/>
      <c r="Y183" s="4"/>
      <c r="Z183" s="4"/>
      <c r="AA183" s="4"/>
      <c r="AB183" s="4"/>
    </row>
    <row r="184" spans="1:28" x14ac:dyDescent="0.2">
      <c r="A184" s="4" t="str">
        <f t="shared" si="0"/>
        <v/>
      </c>
      <c r="B184" s="4" t="str">
        <f t="shared" si="1"/>
        <v/>
      </c>
      <c r="C184" s="4"/>
      <c r="D184" s="4"/>
      <c r="E184" s="4"/>
      <c r="F184" s="4"/>
      <c r="G184" s="4"/>
      <c r="H184" s="4"/>
      <c r="I184" s="4"/>
      <c r="J184" s="4"/>
      <c r="K184" s="4"/>
      <c r="L184" s="4"/>
      <c r="M184" s="4"/>
      <c r="N184" s="6">
        <f ca="1">IFERROR(__xludf.DUMMYFUNCTION("""COMPUTED_VALUE"""),38)</f>
        <v>38</v>
      </c>
      <c r="O184" s="6">
        <f ca="1">IFERROR(__xludf.DUMMYFUNCTION("""COMPUTED_VALUE"""),39)</f>
        <v>39</v>
      </c>
      <c r="P184" s="4" t="str">
        <f ca="1">IFERROR(__xludf.DUMMYFUNCTION("""COMPUTED_VALUE"""),"")</f>
        <v/>
      </c>
      <c r="Q184" s="6">
        <f ca="1">IFERROR(__xludf.DUMMYFUNCTION("""COMPUTED_VALUE"""),769)</f>
        <v>769</v>
      </c>
      <c r="R184" s="4" t="str">
        <f ca="1">IFERROR(__xludf.DUMMYFUNCTION("""COMPUTED_VALUE"""),"")</f>
        <v/>
      </c>
      <c r="S184" s="6">
        <f ca="1">IFERROR(__xludf.DUMMYFUNCTION("""COMPUTED_VALUE"""),1865)</f>
        <v>1865</v>
      </c>
      <c r="T184" s="4"/>
      <c r="U184" s="4"/>
      <c r="V184" s="4"/>
      <c r="W184" s="4"/>
      <c r="X184" s="4"/>
      <c r="Y184" s="4"/>
      <c r="Z184" s="4"/>
      <c r="AA184" s="4"/>
      <c r="AB184" s="4"/>
    </row>
    <row r="185" spans="1:28" x14ac:dyDescent="0.2">
      <c r="A185" s="4" t="str">
        <f t="shared" si="0"/>
        <v/>
      </c>
      <c r="B185" s="4" t="str">
        <f t="shared" si="1"/>
        <v/>
      </c>
      <c r="C185" s="4"/>
      <c r="D185" s="4"/>
      <c r="E185" s="4"/>
      <c r="F185" s="4"/>
      <c r="G185" s="4"/>
      <c r="H185" s="4"/>
      <c r="I185" s="4"/>
      <c r="J185" s="4"/>
      <c r="K185" s="4"/>
      <c r="L185" s="4"/>
      <c r="M185" s="4"/>
      <c r="N185" s="6">
        <f ca="1">IFERROR(__xludf.DUMMYFUNCTION("""COMPUTED_VALUE"""),38)</f>
        <v>38</v>
      </c>
      <c r="O185" s="6">
        <f ca="1">IFERROR(__xludf.DUMMYFUNCTION("""COMPUTED_VALUE"""),39)</f>
        <v>39</v>
      </c>
      <c r="P185" s="4" t="str">
        <f ca="1">IFERROR(__xludf.DUMMYFUNCTION("""COMPUTED_VALUE"""),"")</f>
        <v/>
      </c>
      <c r="Q185" s="6">
        <f ca="1">IFERROR(__xludf.DUMMYFUNCTION("""COMPUTED_VALUE"""),769)</f>
        <v>769</v>
      </c>
      <c r="R185" s="4" t="str">
        <f ca="1">IFERROR(__xludf.DUMMYFUNCTION("""COMPUTED_VALUE"""),"")</f>
        <v/>
      </c>
      <c r="S185" s="6">
        <f ca="1">IFERROR(__xludf.DUMMYFUNCTION("""COMPUTED_VALUE"""),1865)</f>
        <v>1865</v>
      </c>
      <c r="T185" s="4"/>
      <c r="U185" s="4"/>
      <c r="V185" s="4"/>
      <c r="W185" s="4"/>
      <c r="X185" s="4"/>
      <c r="Y185" s="4"/>
      <c r="Z185" s="4"/>
      <c r="AA185" s="4"/>
      <c r="AB185" s="4"/>
    </row>
    <row r="186" spans="1:28" x14ac:dyDescent="0.2">
      <c r="A186" s="4" t="str">
        <f t="shared" si="0"/>
        <v/>
      </c>
      <c r="B186" s="4" t="str">
        <f t="shared" si="1"/>
        <v/>
      </c>
      <c r="C186" s="4"/>
      <c r="D186" s="4"/>
      <c r="E186" s="4"/>
      <c r="F186" s="4"/>
      <c r="G186" s="4"/>
      <c r="H186" s="4"/>
      <c r="I186" s="4"/>
      <c r="J186" s="4"/>
      <c r="K186" s="4"/>
      <c r="L186" s="4"/>
      <c r="M186" s="4"/>
      <c r="N186" s="6">
        <f ca="1">IFERROR(__xludf.DUMMYFUNCTION("""COMPUTED_VALUE"""),38)</f>
        <v>38</v>
      </c>
      <c r="O186" s="6">
        <f ca="1">IFERROR(__xludf.DUMMYFUNCTION("""COMPUTED_VALUE"""),39)</f>
        <v>39</v>
      </c>
      <c r="P186" s="4" t="str">
        <f ca="1">IFERROR(__xludf.DUMMYFUNCTION("""COMPUTED_VALUE"""),"")</f>
        <v/>
      </c>
      <c r="Q186" s="6">
        <f ca="1">IFERROR(__xludf.DUMMYFUNCTION("""COMPUTED_VALUE"""),769)</f>
        <v>769</v>
      </c>
      <c r="R186" s="4" t="str">
        <f ca="1">IFERROR(__xludf.DUMMYFUNCTION("""COMPUTED_VALUE"""),"")</f>
        <v/>
      </c>
      <c r="S186" s="6">
        <f ca="1">IFERROR(__xludf.DUMMYFUNCTION("""COMPUTED_VALUE"""),1865)</f>
        <v>1865</v>
      </c>
      <c r="T186" s="4"/>
      <c r="U186" s="4"/>
      <c r="V186" s="4"/>
      <c r="W186" s="4"/>
      <c r="X186" s="4"/>
      <c r="Y186" s="4"/>
      <c r="Z186" s="4"/>
      <c r="AA186" s="4"/>
      <c r="AB186" s="4"/>
    </row>
    <row r="187" spans="1:28" x14ac:dyDescent="0.2">
      <c r="A187" s="4" t="str">
        <f t="shared" si="0"/>
        <v/>
      </c>
      <c r="B187" s="4" t="str">
        <f t="shared" si="1"/>
        <v/>
      </c>
      <c r="C187" s="4"/>
      <c r="D187" s="4"/>
      <c r="E187" s="4"/>
      <c r="F187" s="4"/>
      <c r="G187" s="4"/>
      <c r="H187" s="4"/>
      <c r="I187" s="4"/>
      <c r="J187" s="4"/>
      <c r="K187" s="4"/>
      <c r="L187" s="4"/>
      <c r="M187" s="4"/>
      <c r="N187" s="6">
        <f ca="1">IFERROR(__xludf.DUMMYFUNCTION("""COMPUTED_VALUE"""),38)</f>
        <v>38</v>
      </c>
      <c r="O187" s="6">
        <f ca="1">IFERROR(__xludf.DUMMYFUNCTION("""COMPUTED_VALUE"""),39)</f>
        <v>39</v>
      </c>
      <c r="P187" s="4" t="str">
        <f ca="1">IFERROR(__xludf.DUMMYFUNCTION("""COMPUTED_VALUE"""),"")</f>
        <v/>
      </c>
      <c r="Q187" s="6">
        <f ca="1">IFERROR(__xludf.DUMMYFUNCTION("""COMPUTED_VALUE"""),769)</f>
        <v>769</v>
      </c>
      <c r="R187" s="4" t="str">
        <f ca="1">IFERROR(__xludf.DUMMYFUNCTION("""COMPUTED_VALUE"""),"")</f>
        <v/>
      </c>
      <c r="S187" s="6">
        <f ca="1">IFERROR(__xludf.DUMMYFUNCTION("""COMPUTED_VALUE"""),1865)</f>
        <v>1865</v>
      </c>
      <c r="T187" s="4"/>
      <c r="U187" s="4"/>
      <c r="V187" s="4"/>
      <c r="W187" s="4"/>
      <c r="X187" s="4"/>
      <c r="Y187" s="4"/>
      <c r="Z187" s="4"/>
      <c r="AA187" s="4"/>
      <c r="AB187" s="4"/>
    </row>
    <row r="188" spans="1:28" x14ac:dyDescent="0.2">
      <c r="A188" s="4" t="str">
        <f t="shared" si="0"/>
        <v/>
      </c>
      <c r="B188" s="4" t="str">
        <f t="shared" si="1"/>
        <v/>
      </c>
      <c r="C188" s="4"/>
      <c r="D188" s="4"/>
      <c r="E188" s="4"/>
      <c r="F188" s="4"/>
      <c r="G188" s="4"/>
      <c r="H188" s="4"/>
      <c r="I188" s="4"/>
      <c r="J188" s="4"/>
      <c r="K188" s="4"/>
      <c r="L188" s="4"/>
      <c r="M188" s="4"/>
      <c r="N188" s="6">
        <f ca="1">IFERROR(__xludf.DUMMYFUNCTION("""COMPUTED_VALUE"""),38)</f>
        <v>38</v>
      </c>
      <c r="O188" s="6">
        <f ca="1">IFERROR(__xludf.DUMMYFUNCTION("""COMPUTED_VALUE"""),39)</f>
        <v>39</v>
      </c>
      <c r="P188" s="4" t="str">
        <f ca="1">IFERROR(__xludf.DUMMYFUNCTION("""COMPUTED_VALUE"""),"")</f>
        <v/>
      </c>
      <c r="Q188" s="6">
        <f ca="1">IFERROR(__xludf.DUMMYFUNCTION("""COMPUTED_VALUE"""),769)</f>
        <v>769</v>
      </c>
      <c r="R188" s="4" t="str">
        <f ca="1">IFERROR(__xludf.DUMMYFUNCTION("""COMPUTED_VALUE"""),"")</f>
        <v/>
      </c>
      <c r="S188" s="6">
        <f ca="1">IFERROR(__xludf.DUMMYFUNCTION("""COMPUTED_VALUE"""),1865)</f>
        <v>1865</v>
      </c>
      <c r="T188" s="4"/>
      <c r="U188" s="4"/>
      <c r="V188" s="4"/>
      <c r="W188" s="4"/>
      <c r="X188" s="4"/>
      <c r="Y188" s="4"/>
      <c r="Z188" s="4"/>
      <c r="AA188" s="4"/>
      <c r="AB188" s="4"/>
    </row>
    <row r="189" spans="1:28" x14ac:dyDescent="0.2">
      <c r="A189" s="4" t="str">
        <f t="shared" si="0"/>
        <v/>
      </c>
      <c r="B189" s="4" t="str">
        <f t="shared" si="1"/>
        <v/>
      </c>
      <c r="C189" s="4"/>
      <c r="D189" s="4"/>
      <c r="E189" s="4"/>
      <c r="F189" s="4"/>
      <c r="G189" s="4"/>
      <c r="H189" s="4"/>
      <c r="I189" s="4"/>
      <c r="J189" s="4"/>
      <c r="K189" s="4"/>
      <c r="L189" s="4"/>
      <c r="M189" s="4"/>
      <c r="N189" s="6">
        <f ca="1">IFERROR(__xludf.DUMMYFUNCTION("""COMPUTED_VALUE"""),38)</f>
        <v>38</v>
      </c>
      <c r="O189" s="6">
        <f ca="1">IFERROR(__xludf.DUMMYFUNCTION("""COMPUTED_VALUE"""),39)</f>
        <v>39</v>
      </c>
      <c r="P189" s="4" t="str">
        <f ca="1">IFERROR(__xludf.DUMMYFUNCTION("""COMPUTED_VALUE"""),"")</f>
        <v/>
      </c>
      <c r="Q189" s="6">
        <f ca="1">IFERROR(__xludf.DUMMYFUNCTION("""COMPUTED_VALUE"""),769)</f>
        <v>769</v>
      </c>
      <c r="R189" s="4" t="str">
        <f ca="1">IFERROR(__xludf.DUMMYFUNCTION("""COMPUTED_VALUE"""),"")</f>
        <v/>
      </c>
      <c r="S189" s="6">
        <f ca="1">IFERROR(__xludf.DUMMYFUNCTION("""COMPUTED_VALUE"""),1865)</f>
        <v>1865</v>
      </c>
      <c r="T189" s="4"/>
      <c r="U189" s="4"/>
      <c r="V189" s="4"/>
      <c r="W189" s="4"/>
      <c r="X189" s="4"/>
      <c r="Y189" s="4"/>
      <c r="Z189" s="4"/>
      <c r="AA189" s="4"/>
      <c r="AB189" s="4"/>
    </row>
    <row r="190" spans="1:28" x14ac:dyDescent="0.2">
      <c r="A190" s="4" t="str">
        <f t="shared" si="0"/>
        <v/>
      </c>
      <c r="B190" s="4" t="str">
        <f t="shared" si="1"/>
        <v/>
      </c>
      <c r="C190" s="4"/>
      <c r="D190" s="4"/>
      <c r="E190" s="4"/>
      <c r="F190" s="4"/>
      <c r="G190" s="4"/>
      <c r="H190" s="4"/>
      <c r="I190" s="4"/>
      <c r="J190" s="4"/>
      <c r="K190" s="4"/>
      <c r="L190" s="4"/>
      <c r="M190" s="4"/>
      <c r="N190" s="6">
        <f ca="1">IFERROR(__xludf.DUMMYFUNCTION("""COMPUTED_VALUE"""),38)</f>
        <v>38</v>
      </c>
      <c r="O190" s="6">
        <f ca="1">IFERROR(__xludf.DUMMYFUNCTION("""COMPUTED_VALUE"""),39)</f>
        <v>39</v>
      </c>
      <c r="P190" s="4" t="str">
        <f ca="1">IFERROR(__xludf.DUMMYFUNCTION("""COMPUTED_VALUE"""),"")</f>
        <v/>
      </c>
      <c r="Q190" s="6">
        <f ca="1">IFERROR(__xludf.DUMMYFUNCTION("""COMPUTED_VALUE"""),769)</f>
        <v>769</v>
      </c>
      <c r="R190" s="4" t="str">
        <f ca="1">IFERROR(__xludf.DUMMYFUNCTION("""COMPUTED_VALUE"""),"")</f>
        <v/>
      </c>
      <c r="S190" s="6">
        <f ca="1">IFERROR(__xludf.DUMMYFUNCTION("""COMPUTED_VALUE"""),1865)</f>
        <v>1865</v>
      </c>
      <c r="T190" s="4"/>
      <c r="U190" s="4"/>
      <c r="V190" s="4"/>
      <c r="W190" s="4"/>
      <c r="X190" s="4"/>
      <c r="Y190" s="4"/>
      <c r="Z190" s="4"/>
      <c r="AA190" s="4"/>
      <c r="AB190" s="4"/>
    </row>
    <row r="191" spans="1:28" x14ac:dyDescent="0.2">
      <c r="A191" s="4" t="str">
        <f t="shared" si="0"/>
        <v/>
      </c>
      <c r="B191" s="4" t="str">
        <f t="shared" si="1"/>
        <v/>
      </c>
      <c r="C191" s="4"/>
      <c r="D191" s="4"/>
      <c r="E191" s="4"/>
      <c r="F191" s="4"/>
      <c r="G191" s="4"/>
      <c r="H191" s="4"/>
      <c r="I191" s="4"/>
      <c r="J191" s="4"/>
      <c r="K191" s="4"/>
      <c r="L191" s="4"/>
      <c r="M191" s="4"/>
      <c r="N191" s="6">
        <f ca="1">IFERROR(__xludf.DUMMYFUNCTION("""COMPUTED_VALUE"""),38)</f>
        <v>38</v>
      </c>
      <c r="O191" s="6">
        <f ca="1">IFERROR(__xludf.DUMMYFUNCTION("""COMPUTED_VALUE"""),39)</f>
        <v>39</v>
      </c>
      <c r="P191" s="4" t="str">
        <f ca="1">IFERROR(__xludf.DUMMYFUNCTION("""COMPUTED_VALUE"""),"")</f>
        <v/>
      </c>
      <c r="Q191" s="6">
        <f ca="1">IFERROR(__xludf.DUMMYFUNCTION("""COMPUTED_VALUE"""),769)</f>
        <v>769</v>
      </c>
      <c r="R191" s="4" t="str">
        <f ca="1">IFERROR(__xludf.DUMMYFUNCTION("""COMPUTED_VALUE"""),"")</f>
        <v/>
      </c>
      <c r="S191" s="6">
        <f ca="1">IFERROR(__xludf.DUMMYFUNCTION("""COMPUTED_VALUE"""),1865)</f>
        <v>1865</v>
      </c>
      <c r="T191" s="4"/>
      <c r="U191" s="4"/>
      <c r="V191" s="4"/>
      <c r="W191" s="4"/>
      <c r="X191" s="4"/>
      <c r="Y191" s="4"/>
      <c r="Z191" s="4"/>
      <c r="AA191" s="4"/>
      <c r="AB191" s="4"/>
    </row>
    <row r="192" spans="1:28" x14ac:dyDescent="0.2">
      <c r="A192" s="4" t="str">
        <f t="shared" si="0"/>
        <v/>
      </c>
      <c r="B192" s="4" t="str">
        <f t="shared" si="1"/>
        <v/>
      </c>
      <c r="C192" s="4"/>
      <c r="D192" s="4"/>
      <c r="E192" s="4"/>
      <c r="F192" s="4"/>
      <c r="G192" s="4"/>
      <c r="H192" s="4"/>
      <c r="I192" s="4"/>
      <c r="J192" s="4"/>
      <c r="K192" s="4"/>
      <c r="L192" s="4"/>
      <c r="M192" s="4"/>
      <c r="N192" s="6">
        <f ca="1">IFERROR(__xludf.DUMMYFUNCTION("""COMPUTED_VALUE"""),38)</f>
        <v>38</v>
      </c>
      <c r="O192" s="6">
        <f ca="1">IFERROR(__xludf.DUMMYFUNCTION("""COMPUTED_VALUE"""),39)</f>
        <v>39</v>
      </c>
      <c r="P192" s="4" t="str">
        <f ca="1">IFERROR(__xludf.DUMMYFUNCTION("""COMPUTED_VALUE"""),"")</f>
        <v/>
      </c>
      <c r="Q192" s="6">
        <f ca="1">IFERROR(__xludf.DUMMYFUNCTION("""COMPUTED_VALUE"""),769)</f>
        <v>769</v>
      </c>
      <c r="R192" s="4" t="str">
        <f ca="1">IFERROR(__xludf.DUMMYFUNCTION("""COMPUTED_VALUE"""),"")</f>
        <v/>
      </c>
      <c r="S192" s="6">
        <f ca="1">IFERROR(__xludf.DUMMYFUNCTION("""COMPUTED_VALUE"""),1865)</f>
        <v>1865</v>
      </c>
      <c r="T192" s="4"/>
      <c r="U192" s="4"/>
      <c r="V192" s="4"/>
      <c r="W192" s="4"/>
      <c r="X192" s="4"/>
      <c r="Y192" s="4"/>
      <c r="Z192" s="4"/>
      <c r="AA192" s="4"/>
      <c r="AB192" s="4"/>
    </row>
    <row r="193" spans="1:28" x14ac:dyDescent="0.2">
      <c r="A193" s="4" t="str">
        <f t="shared" si="0"/>
        <v/>
      </c>
      <c r="B193" s="4" t="str">
        <f t="shared" si="1"/>
        <v/>
      </c>
      <c r="C193" s="4"/>
      <c r="D193" s="4"/>
      <c r="E193" s="4"/>
      <c r="F193" s="4"/>
      <c r="G193" s="4"/>
      <c r="H193" s="4"/>
      <c r="I193" s="4"/>
      <c r="J193" s="4"/>
      <c r="K193" s="4"/>
      <c r="L193" s="4"/>
      <c r="M193" s="4"/>
      <c r="N193" s="6">
        <f ca="1">IFERROR(__xludf.DUMMYFUNCTION("""COMPUTED_VALUE"""),38)</f>
        <v>38</v>
      </c>
      <c r="O193" s="6">
        <f ca="1">IFERROR(__xludf.DUMMYFUNCTION("""COMPUTED_VALUE"""),39)</f>
        <v>39</v>
      </c>
      <c r="P193" s="4" t="str">
        <f ca="1">IFERROR(__xludf.DUMMYFUNCTION("""COMPUTED_VALUE"""),"")</f>
        <v/>
      </c>
      <c r="Q193" s="6">
        <f ca="1">IFERROR(__xludf.DUMMYFUNCTION("""COMPUTED_VALUE"""),769)</f>
        <v>769</v>
      </c>
      <c r="R193" s="4" t="str">
        <f ca="1">IFERROR(__xludf.DUMMYFUNCTION("""COMPUTED_VALUE"""),"")</f>
        <v/>
      </c>
      <c r="S193" s="6">
        <f ca="1">IFERROR(__xludf.DUMMYFUNCTION("""COMPUTED_VALUE"""),1865)</f>
        <v>1865</v>
      </c>
      <c r="T193" s="4"/>
      <c r="U193" s="4"/>
      <c r="V193" s="4"/>
      <c r="W193" s="4"/>
      <c r="X193" s="4"/>
      <c r="Y193" s="4"/>
      <c r="Z193" s="4"/>
      <c r="AA193" s="4"/>
      <c r="AB193" s="4"/>
    </row>
    <row r="194" spans="1:28" x14ac:dyDescent="0.2">
      <c r="A194" s="4" t="str">
        <f t="shared" si="0"/>
        <v/>
      </c>
      <c r="B194" s="4" t="str">
        <f t="shared" si="1"/>
        <v/>
      </c>
      <c r="C194" s="4"/>
      <c r="D194" s="4"/>
      <c r="E194" s="4"/>
      <c r="F194" s="4"/>
      <c r="G194" s="4"/>
      <c r="H194" s="4"/>
      <c r="I194" s="4"/>
      <c r="J194" s="4"/>
      <c r="K194" s="4"/>
      <c r="L194" s="4"/>
      <c r="M194" s="4"/>
      <c r="N194" s="6">
        <f ca="1">IFERROR(__xludf.DUMMYFUNCTION("""COMPUTED_VALUE"""),38)</f>
        <v>38</v>
      </c>
      <c r="O194" s="6">
        <f ca="1">IFERROR(__xludf.DUMMYFUNCTION("""COMPUTED_VALUE"""),39)</f>
        <v>39</v>
      </c>
      <c r="P194" s="4" t="str">
        <f ca="1">IFERROR(__xludf.DUMMYFUNCTION("""COMPUTED_VALUE"""),"")</f>
        <v/>
      </c>
      <c r="Q194" s="6">
        <f ca="1">IFERROR(__xludf.DUMMYFUNCTION("""COMPUTED_VALUE"""),769)</f>
        <v>769</v>
      </c>
      <c r="R194" s="4" t="str">
        <f ca="1">IFERROR(__xludf.DUMMYFUNCTION("""COMPUTED_VALUE"""),"")</f>
        <v/>
      </c>
      <c r="S194" s="6">
        <f ca="1">IFERROR(__xludf.DUMMYFUNCTION("""COMPUTED_VALUE"""),1865)</f>
        <v>1865</v>
      </c>
      <c r="T194" s="4"/>
      <c r="U194" s="4"/>
      <c r="V194" s="4"/>
      <c r="W194" s="4"/>
      <c r="X194" s="4"/>
      <c r="Y194" s="4"/>
      <c r="Z194" s="4"/>
      <c r="AA194" s="4"/>
      <c r="AB194" s="4"/>
    </row>
    <row r="195" spans="1:28" x14ac:dyDescent="0.2">
      <c r="A195" s="4" t="str">
        <f t="shared" si="0"/>
        <v/>
      </c>
      <c r="B195" s="4" t="str">
        <f t="shared" si="1"/>
        <v/>
      </c>
      <c r="C195" s="4"/>
      <c r="D195" s="4"/>
      <c r="E195" s="4"/>
      <c r="F195" s="4"/>
      <c r="G195" s="4"/>
      <c r="H195" s="4"/>
      <c r="I195" s="4"/>
      <c r="J195" s="4"/>
      <c r="K195" s="4"/>
      <c r="L195" s="4"/>
      <c r="M195" s="4"/>
      <c r="N195" s="6">
        <f ca="1">IFERROR(__xludf.DUMMYFUNCTION("""COMPUTED_VALUE"""),38)</f>
        <v>38</v>
      </c>
      <c r="O195" s="6">
        <f ca="1">IFERROR(__xludf.DUMMYFUNCTION("""COMPUTED_VALUE"""),39)</f>
        <v>39</v>
      </c>
      <c r="P195" s="4" t="str">
        <f ca="1">IFERROR(__xludf.DUMMYFUNCTION("""COMPUTED_VALUE"""),"")</f>
        <v/>
      </c>
      <c r="Q195" s="6">
        <f ca="1">IFERROR(__xludf.DUMMYFUNCTION("""COMPUTED_VALUE"""),769)</f>
        <v>769</v>
      </c>
      <c r="R195" s="4" t="str">
        <f ca="1">IFERROR(__xludf.DUMMYFUNCTION("""COMPUTED_VALUE"""),"")</f>
        <v/>
      </c>
      <c r="S195" s="6">
        <f ca="1">IFERROR(__xludf.DUMMYFUNCTION("""COMPUTED_VALUE"""),1865)</f>
        <v>1865</v>
      </c>
      <c r="T195" s="4"/>
      <c r="U195" s="4"/>
      <c r="V195" s="4"/>
      <c r="W195" s="4"/>
      <c r="X195" s="4"/>
      <c r="Y195" s="4"/>
      <c r="Z195" s="4"/>
      <c r="AA195" s="4"/>
      <c r="AB195" s="4"/>
    </row>
    <row r="196" spans="1:28" x14ac:dyDescent="0.2">
      <c r="A196" s="4" t="str">
        <f t="shared" si="0"/>
        <v/>
      </c>
      <c r="B196" s="4" t="str">
        <f t="shared" si="1"/>
        <v/>
      </c>
      <c r="C196" s="4"/>
      <c r="D196" s="4"/>
      <c r="E196" s="4"/>
      <c r="F196" s="4"/>
      <c r="G196" s="4"/>
      <c r="H196" s="4"/>
      <c r="I196" s="4"/>
      <c r="J196" s="4"/>
      <c r="K196" s="4"/>
      <c r="L196" s="4"/>
      <c r="M196" s="4"/>
      <c r="N196" s="6">
        <f ca="1">IFERROR(__xludf.DUMMYFUNCTION("""COMPUTED_VALUE"""),38)</f>
        <v>38</v>
      </c>
      <c r="O196" s="6">
        <f ca="1">IFERROR(__xludf.DUMMYFUNCTION("""COMPUTED_VALUE"""),39)</f>
        <v>39</v>
      </c>
      <c r="P196" s="4" t="str">
        <f ca="1">IFERROR(__xludf.DUMMYFUNCTION("""COMPUTED_VALUE"""),"")</f>
        <v/>
      </c>
      <c r="Q196" s="6">
        <f ca="1">IFERROR(__xludf.DUMMYFUNCTION("""COMPUTED_VALUE"""),769)</f>
        <v>769</v>
      </c>
      <c r="R196" s="4" t="str">
        <f ca="1">IFERROR(__xludf.DUMMYFUNCTION("""COMPUTED_VALUE"""),"")</f>
        <v/>
      </c>
      <c r="S196" s="6">
        <f ca="1">IFERROR(__xludf.DUMMYFUNCTION("""COMPUTED_VALUE"""),1865)</f>
        <v>1865</v>
      </c>
      <c r="T196" s="4"/>
      <c r="U196" s="4"/>
      <c r="V196" s="4"/>
      <c r="W196" s="4"/>
      <c r="X196" s="4"/>
      <c r="Y196" s="4"/>
      <c r="Z196" s="4"/>
      <c r="AA196" s="4"/>
      <c r="AB196" s="4"/>
    </row>
    <row r="197" spans="1:28" x14ac:dyDescent="0.2">
      <c r="A197" s="4" t="str">
        <f t="shared" si="0"/>
        <v/>
      </c>
      <c r="B197" s="4" t="str">
        <f t="shared" si="1"/>
        <v/>
      </c>
      <c r="C197" s="4"/>
      <c r="D197" s="4"/>
      <c r="E197" s="4"/>
      <c r="F197" s="4"/>
      <c r="G197" s="4"/>
      <c r="H197" s="4"/>
      <c r="I197" s="4"/>
      <c r="J197" s="4"/>
      <c r="K197" s="4"/>
      <c r="L197" s="4"/>
      <c r="M197" s="4"/>
      <c r="N197" s="6">
        <f ca="1">IFERROR(__xludf.DUMMYFUNCTION("""COMPUTED_VALUE"""),38)</f>
        <v>38</v>
      </c>
      <c r="O197" s="6">
        <f ca="1">IFERROR(__xludf.DUMMYFUNCTION("""COMPUTED_VALUE"""),39)</f>
        <v>39</v>
      </c>
      <c r="P197" s="4" t="str">
        <f ca="1">IFERROR(__xludf.DUMMYFUNCTION("""COMPUTED_VALUE"""),"")</f>
        <v/>
      </c>
      <c r="Q197" s="6">
        <f ca="1">IFERROR(__xludf.DUMMYFUNCTION("""COMPUTED_VALUE"""),769)</f>
        <v>769</v>
      </c>
      <c r="R197" s="4" t="str">
        <f ca="1">IFERROR(__xludf.DUMMYFUNCTION("""COMPUTED_VALUE"""),"")</f>
        <v/>
      </c>
      <c r="S197" s="6">
        <f ca="1">IFERROR(__xludf.DUMMYFUNCTION("""COMPUTED_VALUE"""),1865)</f>
        <v>1865</v>
      </c>
      <c r="T197" s="4"/>
      <c r="U197" s="4"/>
      <c r="V197" s="4"/>
      <c r="W197" s="4"/>
      <c r="X197" s="4"/>
      <c r="Y197" s="4"/>
      <c r="Z197" s="4"/>
      <c r="AA197" s="4"/>
      <c r="AB197" s="4"/>
    </row>
    <row r="198" spans="1:28" x14ac:dyDescent="0.2">
      <c r="A198" s="4" t="str">
        <f t="shared" si="0"/>
        <v/>
      </c>
      <c r="B198" s="4" t="str">
        <f t="shared" si="1"/>
        <v/>
      </c>
      <c r="C198" s="4"/>
      <c r="D198" s="4"/>
      <c r="E198" s="4"/>
      <c r="F198" s="4"/>
      <c r="G198" s="4"/>
      <c r="H198" s="4"/>
      <c r="I198" s="4"/>
      <c r="J198" s="4"/>
      <c r="K198" s="4"/>
      <c r="L198" s="4"/>
      <c r="M198" s="4"/>
      <c r="N198" s="6">
        <f ca="1">IFERROR(__xludf.DUMMYFUNCTION("""COMPUTED_VALUE"""),38)</f>
        <v>38</v>
      </c>
      <c r="O198" s="6">
        <f ca="1">IFERROR(__xludf.DUMMYFUNCTION("""COMPUTED_VALUE"""),39)</f>
        <v>39</v>
      </c>
      <c r="P198" s="4" t="str">
        <f ca="1">IFERROR(__xludf.DUMMYFUNCTION("""COMPUTED_VALUE"""),"")</f>
        <v/>
      </c>
      <c r="Q198" s="6">
        <f ca="1">IFERROR(__xludf.DUMMYFUNCTION("""COMPUTED_VALUE"""),769)</f>
        <v>769</v>
      </c>
      <c r="R198" s="4" t="str">
        <f ca="1">IFERROR(__xludf.DUMMYFUNCTION("""COMPUTED_VALUE"""),"")</f>
        <v/>
      </c>
      <c r="S198" s="6">
        <f ca="1">IFERROR(__xludf.DUMMYFUNCTION("""COMPUTED_VALUE"""),1865)</f>
        <v>1865</v>
      </c>
      <c r="T198" s="4"/>
      <c r="U198" s="4"/>
      <c r="V198" s="4"/>
      <c r="W198" s="4"/>
      <c r="X198" s="4"/>
      <c r="Y198" s="4"/>
      <c r="Z198" s="4"/>
      <c r="AA198" s="4"/>
      <c r="AB198" s="4"/>
    </row>
    <row r="199" spans="1:28" x14ac:dyDescent="0.2">
      <c r="A199" s="4" t="str">
        <f t="shared" si="0"/>
        <v/>
      </c>
      <c r="B199" s="4" t="str">
        <f t="shared" si="1"/>
        <v/>
      </c>
      <c r="C199" s="4"/>
      <c r="D199" s="4"/>
      <c r="E199" s="4"/>
      <c r="F199" s="4"/>
      <c r="G199" s="4"/>
      <c r="H199" s="4"/>
      <c r="I199" s="4"/>
      <c r="J199" s="4"/>
      <c r="K199" s="4"/>
      <c r="L199" s="4"/>
      <c r="M199" s="4"/>
      <c r="N199" s="6">
        <f ca="1">IFERROR(__xludf.DUMMYFUNCTION("""COMPUTED_VALUE"""),38)</f>
        <v>38</v>
      </c>
      <c r="O199" s="6">
        <f ca="1">IFERROR(__xludf.DUMMYFUNCTION("""COMPUTED_VALUE"""),39)</f>
        <v>39</v>
      </c>
      <c r="P199" s="4" t="str">
        <f ca="1">IFERROR(__xludf.DUMMYFUNCTION("""COMPUTED_VALUE"""),"")</f>
        <v/>
      </c>
      <c r="Q199" s="6">
        <f ca="1">IFERROR(__xludf.DUMMYFUNCTION("""COMPUTED_VALUE"""),769)</f>
        <v>769</v>
      </c>
      <c r="R199" s="4" t="str">
        <f ca="1">IFERROR(__xludf.DUMMYFUNCTION("""COMPUTED_VALUE"""),"")</f>
        <v/>
      </c>
      <c r="S199" s="6">
        <f ca="1">IFERROR(__xludf.DUMMYFUNCTION("""COMPUTED_VALUE"""),1865)</f>
        <v>1865</v>
      </c>
      <c r="T199" s="4"/>
      <c r="U199" s="4"/>
      <c r="V199" s="4"/>
      <c r="W199" s="4"/>
      <c r="X199" s="4"/>
      <c r="Y199" s="4"/>
      <c r="Z199" s="4"/>
      <c r="AA199" s="4"/>
      <c r="AB199" s="4"/>
    </row>
    <row r="200" spans="1:28" x14ac:dyDescent="0.2">
      <c r="A200" s="4" t="str">
        <f t="shared" si="0"/>
        <v/>
      </c>
      <c r="B200" s="4" t="str">
        <f t="shared" si="1"/>
        <v/>
      </c>
      <c r="C200" s="4"/>
      <c r="D200" s="4"/>
      <c r="E200" s="4"/>
      <c r="F200" s="4"/>
      <c r="G200" s="4"/>
      <c r="H200" s="4"/>
      <c r="I200" s="4"/>
      <c r="J200" s="4"/>
      <c r="K200" s="4"/>
      <c r="L200" s="4"/>
      <c r="M200" s="4"/>
      <c r="N200" s="6">
        <f ca="1">IFERROR(__xludf.DUMMYFUNCTION("""COMPUTED_VALUE"""),38)</f>
        <v>38</v>
      </c>
      <c r="O200" s="6">
        <f ca="1">IFERROR(__xludf.DUMMYFUNCTION("""COMPUTED_VALUE"""),39)</f>
        <v>39</v>
      </c>
      <c r="P200" s="4" t="str">
        <f ca="1">IFERROR(__xludf.DUMMYFUNCTION("""COMPUTED_VALUE"""),"")</f>
        <v/>
      </c>
      <c r="Q200" s="6">
        <f ca="1">IFERROR(__xludf.DUMMYFUNCTION("""COMPUTED_VALUE"""),769)</f>
        <v>769</v>
      </c>
      <c r="R200" s="4" t="str">
        <f ca="1">IFERROR(__xludf.DUMMYFUNCTION("""COMPUTED_VALUE"""),"")</f>
        <v/>
      </c>
      <c r="S200" s="6">
        <f ca="1">IFERROR(__xludf.DUMMYFUNCTION("""COMPUTED_VALUE"""),1865)</f>
        <v>1865</v>
      </c>
      <c r="T200" s="4"/>
      <c r="U200" s="4"/>
      <c r="V200" s="4"/>
      <c r="W200" s="4"/>
      <c r="X200" s="4"/>
      <c r="Y200" s="4"/>
      <c r="Z200" s="4"/>
      <c r="AA200" s="4"/>
      <c r="AB200" s="4"/>
    </row>
    <row r="201" spans="1:28" x14ac:dyDescent="0.2">
      <c r="A201" s="4" t="str">
        <f t="shared" si="0"/>
        <v/>
      </c>
      <c r="B201" s="4" t="str">
        <f t="shared" si="1"/>
        <v/>
      </c>
      <c r="C201" s="4"/>
      <c r="D201" s="4"/>
      <c r="E201" s="4"/>
      <c r="F201" s="4"/>
      <c r="G201" s="4"/>
      <c r="H201" s="4"/>
      <c r="I201" s="4"/>
      <c r="J201" s="4"/>
      <c r="K201" s="4"/>
      <c r="L201" s="4"/>
      <c r="M201" s="4"/>
      <c r="N201" s="6">
        <f ca="1">IFERROR(__xludf.DUMMYFUNCTION("""COMPUTED_VALUE"""),38)</f>
        <v>38</v>
      </c>
      <c r="O201" s="6">
        <f ca="1">IFERROR(__xludf.DUMMYFUNCTION("""COMPUTED_VALUE"""),39)</f>
        <v>39</v>
      </c>
      <c r="P201" s="4" t="str">
        <f ca="1">IFERROR(__xludf.DUMMYFUNCTION("""COMPUTED_VALUE"""),"")</f>
        <v/>
      </c>
      <c r="Q201" s="6">
        <f ca="1">IFERROR(__xludf.DUMMYFUNCTION("""COMPUTED_VALUE"""),769)</f>
        <v>769</v>
      </c>
      <c r="R201" s="4" t="str">
        <f ca="1">IFERROR(__xludf.DUMMYFUNCTION("""COMPUTED_VALUE"""),"")</f>
        <v/>
      </c>
      <c r="S201" s="6">
        <f ca="1">IFERROR(__xludf.DUMMYFUNCTION("""COMPUTED_VALUE"""),1865)</f>
        <v>1865</v>
      </c>
      <c r="T201" s="4"/>
      <c r="U201" s="4"/>
      <c r="V201" s="4"/>
      <c r="W201" s="4"/>
      <c r="X201" s="4"/>
      <c r="Y201" s="4"/>
      <c r="Z201" s="4"/>
      <c r="AA201" s="4"/>
      <c r="AB201" s="4"/>
    </row>
    <row r="202" spans="1:28" x14ac:dyDescent="0.2">
      <c r="A202" s="4" t="str">
        <f t="shared" si="0"/>
        <v/>
      </c>
      <c r="B202" s="4" t="str">
        <f t="shared" si="1"/>
        <v/>
      </c>
      <c r="C202" s="4"/>
      <c r="D202" s="4"/>
      <c r="E202" s="4"/>
      <c r="F202" s="4"/>
      <c r="G202" s="4"/>
      <c r="H202" s="4"/>
      <c r="I202" s="4"/>
      <c r="J202" s="4"/>
      <c r="K202" s="4"/>
      <c r="L202" s="4"/>
      <c r="M202" s="4"/>
      <c r="N202" s="6">
        <f ca="1">IFERROR(__xludf.DUMMYFUNCTION("""COMPUTED_VALUE"""),38)</f>
        <v>38</v>
      </c>
      <c r="O202" s="6">
        <f ca="1">IFERROR(__xludf.DUMMYFUNCTION("""COMPUTED_VALUE"""),39)</f>
        <v>39</v>
      </c>
      <c r="P202" s="4" t="str">
        <f ca="1">IFERROR(__xludf.DUMMYFUNCTION("""COMPUTED_VALUE"""),"")</f>
        <v/>
      </c>
      <c r="Q202" s="6">
        <f ca="1">IFERROR(__xludf.DUMMYFUNCTION("""COMPUTED_VALUE"""),769)</f>
        <v>769</v>
      </c>
      <c r="R202" s="4" t="str">
        <f ca="1">IFERROR(__xludf.DUMMYFUNCTION("""COMPUTED_VALUE"""),"")</f>
        <v/>
      </c>
      <c r="S202" s="6">
        <f ca="1">IFERROR(__xludf.DUMMYFUNCTION("""COMPUTED_VALUE"""),1865)</f>
        <v>1865</v>
      </c>
      <c r="T202" s="4"/>
      <c r="U202" s="4"/>
      <c r="V202" s="4"/>
      <c r="W202" s="4"/>
      <c r="X202" s="4"/>
      <c r="Y202" s="4"/>
      <c r="Z202" s="4"/>
      <c r="AA202" s="4"/>
      <c r="AB202" s="4"/>
    </row>
    <row r="203" spans="1:28" x14ac:dyDescent="0.2">
      <c r="A203" s="4" t="str">
        <f t="shared" si="0"/>
        <v/>
      </c>
      <c r="B203" s="4" t="str">
        <f t="shared" si="1"/>
        <v/>
      </c>
      <c r="C203" s="4"/>
      <c r="D203" s="4"/>
      <c r="E203" s="4"/>
      <c r="F203" s="4"/>
      <c r="G203" s="4"/>
      <c r="H203" s="4"/>
      <c r="I203" s="4"/>
      <c r="J203" s="4"/>
      <c r="K203" s="4"/>
      <c r="L203" s="4"/>
      <c r="M203" s="4"/>
      <c r="N203" s="6">
        <f ca="1">IFERROR(__xludf.DUMMYFUNCTION("""COMPUTED_VALUE"""),38)</f>
        <v>38</v>
      </c>
      <c r="O203" s="6">
        <f ca="1">IFERROR(__xludf.DUMMYFUNCTION("""COMPUTED_VALUE"""),39)</f>
        <v>39</v>
      </c>
      <c r="P203" s="4" t="str">
        <f ca="1">IFERROR(__xludf.DUMMYFUNCTION("""COMPUTED_VALUE"""),"")</f>
        <v/>
      </c>
      <c r="Q203" s="6">
        <f ca="1">IFERROR(__xludf.DUMMYFUNCTION("""COMPUTED_VALUE"""),769)</f>
        <v>769</v>
      </c>
      <c r="R203" s="4" t="str">
        <f ca="1">IFERROR(__xludf.DUMMYFUNCTION("""COMPUTED_VALUE"""),"")</f>
        <v/>
      </c>
      <c r="S203" s="6">
        <f ca="1">IFERROR(__xludf.DUMMYFUNCTION("""COMPUTED_VALUE"""),1865)</f>
        <v>1865</v>
      </c>
      <c r="T203" s="4"/>
      <c r="U203" s="4"/>
      <c r="V203" s="4"/>
      <c r="W203" s="4"/>
      <c r="X203" s="4"/>
      <c r="Y203" s="4"/>
      <c r="Z203" s="4"/>
      <c r="AA203" s="4"/>
      <c r="AB203" s="4"/>
    </row>
    <row r="204" spans="1:28" x14ac:dyDescent="0.2">
      <c r="A204" s="4" t="str">
        <f t="shared" si="0"/>
        <v/>
      </c>
      <c r="B204" s="4" t="str">
        <f t="shared" si="1"/>
        <v/>
      </c>
      <c r="C204" s="4"/>
      <c r="D204" s="4"/>
      <c r="E204" s="4"/>
      <c r="F204" s="4"/>
      <c r="G204" s="4"/>
      <c r="H204" s="4"/>
      <c r="I204" s="4"/>
      <c r="J204" s="4"/>
      <c r="K204" s="4"/>
      <c r="L204" s="4"/>
      <c r="M204" s="4"/>
      <c r="N204" s="6">
        <f ca="1">IFERROR(__xludf.DUMMYFUNCTION("""COMPUTED_VALUE"""),38)</f>
        <v>38</v>
      </c>
      <c r="O204" s="6">
        <f ca="1">IFERROR(__xludf.DUMMYFUNCTION("""COMPUTED_VALUE"""),39)</f>
        <v>39</v>
      </c>
      <c r="P204" s="4" t="str">
        <f ca="1">IFERROR(__xludf.DUMMYFUNCTION("""COMPUTED_VALUE"""),"")</f>
        <v/>
      </c>
      <c r="Q204" s="6">
        <f ca="1">IFERROR(__xludf.DUMMYFUNCTION("""COMPUTED_VALUE"""),769)</f>
        <v>769</v>
      </c>
      <c r="R204" s="4" t="str">
        <f ca="1">IFERROR(__xludf.DUMMYFUNCTION("""COMPUTED_VALUE"""),"")</f>
        <v/>
      </c>
      <c r="S204" s="6">
        <f ca="1">IFERROR(__xludf.DUMMYFUNCTION("""COMPUTED_VALUE"""),1865)</f>
        <v>1865</v>
      </c>
      <c r="T204" s="4"/>
      <c r="U204" s="4"/>
      <c r="V204" s="4"/>
      <c r="W204" s="4"/>
      <c r="X204" s="4"/>
      <c r="Y204" s="4"/>
      <c r="Z204" s="4"/>
      <c r="AA204" s="4"/>
      <c r="AB204" s="4"/>
    </row>
    <row r="205" spans="1:28" x14ac:dyDescent="0.2">
      <c r="A205" s="4" t="str">
        <f t="shared" si="0"/>
        <v/>
      </c>
      <c r="B205" s="4" t="str">
        <f t="shared" si="1"/>
        <v/>
      </c>
      <c r="C205" s="4"/>
      <c r="D205" s="4"/>
      <c r="E205" s="4"/>
      <c r="F205" s="4"/>
      <c r="G205" s="4"/>
      <c r="H205" s="4"/>
      <c r="I205" s="4"/>
      <c r="J205" s="4"/>
      <c r="K205" s="4"/>
      <c r="L205" s="4"/>
      <c r="M205" s="4"/>
      <c r="N205" s="6">
        <f ca="1">IFERROR(__xludf.DUMMYFUNCTION("""COMPUTED_VALUE"""),38)</f>
        <v>38</v>
      </c>
      <c r="O205" s="6">
        <f ca="1">IFERROR(__xludf.DUMMYFUNCTION("""COMPUTED_VALUE"""),39)</f>
        <v>39</v>
      </c>
      <c r="P205" s="4" t="str">
        <f ca="1">IFERROR(__xludf.DUMMYFUNCTION("""COMPUTED_VALUE"""),"")</f>
        <v/>
      </c>
      <c r="Q205" s="6">
        <f ca="1">IFERROR(__xludf.DUMMYFUNCTION("""COMPUTED_VALUE"""),769)</f>
        <v>769</v>
      </c>
      <c r="R205" s="4" t="str">
        <f ca="1">IFERROR(__xludf.DUMMYFUNCTION("""COMPUTED_VALUE"""),"")</f>
        <v/>
      </c>
      <c r="S205" s="6">
        <f ca="1">IFERROR(__xludf.DUMMYFUNCTION("""COMPUTED_VALUE"""),1865)</f>
        <v>1865</v>
      </c>
      <c r="T205" s="4"/>
      <c r="U205" s="4"/>
      <c r="V205" s="4"/>
      <c r="W205" s="4"/>
      <c r="X205" s="4"/>
      <c r="Y205" s="4"/>
      <c r="Z205" s="4"/>
      <c r="AA205" s="4"/>
      <c r="AB205" s="4"/>
    </row>
    <row r="206" spans="1:28" x14ac:dyDescent="0.2">
      <c r="A206" s="4" t="str">
        <f t="shared" si="0"/>
        <v/>
      </c>
      <c r="B206" s="4" t="str">
        <f t="shared" si="1"/>
        <v/>
      </c>
      <c r="C206" s="4"/>
      <c r="D206" s="4"/>
      <c r="E206" s="4"/>
      <c r="F206" s="4"/>
      <c r="G206" s="4"/>
      <c r="H206" s="4"/>
      <c r="I206" s="4"/>
      <c r="J206" s="4"/>
      <c r="K206" s="4"/>
      <c r="L206" s="4"/>
      <c r="M206" s="4"/>
      <c r="N206" s="6">
        <f ca="1">IFERROR(__xludf.DUMMYFUNCTION("""COMPUTED_VALUE"""),38)</f>
        <v>38</v>
      </c>
      <c r="O206" s="6">
        <f ca="1">IFERROR(__xludf.DUMMYFUNCTION("""COMPUTED_VALUE"""),39)</f>
        <v>39</v>
      </c>
      <c r="P206" s="4" t="str">
        <f ca="1">IFERROR(__xludf.DUMMYFUNCTION("""COMPUTED_VALUE"""),"")</f>
        <v/>
      </c>
      <c r="Q206" s="6">
        <f ca="1">IFERROR(__xludf.DUMMYFUNCTION("""COMPUTED_VALUE"""),769)</f>
        <v>769</v>
      </c>
      <c r="R206" s="4" t="str">
        <f ca="1">IFERROR(__xludf.DUMMYFUNCTION("""COMPUTED_VALUE"""),"")</f>
        <v/>
      </c>
      <c r="S206" s="6">
        <f ca="1">IFERROR(__xludf.DUMMYFUNCTION("""COMPUTED_VALUE"""),1865)</f>
        <v>1865</v>
      </c>
      <c r="T206" s="4"/>
      <c r="U206" s="4"/>
      <c r="V206" s="4"/>
      <c r="W206" s="4"/>
      <c r="X206" s="4"/>
      <c r="Y206" s="4"/>
      <c r="Z206" s="4"/>
      <c r="AA206" s="4"/>
      <c r="AB206" s="4"/>
    </row>
    <row r="207" spans="1:28" x14ac:dyDescent="0.2">
      <c r="A207" s="4" t="str">
        <f t="shared" si="0"/>
        <v/>
      </c>
      <c r="B207" s="4" t="str">
        <f t="shared" si="1"/>
        <v/>
      </c>
      <c r="C207" s="4"/>
      <c r="D207" s="4"/>
      <c r="E207" s="4"/>
      <c r="F207" s="4"/>
      <c r="G207" s="4"/>
      <c r="H207" s="4"/>
      <c r="I207" s="4"/>
      <c r="J207" s="4"/>
      <c r="K207" s="4"/>
      <c r="L207" s="4"/>
      <c r="M207" s="4"/>
      <c r="N207" s="6">
        <f ca="1">IFERROR(__xludf.DUMMYFUNCTION("""COMPUTED_VALUE"""),38)</f>
        <v>38</v>
      </c>
      <c r="O207" s="6">
        <f ca="1">IFERROR(__xludf.DUMMYFUNCTION("""COMPUTED_VALUE"""),39)</f>
        <v>39</v>
      </c>
      <c r="P207" s="4" t="str">
        <f ca="1">IFERROR(__xludf.DUMMYFUNCTION("""COMPUTED_VALUE"""),"")</f>
        <v/>
      </c>
      <c r="Q207" s="6">
        <f ca="1">IFERROR(__xludf.DUMMYFUNCTION("""COMPUTED_VALUE"""),769)</f>
        <v>769</v>
      </c>
      <c r="R207" s="4" t="str">
        <f ca="1">IFERROR(__xludf.DUMMYFUNCTION("""COMPUTED_VALUE"""),"")</f>
        <v/>
      </c>
      <c r="S207" s="6">
        <f ca="1">IFERROR(__xludf.DUMMYFUNCTION("""COMPUTED_VALUE"""),1865)</f>
        <v>1865</v>
      </c>
      <c r="T207" s="4"/>
      <c r="U207" s="4"/>
      <c r="V207" s="4"/>
      <c r="W207" s="4"/>
      <c r="X207" s="4"/>
      <c r="Y207" s="4"/>
      <c r="Z207" s="4"/>
      <c r="AA207" s="4"/>
      <c r="AB207" s="4"/>
    </row>
    <row r="208" spans="1:28" x14ac:dyDescent="0.2">
      <c r="A208" s="4" t="str">
        <f t="shared" si="0"/>
        <v/>
      </c>
      <c r="B208" s="4" t="str">
        <f t="shared" si="1"/>
        <v/>
      </c>
      <c r="C208" s="4"/>
      <c r="D208" s="4"/>
      <c r="E208" s="4"/>
      <c r="F208" s="4"/>
      <c r="G208" s="4"/>
      <c r="H208" s="4"/>
      <c r="I208" s="4"/>
      <c r="J208" s="4"/>
      <c r="K208" s="4"/>
      <c r="L208" s="4"/>
      <c r="M208" s="4"/>
      <c r="N208" s="6">
        <f ca="1">IFERROR(__xludf.DUMMYFUNCTION("""COMPUTED_VALUE"""),38)</f>
        <v>38</v>
      </c>
      <c r="O208" s="6">
        <f ca="1">IFERROR(__xludf.DUMMYFUNCTION("""COMPUTED_VALUE"""),39)</f>
        <v>39</v>
      </c>
      <c r="P208" s="4" t="str">
        <f ca="1">IFERROR(__xludf.DUMMYFUNCTION("""COMPUTED_VALUE"""),"")</f>
        <v/>
      </c>
      <c r="Q208" s="6">
        <f ca="1">IFERROR(__xludf.DUMMYFUNCTION("""COMPUTED_VALUE"""),769)</f>
        <v>769</v>
      </c>
      <c r="R208" s="4" t="str">
        <f ca="1">IFERROR(__xludf.DUMMYFUNCTION("""COMPUTED_VALUE"""),"")</f>
        <v/>
      </c>
      <c r="S208" s="6">
        <f ca="1">IFERROR(__xludf.DUMMYFUNCTION("""COMPUTED_VALUE"""),1865)</f>
        <v>1865</v>
      </c>
      <c r="T208" s="4"/>
      <c r="U208" s="4"/>
      <c r="V208" s="4"/>
      <c r="W208" s="4"/>
      <c r="X208" s="4"/>
      <c r="Y208" s="4"/>
      <c r="Z208" s="4"/>
      <c r="AA208" s="4"/>
      <c r="AB208" s="4"/>
    </row>
    <row r="209" spans="1:28" x14ac:dyDescent="0.2">
      <c r="A209" s="4" t="str">
        <f t="shared" si="0"/>
        <v/>
      </c>
      <c r="B209" s="4" t="str">
        <f t="shared" si="1"/>
        <v/>
      </c>
      <c r="C209" s="4"/>
      <c r="D209" s="4"/>
      <c r="E209" s="4"/>
      <c r="F209" s="4"/>
      <c r="G209" s="4"/>
      <c r="H209" s="4"/>
      <c r="I209" s="4"/>
      <c r="J209" s="4"/>
      <c r="K209" s="4"/>
      <c r="L209" s="4"/>
      <c r="M209" s="4"/>
      <c r="N209" s="6">
        <f ca="1">IFERROR(__xludf.DUMMYFUNCTION("""COMPUTED_VALUE"""),38)</f>
        <v>38</v>
      </c>
      <c r="O209" s="6">
        <f ca="1">IFERROR(__xludf.DUMMYFUNCTION("""COMPUTED_VALUE"""),39)</f>
        <v>39</v>
      </c>
      <c r="P209" s="4" t="str">
        <f ca="1">IFERROR(__xludf.DUMMYFUNCTION("""COMPUTED_VALUE"""),"")</f>
        <v/>
      </c>
      <c r="Q209" s="6">
        <f ca="1">IFERROR(__xludf.DUMMYFUNCTION("""COMPUTED_VALUE"""),769)</f>
        <v>769</v>
      </c>
      <c r="R209" s="4" t="str">
        <f ca="1">IFERROR(__xludf.DUMMYFUNCTION("""COMPUTED_VALUE"""),"")</f>
        <v/>
      </c>
      <c r="S209" s="6">
        <f ca="1">IFERROR(__xludf.DUMMYFUNCTION("""COMPUTED_VALUE"""),1865)</f>
        <v>1865</v>
      </c>
      <c r="T209" s="4"/>
      <c r="U209" s="4"/>
      <c r="V209" s="4"/>
      <c r="W209" s="4"/>
      <c r="X209" s="4"/>
      <c r="Y209" s="4"/>
      <c r="Z209" s="4"/>
      <c r="AA209" s="4"/>
      <c r="AB209" s="4"/>
    </row>
    <row r="210" spans="1:28" x14ac:dyDescent="0.2">
      <c r="A210" s="4" t="str">
        <f t="shared" si="0"/>
        <v/>
      </c>
      <c r="B210" s="4" t="str">
        <f t="shared" si="1"/>
        <v/>
      </c>
      <c r="C210" s="4"/>
      <c r="D210" s="4"/>
      <c r="E210" s="4"/>
      <c r="F210" s="4"/>
      <c r="G210" s="4"/>
      <c r="H210" s="4"/>
      <c r="I210" s="4"/>
      <c r="J210" s="4"/>
      <c r="K210" s="4"/>
      <c r="L210" s="4"/>
      <c r="M210" s="4"/>
      <c r="N210" s="6">
        <f ca="1">IFERROR(__xludf.DUMMYFUNCTION("""COMPUTED_VALUE"""),38)</f>
        <v>38</v>
      </c>
      <c r="O210" s="6">
        <f ca="1">IFERROR(__xludf.DUMMYFUNCTION("""COMPUTED_VALUE"""),39)</f>
        <v>39</v>
      </c>
      <c r="P210" s="4" t="str">
        <f ca="1">IFERROR(__xludf.DUMMYFUNCTION("""COMPUTED_VALUE"""),"")</f>
        <v/>
      </c>
      <c r="Q210" s="6">
        <f ca="1">IFERROR(__xludf.DUMMYFUNCTION("""COMPUTED_VALUE"""),769)</f>
        <v>769</v>
      </c>
      <c r="R210" s="4" t="str">
        <f ca="1">IFERROR(__xludf.DUMMYFUNCTION("""COMPUTED_VALUE"""),"")</f>
        <v/>
      </c>
      <c r="S210" s="6">
        <f ca="1">IFERROR(__xludf.DUMMYFUNCTION("""COMPUTED_VALUE"""),1865)</f>
        <v>1865</v>
      </c>
      <c r="T210" s="4"/>
      <c r="U210" s="4"/>
      <c r="V210" s="4"/>
      <c r="W210" s="4"/>
      <c r="X210" s="4"/>
      <c r="Y210" s="4"/>
      <c r="Z210" s="4"/>
      <c r="AA210" s="4"/>
      <c r="AB210" s="4"/>
    </row>
    <row r="211" spans="1:28" x14ac:dyDescent="0.2">
      <c r="A211" s="4" t="str">
        <f t="shared" si="0"/>
        <v/>
      </c>
      <c r="B211" s="4" t="str">
        <f t="shared" si="1"/>
        <v/>
      </c>
      <c r="C211" s="4"/>
      <c r="D211" s="4"/>
      <c r="E211" s="4"/>
      <c r="F211" s="4"/>
      <c r="G211" s="4"/>
      <c r="H211" s="4"/>
      <c r="I211" s="4"/>
      <c r="J211" s="4"/>
      <c r="K211" s="4"/>
      <c r="L211" s="4"/>
      <c r="M211" s="4"/>
      <c r="N211" s="6">
        <f ca="1">IFERROR(__xludf.DUMMYFUNCTION("""COMPUTED_VALUE"""),38)</f>
        <v>38</v>
      </c>
      <c r="O211" s="6">
        <f ca="1">IFERROR(__xludf.DUMMYFUNCTION("""COMPUTED_VALUE"""),39)</f>
        <v>39</v>
      </c>
      <c r="P211" s="4" t="str">
        <f ca="1">IFERROR(__xludf.DUMMYFUNCTION("""COMPUTED_VALUE"""),"")</f>
        <v/>
      </c>
      <c r="Q211" s="6">
        <f ca="1">IFERROR(__xludf.DUMMYFUNCTION("""COMPUTED_VALUE"""),769)</f>
        <v>769</v>
      </c>
      <c r="R211" s="4" t="str">
        <f ca="1">IFERROR(__xludf.DUMMYFUNCTION("""COMPUTED_VALUE"""),"")</f>
        <v/>
      </c>
      <c r="S211" s="6">
        <f ca="1">IFERROR(__xludf.DUMMYFUNCTION("""COMPUTED_VALUE"""),1865)</f>
        <v>1865</v>
      </c>
      <c r="T211" s="4"/>
      <c r="U211" s="4"/>
      <c r="V211" s="4"/>
      <c r="W211" s="4"/>
      <c r="X211" s="4"/>
      <c r="Y211" s="4"/>
      <c r="Z211" s="4"/>
      <c r="AA211" s="4"/>
      <c r="AB211" s="4"/>
    </row>
    <row r="212" spans="1:28" x14ac:dyDescent="0.2">
      <c r="A212" s="4" t="str">
        <f t="shared" si="0"/>
        <v/>
      </c>
      <c r="B212" s="4" t="str">
        <f t="shared" si="1"/>
        <v/>
      </c>
      <c r="C212" s="4"/>
      <c r="D212" s="4"/>
      <c r="E212" s="4"/>
      <c r="F212" s="4"/>
      <c r="G212" s="4"/>
      <c r="H212" s="4"/>
      <c r="I212" s="4"/>
      <c r="J212" s="4"/>
      <c r="K212" s="4"/>
      <c r="L212" s="4"/>
      <c r="M212" s="4"/>
      <c r="N212" s="6">
        <f ca="1">IFERROR(__xludf.DUMMYFUNCTION("""COMPUTED_VALUE"""),38)</f>
        <v>38</v>
      </c>
      <c r="O212" s="6">
        <f ca="1">IFERROR(__xludf.DUMMYFUNCTION("""COMPUTED_VALUE"""),39)</f>
        <v>39</v>
      </c>
      <c r="P212" s="4" t="str">
        <f ca="1">IFERROR(__xludf.DUMMYFUNCTION("""COMPUTED_VALUE"""),"")</f>
        <v/>
      </c>
      <c r="Q212" s="6">
        <f ca="1">IFERROR(__xludf.DUMMYFUNCTION("""COMPUTED_VALUE"""),769)</f>
        <v>769</v>
      </c>
      <c r="R212" s="4" t="str">
        <f ca="1">IFERROR(__xludf.DUMMYFUNCTION("""COMPUTED_VALUE"""),"")</f>
        <v/>
      </c>
      <c r="S212" s="6">
        <f ca="1">IFERROR(__xludf.DUMMYFUNCTION("""COMPUTED_VALUE"""),1865)</f>
        <v>1865</v>
      </c>
      <c r="T212" s="4"/>
      <c r="U212" s="4"/>
      <c r="V212" s="4"/>
      <c r="W212" s="4"/>
      <c r="X212" s="4"/>
      <c r="Y212" s="4"/>
      <c r="Z212" s="4"/>
      <c r="AA212" s="4"/>
      <c r="AB212" s="4"/>
    </row>
    <row r="213" spans="1:28" x14ac:dyDescent="0.2">
      <c r="A213" s="4" t="str">
        <f t="shared" si="0"/>
        <v/>
      </c>
      <c r="B213" s="4" t="str">
        <f t="shared" si="1"/>
        <v/>
      </c>
      <c r="C213" s="4"/>
      <c r="D213" s="4"/>
      <c r="E213" s="4"/>
      <c r="F213" s="4"/>
      <c r="G213" s="4"/>
      <c r="H213" s="4"/>
      <c r="I213" s="4"/>
      <c r="J213" s="4"/>
      <c r="K213" s="4"/>
      <c r="L213" s="4"/>
      <c r="M213" s="4"/>
      <c r="N213" s="6">
        <f ca="1">IFERROR(__xludf.DUMMYFUNCTION("""COMPUTED_VALUE"""),38)</f>
        <v>38</v>
      </c>
      <c r="O213" s="6">
        <f ca="1">IFERROR(__xludf.DUMMYFUNCTION("""COMPUTED_VALUE"""),39)</f>
        <v>39</v>
      </c>
      <c r="P213" s="4" t="str">
        <f ca="1">IFERROR(__xludf.DUMMYFUNCTION("""COMPUTED_VALUE"""),"")</f>
        <v/>
      </c>
      <c r="Q213" s="6">
        <f ca="1">IFERROR(__xludf.DUMMYFUNCTION("""COMPUTED_VALUE"""),769)</f>
        <v>769</v>
      </c>
      <c r="R213" s="4" t="str">
        <f ca="1">IFERROR(__xludf.DUMMYFUNCTION("""COMPUTED_VALUE"""),"")</f>
        <v/>
      </c>
      <c r="S213" s="6">
        <f ca="1">IFERROR(__xludf.DUMMYFUNCTION("""COMPUTED_VALUE"""),1865)</f>
        <v>1865</v>
      </c>
      <c r="T213" s="4"/>
      <c r="U213" s="4"/>
      <c r="V213" s="4"/>
      <c r="W213" s="4"/>
      <c r="X213" s="4"/>
      <c r="Y213" s="4"/>
      <c r="Z213" s="4"/>
      <c r="AA213" s="4"/>
      <c r="AB213" s="4"/>
    </row>
    <row r="214" spans="1:28" x14ac:dyDescent="0.2">
      <c r="A214" s="4" t="str">
        <f t="shared" si="0"/>
        <v/>
      </c>
      <c r="B214" s="4" t="str">
        <f t="shared" si="1"/>
        <v/>
      </c>
      <c r="C214" s="4"/>
      <c r="D214" s="4"/>
      <c r="E214" s="4"/>
      <c r="F214" s="4"/>
      <c r="G214" s="4"/>
      <c r="H214" s="4"/>
      <c r="I214" s="4"/>
      <c r="J214" s="4"/>
      <c r="K214" s="4"/>
      <c r="L214" s="4"/>
      <c r="M214" s="4"/>
      <c r="N214" s="6">
        <f ca="1">IFERROR(__xludf.DUMMYFUNCTION("""COMPUTED_VALUE"""),38)</f>
        <v>38</v>
      </c>
      <c r="O214" s="6">
        <f ca="1">IFERROR(__xludf.DUMMYFUNCTION("""COMPUTED_VALUE"""),39)</f>
        <v>39</v>
      </c>
      <c r="P214" s="4" t="str">
        <f ca="1">IFERROR(__xludf.DUMMYFUNCTION("""COMPUTED_VALUE"""),"")</f>
        <v/>
      </c>
      <c r="Q214" s="6">
        <f ca="1">IFERROR(__xludf.DUMMYFUNCTION("""COMPUTED_VALUE"""),769)</f>
        <v>769</v>
      </c>
      <c r="R214" s="4" t="str">
        <f ca="1">IFERROR(__xludf.DUMMYFUNCTION("""COMPUTED_VALUE"""),"")</f>
        <v/>
      </c>
      <c r="S214" s="6">
        <f ca="1">IFERROR(__xludf.DUMMYFUNCTION("""COMPUTED_VALUE"""),1865)</f>
        <v>1865</v>
      </c>
      <c r="T214" s="4"/>
      <c r="U214" s="4"/>
      <c r="V214" s="4"/>
      <c r="W214" s="4"/>
      <c r="X214" s="4"/>
      <c r="Y214" s="4"/>
      <c r="Z214" s="4"/>
      <c r="AA214" s="4"/>
      <c r="AB214" s="4"/>
    </row>
    <row r="215" spans="1:28" x14ac:dyDescent="0.2">
      <c r="A215" s="4" t="str">
        <f t="shared" si="0"/>
        <v/>
      </c>
      <c r="B215" s="4" t="str">
        <f t="shared" si="1"/>
        <v/>
      </c>
      <c r="C215" s="4"/>
      <c r="D215" s="4"/>
      <c r="E215" s="4"/>
      <c r="F215" s="4"/>
      <c r="G215" s="4"/>
      <c r="H215" s="4"/>
      <c r="I215" s="4"/>
      <c r="J215" s="4"/>
      <c r="K215" s="4"/>
      <c r="L215" s="4"/>
      <c r="M215" s="4"/>
      <c r="N215" s="6">
        <f ca="1">IFERROR(__xludf.DUMMYFUNCTION("""COMPUTED_VALUE"""),38)</f>
        <v>38</v>
      </c>
      <c r="O215" s="6">
        <f ca="1">IFERROR(__xludf.DUMMYFUNCTION("""COMPUTED_VALUE"""),39)</f>
        <v>39</v>
      </c>
      <c r="P215" s="4" t="str">
        <f ca="1">IFERROR(__xludf.DUMMYFUNCTION("""COMPUTED_VALUE"""),"")</f>
        <v/>
      </c>
      <c r="Q215" s="6">
        <f ca="1">IFERROR(__xludf.DUMMYFUNCTION("""COMPUTED_VALUE"""),769)</f>
        <v>769</v>
      </c>
      <c r="R215" s="4" t="str">
        <f ca="1">IFERROR(__xludf.DUMMYFUNCTION("""COMPUTED_VALUE"""),"")</f>
        <v/>
      </c>
      <c r="S215" s="6">
        <f ca="1">IFERROR(__xludf.DUMMYFUNCTION("""COMPUTED_VALUE"""),1865)</f>
        <v>1865</v>
      </c>
      <c r="T215" s="4"/>
      <c r="U215" s="4"/>
      <c r="V215" s="4"/>
      <c r="W215" s="4"/>
      <c r="X215" s="4"/>
      <c r="Y215" s="4"/>
      <c r="Z215" s="4"/>
      <c r="AA215" s="4"/>
      <c r="AB215" s="4"/>
    </row>
    <row r="216" spans="1:28" x14ac:dyDescent="0.2">
      <c r="A216" s="4" t="str">
        <f t="shared" si="0"/>
        <v/>
      </c>
      <c r="B216" s="4" t="str">
        <f t="shared" si="1"/>
        <v/>
      </c>
      <c r="C216" s="4"/>
      <c r="D216" s="4"/>
      <c r="E216" s="4"/>
      <c r="F216" s="4"/>
      <c r="G216" s="4"/>
      <c r="H216" s="4"/>
      <c r="I216" s="4"/>
      <c r="J216" s="4"/>
      <c r="K216" s="4"/>
      <c r="L216" s="4"/>
      <c r="M216" s="4"/>
      <c r="N216" s="6">
        <f ca="1">IFERROR(__xludf.DUMMYFUNCTION("""COMPUTED_VALUE"""),38)</f>
        <v>38</v>
      </c>
      <c r="O216" s="6">
        <f ca="1">IFERROR(__xludf.DUMMYFUNCTION("""COMPUTED_VALUE"""),39)</f>
        <v>39</v>
      </c>
      <c r="P216" s="4" t="str">
        <f ca="1">IFERROR(__xludf.DUMMYFUNCTION("""COMPUTED_VALUE"""),"")</f>
        <v/>
      </c>
      <c r="Q216" s="6">
        <f ca="1">IFERROR(__xludf.DUMMYFUNCTION("""COMPUTED_VALUE"""),769)</f>
        <v>769</v>
      </c>
      <c r="R216" s="4" t="str">
        <f ca="1">IFERROR(__xludf.DUMMYFUNCTION("""COMPUTED_VALUE"""),"")</f>
        <v/>
      </c>
      <c r="S216" s="6">
        <f ca="1">IFERROR(__xludf.DUMMYFUNCTION("""COMPUTED_VALUE"""),1865)</f>
        <v>1865</v>
      </c>
      <c r="T216" s="4"/>
      <c r="U216" s="4"/>
      <c r="V216" s="4"/>
      <c r="W216" s="4"/>
      <c r="X216" s="4"/>
      <c r="Y216" s="4"/>
      <c r="Z216" s="4"/>
      <c r="AA216" s="4"/>
      <c r="AB216" s="4"/>
    </row>
    <row r="217" spans="1:28" x14ac:dyDescent="0.2">
      <c r="A217" s="4" t="str">
        <f t="shared" si="0"/>
        <v/>
      </c>
      <c r="B217" s="4" t="str">
        <f t="shared" si="1"/>
        <v/>
      </c>
      <c r="C217" s="4"/>
      <c r="D217" s="4"/>
      <c r="E217" s="4"/>
      <c r="F217" s="4"/>
      <c r="G217" s="4"/>
      <c r="H217" s="4"/>
      <c r="I217" s="4"/>
      <c r="J217" s="4"/>
      <c r="K217" s="4"/>
      <c r="L217" s="4"/>
      <c r="M217" s="4"/>
      <c r="N217" s="6">
        <f ca="1">IFERROR(__xludf.DUMMYFUNCTION("""COMPUTED_VALUE"""),38)</f>
        <v>38</v>
      </c>
      <c r="O217" s="6">
        <f ca="1">IFERROR(__xludf.DUMMYFUNCTION("""COMPUTED_VALUE"""),39)</f>
        <v>39</v>
      </c>
      <c r="P217" s="4" t="str">
        <f ca="1">IFERROR(__xludf.DUMMYFUNCTION("""COMPUTED_VALUE"""),"")</f>
        <v/>
      </c>
      <c r="Q217" s="6">
        <f ca="1">IFERROR(__xludf.DUMMYFUNCTION("""COMPUTED_VALUE"""),769)</f>
        <v>769</v>
      </c>
      <c r="R217" s="4" t="str">
        <f ca="1">IFERROR(__xludf.DUMMYFUNCTION("""COMPUTED_VALUE"""),"")</f>
        <v/>
      </c>
      <c r="S217" s="6">
        <f ca="1">IFERROR(__xludf.DUMMYFUNCTION("""COMPUTED_VALUE"""),1865)</f>
        <v>1865</v>
      </c>
      <c r="T217" s="4"/>
      <c r="U217" s="4"/>
      <c r="V217" s="4"/>
      <c r="W217" s="4"/>
      <c r="X217" s="4"/>
      <c r="Y217" s="4"/>
      <c r="Z217" s="4"/>
      <c r="AA217" s="4"/>
      <c r="AB217" s="4"/>
    </row>
    <row r="218" spans="1:28" x14ac:dyDescent="0.2">
      <c r="A218" s="4" t="str">
        <f t="shared" si="0"/>
        <v/>
      </c>
      <c r="B218" s="4" t="str">
        <f t="shared" si="1"/>
        <v/>
      </c>
      <c r="C218" s="4"/>
      <c r="D218" s="4"/>
      <c r="E218" s="4"/>
      <c r="F218" s="4"/>
      <c r="G218" s="4"/>
      <c r="H218" s="4"/>
      <c r="I218" s="4"/>
      <c r="J218" s="4"/>
      <c r="K218" s="4"/>
      <c r="L218" s="4"/>
      <c r="M218" s="4"/>
      <c r="N218" s="6">
        <f ca="1">IFERROR(__xludf.DUMMYFUNCTION("""COMPUTED_VALUE"""),38)</f>
        <v>38</v>
      </c>
      <c r="O218" s="6">
        <f ca="1">IFERROR(__xludf.DUMMYFUNCTION("""COMPUTED_VALUE"""),39)</f>
        <v>39</v>
      </c>
      <c r="P218" s="4" t="str">
        <f ca="1">IFERROR(__xludf.DUMMYFUNCTION("""COMPUTED_VALUE"""),"")</f>
        <v/>
      </c>
      <c r="Q218" s="6">
        <f ca="1">IFERROR(__xludf.DUMMYFUNCTION("""COMPUTED_VALUE"""),769)</f>
        <v>769</v>
      </c>
      <c r="R218" s="4" t="str">
        <f ca="1">IFERROR(__xludf.DUMMYFUNCTION("""COMPUTED_VALUE"""),"")</f>
        <v/>
      </c>
      <c r="S218" s="6">
        <f ca="1">IFERROR(__xludf.DUMMYFUNCTION("""COMPUTED_VALUE"""),1865)</f>
        <v>1865</v>
      </c>
      <c r="T218" s="4"/>
      <c r="U218" s="4"/>
      <c r="V218" s="4"/>
      <c r="W218" s="4"/>
      <c r="X218" s="4"/>
      <c r="Y218" s="4"/>
      <c r="Z218" s="4"/>
      <c r="AA218" s="4"/>
      <c r="AB218" s="4"/>
    </row>
    <row r="219" spans="1:28" x14ac:dyDescent="0.2">
      <c r="A219" s="4" t="str">
        <f t="shared" si="0"/>
        <v/>
      </c>
      <c r="B219" s="4" t="str">
        <f t="shared" si="1"/>
        <v/>
      </c>
      <c r="C219" s="4"/>
      <c r="D219" s="4"/>
      <c r="E219" s="4"/>
      <c r="F219" s="4"/>
      <c r="G219" s="4"/>
      <c r="H219" s="4"/>
      <c r="I219" s="4"/>
      <c r="J219" s="4"/>
      <c r="K219" s="4"/>
      <c r="L219" s="4"/>
      <c r="M219" s="4"/>
      <c r="N219" s="6">
        <f ca="1">IFERROR(__xludf.DUMMYFUNCTION("""COMPUTED_VALUE"""),38)</f>
        <v>38</v>
      </c>
      <c r="O219" s="6">
        <f ca="1">IFERROR(__xludf.DUMMYFUNCTION("""COMPUTED_VALUE"""),39)</f>
        <v>39</v>
      </c>
      <c r="P219" s="4" t="str">
        <f ca="1">IFERROR(__xludf.DUMMYFUNCTION("""COMPUTED_VALUE"""),"")</f>
        <v/>
      </c>
      <c r="Q219" s="6">
        <f ca="1">IFERROR(__xludf.DUMMYFUNCTION("""COMPUTED_VALUE"""),769)</f>
        <v>769</v>
      </c>
      <c r="R219" s="4" t="str">
        <f ca="1">IFERROR(__xludf.DUMMYFUNCTION("""COMPUTED_VALUE"""),"")</f>
        <v/>
      </c>
      <c r="S219" s="6">
        <f ca="1">IFERROR(__xludf.DUMMYFUNCTION("""COMPUTED_VALUE"""),1865)</f>
        <v>1865</v>
      </c>
      <c r="T219" s="4"/>
      <c r="U219" s="4"/>
      <c r="V219" s="4"/>
      <c r="W219" s="4"/>
      <c r="X219" s="4"/>
      <c r="Y219" s="4"/>
      <c r="Z219" s="4"/>
      <c r="AA219" s="4"/>
      <c r="AB219" s="4"/>
    </row>
    <row r="220" spans="1:28" x14ac:dyDescent="0.2">
      <c r="A220" s="4" t="str">
        <f t="shared" si="0"/>
        <v/>
      </c>
      <c r="B220" s="4" t="str">
        <f t="shared" si="1"/>
        <v/>
      </c>
      <c r="C220" s="4"/>
      <c r="D220" s="4"/>
      <c r="E220" s="4"/>
      <c r="F220" s="4"/>
      <c r="G220" s="4"/>
      <c r="H220" s="4"/>
      <c r="I220" s="4"/>
      <c r="J220" s="4"/>
      <c r="K220" s="4"/>
      <c r="L220" s="4"/>
      <c r="M220" s="4"/>
      <c r="N220" s="6">
        <f ca="1">IFERROR(__xludf.DUMMYFUNCTION("""COMPUTED_VALUE"""),38)</f>
        <v>38</v>
      </c>
      <c r="O220" s="6">
        <f ca="1">IFERROR(__xludf.DUMMYFUNCTION("""COMPUTED_VALUE"""),39)</f>
        <v>39</v>
      </c>
      <c r="P220" s="4" t="str">
        <f ca="1">IFERROR(__xludf.DUMMYFUNCTION("""COMPUTED_VALUE"""),"")</f>
        <v/>
      </c>
      <c r="Q220" s="6">
        <f ca="1">IFERROR(__xludf.DUMMYFUNCTION("""COMPUTED_VALUE"""),769)</f>
        <v>769</v>
      </c>
      <c r="R220" s="4" t="str">
        <f ca="1">IFERROR(__xludf.DUMMYFUNCTION("""COMPUTED_VALUE"""),"")</f>
        <v/>
      </c>
      <c r="S220" s="6">
        <f ca="1">IFERROR(__xludf.DUMMYFUNCTION("""COMPUTED_VALUE"""),1865)</f>
        <v>1865</v>
      </c>
      <c r="T220" s="4"/>
      <c r="U220" s="4"/>
      <c r="V220" s="4"/>
      <c r="W220" s="4"/>
      <c r="X220" s="4"/>
      <c r="Y220" s="4"/>
      <c r="Z220" s="4"/>
      <c r="AA220" s="4"/>
      <c r="AB220" s="4"/>
    </row>
    <row r="221" spans="1:28" x14ac:dyDescent="0.2">
      <c r="A221" s="4" t="str">
        <f t="shared" si="0"/>
        <v/>
      </c>
      <c r="B221" s="4" t="str">
        <f t="shared" si="1"/>
        <v/>
      </c>
      <c r="C221" s="4"/>
      <c r="D221" s="4"/>
      <c r="E221" s="4"/>
      <c r="F221" s="4"/>
      <c r="G221" s="4"/>
      <c r="H221" s="4"/>
      <c r="I221" s="4"/>
      <c r="J221" s="4"/>
      <c r="K221" s="4"/>
      <c r="L221" s="4"/>
      <c r="M221" s="4"/>
      <c r="N221" s="6">
        <f ca="1">IFERROR(__xludf.DUMMYFUNCTION("""COMPUTED_VALUE"""),38)</f>
        <v>38</v>
      </c>
      <c r="O221" s="6">
        <f ca="1">IFERROR(__xludf.DUMMYFUNCTION("""COMPUTED_VALUE"""),39)</f>
        <v>39</v>
      </c>
      <c r="P221" s="4" t="str">
        <f ca="1">IFERROR(__xludf.DUMMYFUNCTION("""COMPUTED_VALUE"""),"")</f>
        <v/>
      </c>
      <c r="Q221" s="6">
        <f ca="1">IFERROR(__xludf.DUMMYFUNCTION("""COMPUTED_VALUE"""),769)</f>
        <v>769</v>
      </c>
      <c r="R221" s="4" t="str">
        <f ca="1">IFERROR(__xludf.DUMMYFUNCTION("""COMPUTED_VALUE"""),"")</f>
        <v/>
      </c>
      <c r="S221" s="6">
        <f ca="1">IFERROR(__xludf.DUMMYFUNCTION("""COMPUTED_VALUE"""),1865)</f>
        <v>1865</v>
      </c>
      <c r="T221" s="4"/>
      <c r="U221" s="4"/>
      <c r="V221" s="4"/>
      <c r="W221" s="4"/>
      <c r="X221" s="4"/>
      <c r="Y221" s="4"/>
      <c r="Z221" s="4"/>
      <c r="AA221" s="4"/>
      <c r="AB221" s="4"/>
    </row>
    <row r="222" spans="1:28" x14ac:dyDescent="0.2">
      <c r="A222" s="4" t="str">
        <f t="shared" si="0"/>
        <v/>
      </c>
      <c r="B222" s="4" t="str">
        <f t="shared" si="1"/>
        <v/>
      </c>
      <c r="C222" s="4"/>
      <c r="D222" s="4"/>
      <c r="E222" s="4"/>
      <c r="F222" s="4"/>
      <c r="G222" s="4"/>
      <c r="H222" s="4"/>
      <c r="I222" s="4"/>
      <c r="J222" s="4"/>
      <c r="K222" s="4"/>
      <c r="L222" s="4"/>
      <c r="M222" s="4"/>
      <c r="N222" s="6">
        <f ca="1">IFERROR(__xludf.DUMMYFUNCTION("""COMPUTED_VALUE"""),38)</f>
        <v>38</v>
      </c>
      <c r="O222" s="6">
        <f ca="1">IFERROR(__xludf.DUMMYFUNCTION("""COMPUTED_VALUE"""),39)</f>
        <v>39</v>
      </c>
      <c r="P222" s="4" t="str">
        <f ca="1">IFERROR(__xludf.DUMMYFUNCTION("""COMPUTED_VALUE"""),"")</f>
        <v/>
      </c>
      <c r="Q222" s="6">
        <f ca="1">IFERROR(__xludf.DUMMYFUNCTION("""COMPUTED_VALUE"""),769)</f>
        <v>769</v>
      </c>
      <c r="R222" s="4" t="str">
        <f ca="1">IFERROR(__xludf.DUMMYFUNCTION("""COMPUTED_VALUE"""),"")</f>
        <v/>
      </c>
      <c r="S222" s="6">
        <f ca="1">IFERROR(__xludf.DUMMYFUNCTION("""COMPUTED_VALUE"""),1865)</f>
        <v>1865</v>
      </c>
      <c r="T222" s="4"/>
      <c r="U222" s="4"/>
      <c r="V222" s="4"/>
      <c r="W222" s="4"/>
      <c r="X222" s="4"/>
      <c r="Y222" s="4"/>
      <c r="Z222" s="4"/>
      <c r="AA222" s="4"/>
      <c r="AB222" s="4"/>
    </row>
    <row r="223" spans="1:28" x14ac:dyDescent="0.2">
      <c r="A223" s="4" t="str">
        <f t="shared" si="0"/>
        <v/>
      </c>
      <c r="B223" s="4" t="str">
        <f t="shared" si="1"/>
        <v/>
      </c>
      <c r="C223" s="4"/>
      <c r="D223" s="4"/>
      <c r="E223" s="4"/>
      <c r="F223" s="4"/>
      <c r="G223" s="4"/>
      <c r="H223" s="4"/>
      <c r="I223" s="4"/>
      <c r="J223" s="4"/>
      <c r="K223" s="4"/>
      <c r="L223" s="4"/>
      <c r="M223" s="4"/>
      <c r="N223" s="6">
        <f ca="1">IFERROR(__xludf.DUMMYFUNCTION("""COMPUTED_VALUE"""),38)</f>
        <v>38</v>
      </c>
      <c r="O223" s="6">
        <f ca="1">IFERROR(__xludf.DUMMYFUNCTION("""COMPUTED_VALUE"""),39)</f>
        <v>39</v>
      </c>
      <c r="P223" s="4" t="str">
        <f ca="1">IFERROR(__xludf.DUMMYFUNCTION("""COMPUTED_VALUE"""),"")</f>
        <v/>
      </c>
      <c r="Q223" s="6">
        <f ca="1">IFERROR(__xludf.DUMMYFUNCTION("""COMPUTED_VALUE"""),769)</f>
        <v>769</v>
      </c>
      <c r="R223" s="4" t="str">
        <f ca="1">IFERROR(__xludf.DUMMYFUNCTION("""COMPUTED_VALUE"""),"")</f>
        <v/>
      </c>
      <c r="S223" s="6">
        <f ca="1">IFERROR(__xludf.DUMMYFUNCTION("""COMPUTED_VALUE"""),1865)</f>
        <v>1865</v>
      </c>
      <c r="T223" s="4"/>
      <c r="U223" s="4"/>
      <c r="V223" s="4"/>
      <c r="W223" s="4"/>
      <c r="X223" s="4"/>
      <c r="Y223" s="4"/>
      <c r="Z223" s="4"/>
      <c r="AA223" s="4"/>
      <c r="AB223" s="4"/>
    </row>
    <row r="224" spans="1:28" x14ac:dyDescent="0.2">
      <c r="A224" s="4" t="str">
        <f t="shared" si="0"/>
        <v/>
      </c>
      <c r="B224" s="4" t="str">
        <f t="shared" si="1"/>
        <v/>
      </c>
      <c r="C224" s="4"/>
      <c r="D224" s="4"/>
      <c r="E224" s="4"/>
      <c r="F224" s="4"/>
      <c r="G224" s="4"/>
      <c r="H224" s="4"/>
      <c r="I224" s="4"/>
      <c r="J224" s="4"/>
      <c r="K224" s="4"/>
      <c r="L224" s="4"/>
      <c r="M224" s="4"/>
      <c r="N224" s="6">
        <f ca="1">IFERROR(__xludf.DUMMYFUNCTION("""COMPUTED_VALUE"""),38)</f>
        <v>38</v>
      </c>
      <c r="O224" s="6">
        <f ca="1">IFERROR(__xludf.DUMMYFUNCTION("""COMPUTED_VALUE"""),39)</f>
        <v>39</v>
      </c>
      <c r="P224" s="4" t="str">
        <f ca="1">IFERROR(__xludf.DUMMYFUNCTION("""COMPUTED_VALUE"""),"")</f>
        <v/>
      </c>
      <c r="Q224" s="6">
        <f ca="1">IFERROR(__xludf.DUMMYFUNCTION("""COMPUTED_VALUE"""),769)</f>
        <v>769</v>
      </c>
      <c r="R224" s="4" t="str">
        <f ca="1">IFERROR(__xludf.DUMMYFUNCTION("""COMPUTED_VALUE"""),"")</f>
        <v/>
      </c>
      <c r="S224" s="6">
        <f ca="1">IFERROR(__xludf.DUMMYFUNCTION("""COMPUTED_VALUE"""),1865)</f>
        <v>1865</v>
      </c>
      <c r="T224" s="4"/>
      <c r="U224" s="4"/>
      <c r="V224" s="4"/>
      <c r="W224" s="4"/>
      <c r="X224" s="4"/>
      <c r="Y224" s="4"/>
      <c r="Z224" s="4"/>
      <c r="AA224" s="4"/>
      <c r="AB224" s="4"/>
    </row>
    <row r="225" spans="1:28" x14ac:dyDescent="0.2">
      <c r="A225" s="4" t="str">
        <f t="shared" si="0"/>
        <v/>
      </c>
      <c r="B225" s="4" t="str">
        <f t="shared" si="1"/>
        <v/>
      </c>
      <c r="C225" s="4"/>
      <c r="D225" s="4"/>
      <c r="E225" s="4"/>
      <c r="F225" s="4"/>
      <c r="G225" s="4"/>
      <c r="H225" s="4"/>
      <c r="I225" s="4"/>
      <c r="J225" s="4"/>
      <c r="K225" s="4"/>
      <c r="L225" s="4"/>
      <c r="M225" s="4"/>
      <c r="N225" s="6">
        <f ca="1">IFERROR(__xludf.DUMMYFUNCTION("""COMPUTED_VALUE"""),38)</f>
        <v>38</v>
      </c>
      <c r="O225" s="6">
        <f ca="1">IFERROR(__xludf.DUMMYFUNCTION("""COMPUTED_VALUE"""),39)</f>
        <v>39</v>
      </c>
      <c r="P225" s="4" t="str">
        <f ca="1">IFERROR(__xludf.DUMMYFUNCTION("""COMPUTED_VALUE"""),"")</f>
        <v/>
      </c>
      <c r="Q225" s="6">
        <f ca="1">IFERROR(__xludf.DUMMYFUNCTION("""COMPUTED_VALUE"""),769)</f>
        <v>769</v>
      </c>
      <c r="R225" s="4" t="str">
        <f ca="1">IFERROR(__xludf.DUMMYFUNCTION("""COMPUTED_VALUE"""),"")</f>
        <v/>
      </c>
      <c r="S225" s="6">
        <f ca="1">IFERROR(__xludf.DUMMYFUNCTION("""COMPUTED_VALUE"""),1865)</f>
        <v>1865</v>
      </c>
      <c r="T225" s="4"/>
      <c r="U225" s="4"/>
      <c r="V225" s="4"/>
      <c r="W225" s="4"/>
      <c r="X225" s="4"/>
      <c r="Y225" s="4"/>
      <c r="Z225" s="4"/>
      <c r="AA225" s="4"/>
      <c r="AB225" s="4"/>
    </row>
    <row r="226" spans="1:28" x14ac:dyDescent="0.2">
      <c r="A226" s="4" t="str">
        <f t="shared" si="0"/>
        <v/>
      </c>
      <c r="B226" s="4" t="str">
        <f t="shared" si="1"/>
        <v/>
      </c>
      <c r="C226" s="4"/>
      <c r="D226" s="4"/>
      <c r="E226" s="4"/>
      <c r="F226" s="4"/>
      <c r="G226" s="4"/>
      <c r="H226" s="4"/>
      <c r="I226" s="4"/>
      <c r="J226" s="4"/>
      <c r="K226" s="4"/>
      <c r="L226" s="4"/>
      <c r="M226" s="4"/>
      <c r="N226" s="6">
        <f ca="1">IFERROR(__xludf.DUMMYFUNCTION("""COMPUTED_VALUE"""),38)</f>
        <v>38</v>
      </c>
      <c r="O226" s="6">
        <f ca="1">IFERROR(__xludf.DUMMYFUNCTION("""COMPUTED_VALUE"""),39)</f>
        <v>39</v>
      </c>
      <c r="P226" s="4" t="str">
        <f ca="1">IFERROR(__xludf.DUMMYFUNCTION("""COMPUTED_VALUE"""),"")</f>
        <v/>
      </c>
      <c r="Q226" s="6">
        <f ca="1">IFERROR(__xludf.DUMMYFUNCTION("""COMPUTED_VALUE"""),769)</f>
        <v>769</v>
      </c>
      <c r="R226" s="4" t="str">
        <f ca="1">IFERROR(__xludf.DUMMYFUNCTION("""COMPUTED_VALUE"""),"")</f>
        <v/>
      </c>
      <c r="S226" s="6">
        <f ca="1">IFERROR(__xludf.DUMMYFUNCTION("""COMPUTED_VALUE"""),1865)</f>
        <v>1865</v>
      </c>
      <c r="T226" s="4"/>
      <c r="U226" s="4"/>
      <c r="V226" s="4"/>
      <c r="W226" s="4"/>
      <c r="X226" s="4"/>
      <c r="Y226" s="4"/>
      <c r="Z226" s="4"/>
      <c r="AA226" s="4"/>
      <c r="AB226" s="4"/>
    </row>
    <row r="227" spans="1:28" x14ac:dyDescent="0.2">
      <c r="A227" s="4" t="str">
        <f t="shared" si="0"/>
        <v/>
      </c>
      <c r="B227" s="4" t="str">
        <f t="shared" si="1"/>
        <v/>
      </c>
      <c r="C227" s="4"/>
      <c r="D227" s="4"/>
      <c r="E227" s="4"/>
      <c r="F227" s="4"/>
      <c r="G227" s="4"/>
      <c r="H227" s="4"/>
      <c r="I227" s="4"/>
      <c r="J227" s="4"/>
      <c r="K227" s="4"/>
      <c r="L227" s="4"/>
      <c r="M227" s="4"/>
      <c r="N227" s="6">
        <f ca="1">IFERROR(__xludf.DUMMYFUNCTION("""COMPUTED_VALUE"""),38)</f>
        <v>38</v>
      </c>
      <c r="O227" s="6">
        <f ca="1">IFERROR(__xludf.DUMMYFUNCTION("""COMPUTED_VALUE"""),39)</f>
        <v>39</v>
      </c>
      <c r="P227" s="4" t="str">
        <f ca="1">IFERROR(__xludf.DUMMYFUNCTION("""COMPUTED_VALUE"""),"")</f>
        <v/>
      </c>
      <c r="Q227" s="6">
        <f ca="1">IFERROR(__xludf.DUMMYFUNCTION("""COMPUTED_VALUE"""),769)</f>
        <v>769</v>
      </c>
      <c r="R227" s="4" t="str">
        <f ca="1">IFERROR(__xludf.DUMMYFUNCTION("""COMPUTED_VALUE"""),"")</f>
        <v/>
      </c>
      <c r="S227" s="6">
        <f ca="1">IFERROR(__xludf.DUMMYFUNCTION("""COMPUTED_VALUE"""),1865)</f>
        <v>1865</v>
      </c>
      <c r="T227" s="4"/>
      <c r="U227" s="4"/>
      <c r="V227" s="4"/>
      <c r="W227" s="4"/>
      <c r="X227" s="4"/>
      <c r="Y227" s="4"/>
      <c r="Z227" s="4"/>
      <c r="AA227" s="4"/>
      <c r="AB227" s="4"/>
    </row>
    <row r="228" spans="1:28" x14ac:dyDescent="0.2">
      <c r="A228" s="4" t="str">
        <f t="shared" si="0"/>
        <v/>
      </c>
      <c r="B228" s="4" t="str">
        <f t="shared" si="1"/>
        <v/>
      </c>
      <c r="C228" s="4"/>
      <c r="D228" s="4"/>
      <c r="E228" s="4"/>
      <c r="F228" s="4"/>
      <c r="G228" s="4"/>
      <c r="H228" s="4"/>
      <c r="I228" s="4"/>
      <c r="J228" s="4"/>
      <c r="K228" s="4"/>
      <c r="L228" s="4"/>
      <c r="M228" s="4"/>
      <c r="N228" s="6">
        <f ca="1">IFERROR(__xludf.DUMMYFUNCTION("""COMPUTED_VALUE"""),38)</f>
        <v>38</v>
      </c>
      <c r="O228" s="6">
        <f ca="1">IFERROR(__xludf.DUMMYFUNCTION("""COMPUTED_VALUE"""),39)</f>
        <v>39</v>
      </c>
      <c r="P228" s="4" t="str">
        <f ca="1">IFERROR(__xludf.DUMMYFUNCTION("""COMPUTED_VALUE"""),"")</f>
        <v/>
      </c>
      <c r="Q228" s="6">
        <f ca="1">IFERROR(__xludf.DUMMYFUNCTION("""COMPUTED_VALUE"""),769)</f>
        <v>769</v>
      </c>
      <c r="R228" s="4" t="str">
        <f ca="1">IFERROR(__xludf.DUMMYFUNCTION("""COMPUTED_VALUE"""),"")</f>
        <v/>
      </c>
      <c r="S228" s="6">
        <f ca="1">IFERROR(__xludf.DUMMYFUNCTION("""COMPUTED_VALUE"""),1865)</f>
        <v>1865</v>
      </c>
      <c r="T228" s="4"/>
      <c r="U228" s="4"/>
      <c r="V228" s="4"/>
      <c r="W228" s="4"/>
      <c r="X228" s="4"/>
      <c r="Y228" s="4"/>
      <c r="Z228" s="4"/>
      <c r="AA228" s="4"/>
      <c r="AB228" s="4"/>
    </row>
    <row r="229" spans="1:28" x14ac:dyDescent="0.2">
      <c r="A229" s="4" t="str">
        <f t="shared" si="0"/>
        <v/>
      </c>
      <c r="B229" s="4" t="str">
        <f t="shared" si="1"/>
        <v/>
      </c>
      <c r="C229" s="4"/>
      <c r="D229" s="4"/>
      <c r="E229" s="4"/>
      <c r="F229" s="4"/>
      <c r="G229" s="4"/>
      <c r="H229" s="4"/>
      <c r="I229" s="4"/>
      <c r="J229" s="4"/>
      <c r="K229" s="4"/>
      <c r="L229" s="4"/>
      <c r="M229" s="4"/>
      <c r="N229" s="6">
        <f ca="1">IFERROR(__xludf.DUMMYFUNCTION("""COMPUTED_VALUE"""),38)</f>
        <v>38</v>
      </c>
      <c r="O229" s="6">
        <f ca="1">IFERROR(__xludf.DUMMYFUNCTION("""COMPUTED_VALUE"""),39)</f>
        <v>39</v>
      </c>
      <c r="P229" s="4" t="str">
        <f ca="1">IFERROR(__xludf.DUMMYFUNCTION("""COMPUTED_VALUE"""),"")</f>
        <v/>
      </c>
      <c r="Q229" s="6">
        <f ca="1">IFERROR(__xludf.DUMMYFUNCTION("""COMPUTED_VALUE"""),769)</f>
        <v>769</v>
      </c>
      <c r="R229" s="4" t="str">
        <f ca="1">IFERROR(__xludf.DUMMYFUNCTION("""COMPUTED_VALUE"""),"")</f>
        <v/>
      </c>
      <c r="S229" s="6">
        <f ca="1">IFERROR(__xludf.DUMMYFUNCTION("""COMPUTED_VALUE"""),1865)</f>
        <v>1865</v>
      </c>
      <c r="T229" s="4"/>
      <c r="U229" s="4"/>
      <c r="V229" s="4"/>
      <c r="W229" s="4"/>
      <c r="X229" s="4"/>
      <c r="Y229" s="4"/>
      <c r="Z229" s="4"/>
      <c r="AA229" s="4"/>
      <c r="AB229" s="4"/>
    </row>
    <row r="230" spans="1:28" x14ac:dyDescent="0.2">
      <c r="A230" s="4" t="str">
        <f t="shared" si="0"/>
        <v/>
      </c>
      <c r="B230" s="4" t="str">
        <f t="shared" si="1"/>
        <v/>
      </c>
      <c r="C230" s="4"/>
      <c r="D230" s="4"/>
      <c r="E230" s="4"/>
      <c r="F230" s="4"/>
      <c r="G230" s="4"/>
      <c r="H230" s="4"/>
      <c r="I230" s="4"/>
      <c r="J230" s="4"/>
      <c r="K230" s="4"/>
      <c r="L230" s="4"/>
      <c r="M230" s="4"/>
      <c r="N230" s="6">
        <f ca="1">IFERROR(__xludf.DUMMYFUNCTION("""COMPUTED_VALUE"""),38)</f>
        <v>38</v>
      </c>
      <c r="O230" s="6">
        <f ca="1">IFERROR(__xludf.DUMMYFUNCTION("""COMPUTED_VALUE"""),39)</f>
        <v>39</v>
      </c>
      <c r="P230" s="4" t="str">
        <f ca="1">IFERROR(__xludf.DUMMYFUNCTION("""COMPUTED_VALUE"""),"")</f>
        <v/>
      </c>
      <c r="Q230" s="6">
        <f ca="1">IFERROR(__xludf.DUMMYFUNCTION("""COMPUTED_VALUE"""),769)</f>
        <v>769</v>
      </c>
      <c r="R230" s="4" t="str">
        <f ca="1">IFERROR(__xludf.DUMMYFUNCTION("""COMPUTED_VALUE"""),"")</f>
        <v/>
      </c>
      <c r="S230" s="6">
        <f ca="1">IFERROR(__xludf.DUMMYFUNCTION("""COMPUTED_VALUE"""),1865)</f>
        <v>1865</v>
      </c>
      <c r="T230" s="4"/>
      <c r="U230" s="4"/>
      <c r="V230" s="4"/>
      <c r="W230" s="4"/>
      <c r="X230" s="4"/>
      <c r="Y230" s="4"/>
      <c r="Z230" s="4"/>
      <c r="AA230" s="4"/>
      <c r="AB230" s="4"/>
    </row>
    <row r="231" spans="1:28" x14ac:dyDescent="0.2">
      <c r="A231" s="4" t="str">
        <f t="shared" si="0"/>
        <v/>
      </c>
      <c r="B231" s="4" t="str">
        <f t="shared" si="1"/>
        <v/>
      </c>
      <c r="C231" s="4"/>
      <c r="D231" s="4"/>
      <c r="E231" s="4"/>
      <c r="F231" s="4"/>
      <c r="G231" s="4"/>
      <c r="H231" s="4"/>
      <c r="I231" s="4"/>
      <c r="J231" s="4"/>
      <c r="K231" s="4"/>
      <c r="L231" s="4"/>
      <c r="M231" s="4"/>
      <c r="N231" s="6">
        <f ca="1">IFERROR(__xludf.DUMMYFUNCTION("""COMPUTED_VALUE"""),38)</f>
        <v>38</v>
      </c>
      <c r="O231" s="6">
        <f ca="1">IFERROR(__xludf.DUMMYFUNCTION("""COMPUTED_VALUE"""),39)</f>
        <v>39</v>
      </c>
      <c r="P231" s="4" t="str">
        <f ca="1">IFERROR(__xludf.DUMMYFUNCTION("""COMPUTED_VALUE"""),"")</f>
        <v/>
      </c>
      <c r="Q231" s="6">
        <f ca="1">IFERROR(__xludf.DUMMYFUNCTION("""COMPUTED_VALUE"""),769)</f>
        <v>769</v>
      </c>
      <c r="R231" s="4" t="str">
        <f ca="1">IFERROR(__xludf.DUMMYFUNCTION("""COMPUTED_VALUE"""),"")</f>
        <v/>
      </c>
      <c r="S231" s="6">
        <f ca="1">IFERROR(__xludf.DUMMYFUNCTION("""COMPUTED_VALUE"""),1865)</f>
        <v>1865</v>
      </c>
      <c r="T231" s="4"/>
      <c r="U231" s="4"/>
      <c r="V231" s="4"/>
      <c r="W231" s="4"/>
      <c r="X231" s="4"/>
      <c r="Y231" s="4"/>
      <c r="Z231" s="4"/>
      <c r="AA231" s="4"/>
      <c r="AB231" s="4"/>
    </row>
    <row r="232" spans="1:28" x14ac:dyDescent="0.2">
      <c r="A232" s="4" t="str">
        <f t="shared" si="0"/>
        <v/>
      </c>
      <c r="B232" s="4" t="str">
        <f t="shared" si="1"/>
        <v/>
      </c>
      <c r="C232" s="4"/>
      <c r="D232" s="4"/>
      <c r="E232" s="4"/>
      <c r="F232" s="4"/>
      <c r="G232" s="4"/>
      <c r="H232" s="4"/>
      <c r="I232" s="4"/>
      <c r="J232" s="4"/>
      <c r="K232" s="4"/>
      <c r="L232" s="4"/>
      <c r="M232" s="4"/>
      <c r="N232" s="6">
        <f ca="1">IFERROR(__xludf.DUMMYFUNCTION("""COMPUTED_VALUE"""),38)</f>
        <v>38</v>
      </c>
      <c r="O232" s="6">
        <f ca="1">IFERROR(__xludf.DUMMYFUNCTION("""COMPUTED_VALUE"""),39)</f>
        <v>39</v>
      </c>
      <c r="P232" s="4" t="str">
        <f ca="1">IFERROR(__xludf.DUMMYFUNCTION("""COMPUTED_VALUE"""),"")</f>
        <v/>
      </c>
      <c r="Q232" s="6">
        <f ca="1">IFERROR(__xludf.DUMMYFUNCTION("""COMPUTED_VALUE"""),769)</f>
        <v>769</v>
      </c>
      <c r="R232" s="4" t="str">
        <f ca="1">IFERROR(__xludf.DUMMYFUNCTION("""COMPUTED_VALUE"""),"")</f>
        <v/>
      </c>
      <c r="S232" s="6">
        <f ca="1">IFERROR(__xludf.DUMMYFUNCTION("""COMPUTED_VALUE"""),1865)</f>
        <v>1865</v>
      </c>
      <c r="T232" s="4"/>
      <c r="U232" s="4"/>
      <c r="V232" s="4"/>
      <c r="W232" s="4"/>
      <c r="X232" s="4"/>
      <c r="Y232" s="4"/>
      <c r="Z232" s="4"/>
      <c r="AA232" s="4"/>
      <c r="AB232" s="4"/>
    </row>
    <row r="233" spans="1:28" x14ac:dyDescent="0.2">
      <c r="A233" s="4" t="str">
        <f t="shared" si="0"/>
        <v/>
      </c>
      <c r="B233" s="4" t="str">
        <f t="shared" si="1"/>
        <v/>
      </c>
      <c r="C233" s="4"/>
      <c r="D233" s="4"/>
      <c r="E233" s="4"/>
      <c r="F233" s="4"/>
      <c r="G233" s="4"/>
      <c r="H233" s="4"/>
      <c r="I233" s="4"/>
      <c r="J233" s="4"/>
      <c r="K233" s="4"/>
      <c r="L233" s="4"/>
      <c r="M233" s="4"/>
      <c r="N233" s="6">
        <f ca="1">IFERROR(__xludf.DUMMYFUNCTION("""COMPUTED_VALUE"""),38)</f>
        <v>38</v>
      </c>
      <c r="O233" s="6">
        <f ca="1">IFERROR(__xludf.DUMMYFUNCTION("""COMPUTED_VALUE"""),39)</f>
        <v>39</v>
      </c>
      <c r="P233" s="4" t="str">
        <f ca="1">IFERROR(__xludf.DUMMYFUNCTION("""COMPUTED_VALUE"""),"")</f>
        <v/>
      </c>
      <c r="Q233" s="6">
        <f ca="1">IFERROR(__xludf.DUMMYFUNCTION("""COMPUTED_VALUE"""),769)</f>
        <v>769</v>
      </c>
      <c r="R233" s="4" t="str">
        <f ca="1">IFERROR(__xludf.DUMMYFUNCTION("""COMPUTED_VALUE"""),"")</f>
        <v/>
      </c>
      <c r="S233" s="6">
        <f ca="1">IFERROR(__xludf.DUMMYFUNCTION("""COMPUTED_VALUE"""),1865)</f>
        <v>1865</v>
      </c>
      <c r="T233" s="4"/>
      <c r="U233" s="4"/>
      <c r="V233" s="4"/>
      <c r="W233" s="4"/>
      <c r="X233" s="4"/>
      <c r="Y233" s="4"/>
      <c r="Z233" s="4"/>
      <c r="AA233" s="4"/>
      <c r="AB233" s="4"/>
    </row>
    <row r="234" spans="1:28" x14ac:dyDescent="0.2">
      <c r="A234" s="4" t="str">
        <f t="shared" si="0"/>
        <v/>
      </c>
      <c r="B234" s="4" t="str">
        <f t="shared" si="1"/>
        <v/>
      </c>
      <c r="C234" s="4"/>
      <c r="D234" s="4"/>
      <c r="E234" s="4"/>
      <c r="F234" s="4"/>
      <c r="G234" s="4"/>
      <c r="H234" s="4"/>
      <c r="I234" s="4"/>
      <c r="J234" s="4"/>
      <c r="K234" s="4"/>
      <c r="L234" s="4"/>
      <c r="M234" s="4"/>
      <c r="N234" s="6">
        <f ca="1">IFERROR(__xludf.DUMMYFUNCTION("""COMPUTED_VALUE"""),38)</f>
        <v>38</v>
      </c>
      <c r="O234" s="6">
        <f ca="1">IFERROR(__xludf.DUMMYFUNCTION("""COMPUTED_VALUE"""),39)</f>
        <v>39</v>
      </c>
      <c r="P234" s="4" t="str">
        <f ca="1">IFERROR(__xludf.DUMMYFUNCTION("""COMPUTED_VALUE"""),"")</f>
        <v/>
      </c>
      <c r="Q234" s="6">
        <f ca="1">IFERROR(__xludf.DUMMYFUNCTION("""COMPUTED_VALUE"""),769)</f>
        <v>769</v>
      </c>
      <c r="R234" s="4" t="str">
        <f ca="1">IFERROR(__xludf.DUMMYFUNCTION("""COMPUTED_VALUE"""),"")</f>
        <v/>
      </c>
      <c r="S234" s="6">
        <f ca="1">IFERROR(__xludf.DUMMYFUNCTION("""COMPUTED_VALUE"""),1865)</f>
        <v>1865</v>
      </c>
      <c r="T234" s="4"/>
      <c r="U234" s="4"/>
      <c r="V234" s="4"/>
      <c r="W234" s="4"/>
      <c r="X234" s="4"/>
      <c r="Y234" s="4"/>
      <c r="Z234" s="4"/>
      <c r="AA234" s="4"/>
      <c r="AB234" s="4"/>
    </row>
    <row r="235" spans="1:28" x14ac:dyDescent="0.2">
      <c r="A235" s="4" t="str">
        <f t="shared" si="0"/>
        <v/>
      </c>
      <c r="B235" s="4" t="str">
        <f t="shared" si="1"/>
        <v/>
      </c>
      <c r="C235" s="4"/>
      <c r="D235" s="4"/>
      <c r="E235" s="4"/>
      <c r="F235" s="4"/>
      <c r="G235" s="4"/>
      <c r="H235" s="4"/>
      <c r="I235" s="4"/>
      <c r="J235" s="4"/>
      <c r="K235" s="4"/>
      <c r="L235" s="4"/>
      <c r="M235" s="4"/>
      <c r="N235" s="6">
        <f ca="1">IFERROR(__xludf.DUMMYFUNCTION("""COMPUTED_VALUE"""),38)</f>
        <v>38</v>
      </c>
      <c r="O235" s="6">
        <f ca="1">IFERROR(__xludf.DUMMYFUNCTION("""COMPUTED_VALUE"""),39)</f>
        <v>39</v>
      </c>
      <c r="P235" s="4" t="str">
        <f ca="1">IFERROR(__xludf.DUMMYFUNCTION("""COMPUTED_VALUE"""),"")</f>
        <v/>
      </c>
      <c r="Q235" s="6">
        <f ca="1">IFERROR(__xludf.DUMMYFUNCTION("""COMPUTED_VALUE"""),769)</f>
        <v>769</v>
      </c>
      <c r="R235" s="4" t="str">
        <f ca="1">IFERROR(__xludf.DUMMYFUNCTION("""COMPUTED_VALUE"""),"")</f>
        <v/>
      </c>
      <c r="S235" s="6">
        <f ca="1">IFERROR(__xludf.DUMMYFUNCTION("""COMPUTED_VALUE"""),1865)</f>
        <v>1865</v>
      </c>
      <c r="T235" s="4"/>
      <c r="U235" s="4"/>
      <c r="V235" s="4"/>
      <c r="W235" s="4"/>
      <c r="X235" s="4"/>
      <c r="Y235" s="4"/>
      <c r="Z235" s="4"/>
      <c r="AA235" s="4"/>
      <c r="AB235" s="4"/>
    </row>
    <row r="236" spans="1:28" x14ac:dyDescent="0.2">
      <c r="A236" s="4" t="str">
        <f t="shared" si="0"/>
        <v/>
      </c>
      <c r="B236" s="4" t="str">
        <f t="shared" si="1"/>
        <v/>
      </c>
      <c r="C236" s="4"/>
      <c r="D236" s="4"/>
      <c r="E236" s="4"/>
      <c r="F236" s="4"/>
      <c r="G236" s="4"/>
      <c r="H236" s="4"/>
      <c r="I236" s="4"/>
      <c r="J236" s="4"/>
      <c r="K236" s="4"/>
      <c r="L236" s="4"/>
      <c r="M236" s="4"/>
      <c r="N236" s="6">
        <f ca="1">IFERROR(__xludf.DUMMYFUNCTION("""COMPUTED_VALUE"""),38)</f>
        <v>38</v>
      </c>
      <c r="O236" s="6">
        <f ca="1">IFERROR(__xludf.DUMMYFUNCTION("""COMPUTED_VALUE"""),39)</f>
        <v>39</v>
      </c>
      <c r="P236" s="4" t="str">
        <f ca="1">IFERROR(__xludf.DUMMYFUNCTION("""COMPUTED_VALUE"""),"")</f>
        <v/>
      </c>
      <c r="Q236" s="6">
        <f ca="1">IFERROR(__xludf.DUMMYFUNCTION("""COMPUTED_VALUE"""),769)</f>
        <v>769</v>
      </c>
      <c r="R236" s="4" t="str">
        <f ca="1">IFERROR(__xludf.DUMMYFUNCTION("""COMPUTED_VALUE"""),"")</f>
        <v/>
      </c>
      <c r="S236" s="6">
        <f ca="1">IFERROR(__xludf.DUMMYFUNCTION("""COMPUTED_VALUE"""),1865)</f>
        <v>1865</v>
      </c>
      <c r="T236" s="4"/>
      <c r="U236" s="4"/>
      <c r="V236" s="4"/>
      <c r="W236" s="4"/>
      <c r="X236" s="4"/>
      <c r="Y236" s="4"/>
      <c r="Z236" s="4"/>
      <c r="AA236" s="4"/>
      <c r="AB236" s="4"/>
    </row>
    <row r="237" spans="1:28" x14ac:dyDescent="0.2">
      <c r="A237" s="4" t="str">
        <f t="shared" si="0"/>
        <v/>
      </c>
      <c r="B237" s="4" t="str">
        <f t="shared" si="1"/>
        <v/>
      </c>
      <c r="C237" s="4"/>
      <c r="D237" s="4"/>
      <c r="E237" s="4"/>
      <c r="F237" s="4"/>
      <c r="G237" s="4"/>
      <c r="H237" s="4"/>
      <c r="I237" s="4"/>
      <c r="J237" s="4"/>
      <c r="K237" s="4"/>
      <c r="L237" s="4"/>
      <c r="M237" s="4"/>
      <c r="N237" s="6">
        <f ca="1">IFERROR(__xludf.DUMMYFUNCTION("""COMPUTED_VALUE"""),38)</f>
        <v>38</v>
      </c>
      <c r="O237" s="6">
        <f ca="1">IFERROR(__xludf.DUMMYFUNCTION("""COMPUTED_VALUE"""),39)</f>
        <v>39</v>
      </c>
      <c r="P237" s="4" t="str">
        <f ca="1">IFERROR(__xludf.DUMMYFUNCTION("""COMPUTED_VALUE"""),"")</f>
        <v/>
      </c>
      <c r="Q237" s="6">
        <f ca="1">IFERROR(__xludf.DUMMYFUNCTION("""COMPUTED_VALUE"""),769)</f>
        <v>769</v>
      </c>
      <c r="R237" s="4" t="str">
        <f ca="1">IFERROR(__xludf.DUMMYFUNCTION("""COMPUTED_VALUE"""),"")</f>
        <v/>
      </c>
      <c r="S237" s="6">
        <f ca="1">IFERROR(__xludf.DUMMYFUNCTION("""COMPUTED_VALUE"""),1865)</f>
        <v>1865</v>
      </c>
      <c r="T237" s="4"/>
      <c r="U237" s="4"/>
      <c r="V237" s="4"/>
      <c r="W237" s="4"/>
      <c r="X237" s="4"/>
      <c r="Y237" s="4"/>
      <c r="Z237" s="4"/>
      <c r="AA237" s="4"/>
      <c r="AB237" s="4"/>
    </row>
    <row r="238" spans="1:28" x14ac:dyDescent="0.2">
      <c r="A238" s="4" t="str">
        <f t="shared" si="0"/>
        <v/>
      </c>
      <c r="B238" s="4" t="str">
        <f t="shared" si="1"/>
        <v/>
      </c>
      <c r="C238" s="4"/>
      <c r="D238" s="4"/>
      <c r="E238" s="4"/>
      <c r="F238" s="4"/>
      <c r="G238" s="4"/>
      <c r="H238" s="4"/>
      <c r="I238" s="4"/>
      <c r="J238" s="4"/>
      <c r="K238" s="4"/>
      <c r="L238" s="4"/>
      <c r="M238" s="4"/>
      <c r="N238" s="6">
        <f ca="1">IFERROR(__xludf.DUMMYFUNCTION("""COMPUTED_VALUE"""),38)</f>
        <v>38</v>
      </c>
      <c r="O238" s="6">
        <f ca="1">IFERROR(__xludf.DUMMYFUNCTION("""COMPUTED_VALUE"""),39)</f>
        <v>39</v>
      </c>
      <c r="P238" s="4" t="str">
        <f ca="1">IFERROR(__xludf.DUMMYFUNCTION("""COMPUTED_VALUE"""),"")</f>
        <v/>
      </c>
      <c r="Q238" s="6">
        <f ca="1">IFERROR(__xludf.DUMMYFUNCTION("""COMPUTED_VALUE"""),769)</f>
        <v>769</v>
      </c>
      <c r="R238" s="4" t="str">
        <f ca="1">IFERROR(__xludf.DUMMYFUNCTION("""COMPUTED_VALUE"""),"")</f>
        <v/>
      </c>
      <c r="S238" s="6">
        <f ca="1">IFERROR(__xludf.DUMMYFUNCTION("""COMPUTED_VALUE"""),1865)</f>
        <v>1865</v>
      </c>
      <c r="T238" s="4"/>
      <c r="U238" s="4"/>
      <c r="V238" s="4"/>
      <c r="W238" s="4"/>
      <c r="X238" s="4"/>
      <c r="Y238" s="4"/>
      <c r="Z238" s="4"/>
      <c r="AA238" s="4"/>
      <c r="AB238" s="4"/>
    </row>
    <row r="239" spans="1:28" x14ac:dyDescent="0.2">
      <c r="A239" s="4" t="str">
        <f t="shared" si="0"/>
        <v/>
      </c>
      <c r="B239" s="4" t="str">
        <f t="shared" si="1"/>
        <v/>
      </c>
      <c r="C239" s="4"/>
      <c r="D239" s="4"/>
      <c r="E239" s="4"/>
      <c r="F239" s="4"/>
      <c r="G239" s="4"/>
      <c r="H239" s="4"/>
      <c r="I239" s="4"/>
      <c r="J239" s="4"/>
      <c r="K239" s="4"/>
      <c r="L239" s="4"/>
      <c r="M239" s="4"/>
      <c r="N239" s="6">
        <f ca="1">IFERROR(__xludf.DUMMYFUNCTION("""COMPUTED_VALUE"""),38)</f>
        <v>38</v>
      </c>
      <c r="O239" s="6">
        <f ca="1">IFERROR(__xludf.DUMMYFUNCTION("""COMPUTED_VALUE"""),39)</f>
        <v>39</v>
      </c>
      <c r="P239" s="4" t="str">
        <f ca="1">IFERROR(__xludf.DUMMYFUNCTION("""COMPUTED_VALUE"""),"")</f>
        <v/>
      </c>
      <c r="Q239" s="6">
        <f ca="1">IFERROR(__xludf.DUMMYFUNCTION("""COMPUTED_VALUE"""),769)</f>
        <v>769</v>
      </c>
      <c r="R239" s="4" t="str">
        <f ca="1">IFERROR(__xludf.DUMMYFUNCTION("""COMPUTED_VALUE"""),"")</f>
        <v/>
      </c>
      <c r="S239" s="6">
        <f ca="1">IFERROR(__xludf.DUMMYFUNCTION("""COMPUTED_VALUE"""),1865)</f>
        <v>1865</v>
      </c>
      <c r="T239" s="4"/>
      <c r="U239" s="4"/>
      <c r="V239" s="4"/>
      <c r="W239" s="4"/>
      <c r="X239" s="4"/>
      <c r="Y239" s="4"/>
      <c r="Z239" s="4"/>
      <c r="AA239" s="4"/>
      <c r="AB239" s="4"/>
    </row>
    <row r="240" spans="1:28" x14ac:dyDescent="0.2">
      <c r="A240" s="4" t="str">
        <f t="shared" si="0"/>
        <v/>
      </c>
      <c r="B240" s="4" t="str">
        <f t="shared" si="1"/>
        <v/>
      </c>
      <c r="C240" s="4"/>
      <c r="D240" s="4"/>
      <c r="E240" s="4"/>
      <c r="F240" s="4"/>
      <c r="G240" s="4"/>
      <c r="H240" s="4"/>
      <c r="I240" s="4"/>
      <c r="J240" s="4"/>
      <c r="K240" s="4"/>
      <c r="L240" s="4"/>
      <c r="M240" s="4"/>
      <c r="N240" s="6">
        <f ca="1">IFERROR(__xludf.DUMMYFUNCTION("""COMPUTED_VALUE"""),38)</f>
        <v>38</v>
      </c>
      <c r="O240" s="6">
        <f ca="1">IFERROR(__xludf.DUMMYFUNCTION("""COMPUTED_VALUE"""),39)</f>
        <v>39</v>
      </c>
      <c r="P240" s="4" t="str">
        <f ca="1">IFERROR(__xludf.DUMMYFUNCTION("""COMPUTED_VALUE"""),"")</f>
        <v/>
      </c>
      <c r="Q240" s="6">
        <f ca="1">IFERROR(__xludf.DUMMYFUNCTION("""COMPUTED_VALUE"""),769)</f>
        <v>769</v>
      </c>
      <c r="R240" s="4" t="str">
        <f ca="1">IFERROR(__xludf.DUMMYFUNCTION("""COMPUTED_VALUE"""),"")</f>
        <v/>
      </c>
      <c r="S240" s="6">
        <f ca="1">IFERROR(__xludf.DUMMYFUNCTION("""COMPUTED_VALUE"""),1865)</f>
        <v>1865</v>
      </c>
      <c r="T240" s="4"/>
      <c r="U240" s="4"/>
      <c r="V240" s="4"/>
      <c r="W240" s="4"/>
      <c r="X240" s="4"/>
      <c r="Y240" s="4"/>
      <c r="Z240" s="4"/>
      <c r="AA240" s="4"/>
      <c r="AB240" s="4"/>
    </row>
    <row r="241" spans="1:28" x14ac:dyDescent="0.2">
      <c r="A241" s="4" t="str">
        <f t="shared" si="0"/>
        <v/>
      </c>
      <c r="B241" s="4" t="str">
        <f t="shared" si="1"/>
        <v/>
      </c>
      <c r="C241" s="4"/>
      <c r="D241" s="4"/>
      <c r="E241" s="4"/>
      <c r="F241" s="4"/>
      <c r="G241" s="4"/>
      <c r="H241" s="4"/>
      <c r="I241" s="4"/>
      <c r="J241" s="4"/>
      <c r="K241" s="4"/>
      <c r="L241" s="4"/>
      <c r="M241" s="4"/>
      <c r="N241" s="6">
        <f ca="1">IFERROR(__xludf.DUMMYFUNCTION("""COMPUTED_VALUE"""),38)</f>
        <v>38</v>
      </c>
      <c r="O241" s="6">
        <f ca="1">IFERROR(__xludf.DUMMYFUNCTION("""COMPUTED_VALUE"""),39)</f>
        <v>39</v>
      </c>
      <c r="P241" s="4" t="str">
        <f ca="1">IFERROR(__xludf.DUMMYFUNCTION("""COMPUTED_VALUE"""),"")</f>
        <v/>
      </c>
      <c r="Q241" s="6">
        <f ca="1">IFERROR(__xludf.DUMMYFUNCTION("""COMPUTED_VALUE"""),769)</f>
        <v>769</v>
      </c>
      <c r="R241" s="4" t="str">
        <f ca="1">IFERROR(__xludf.DUMMYFUNCTION("""COMPUTED_VALUE"""),"")</f>
        <v/>
      </c>
      <c r="S241" s="6">
        <f ca="1">IFERROR(__xludf.DUMMYFUNCTION("""COMPUTED_VALUE"""),1865)</f>
        <v>1865</v>
      </c>
      <c r="T241" s="4"/>
      <c r="U241" s="4"/>
      <c r="V241" s="4"/>
      <c r="W241" s="4"/>
      <c r="X241" s="4"/>
      <c r="Y241" s="4"/>
      <c r="Z241" s="4"/>
      <c r="AA241" s="4"/>
      <c r="AB241" s="4"/>
    </row>
    <row r="242" spans="1:28" x14ac:dyDescent="0.2">
      <c r="A242" s="4" t="str">
        <f t="shared" si="0"/>
        <v/>
      </c>
      <c r="B242" s="4" t="str">
        <f t="shared" si="1"/>
        <v/>
      </c>
      <c r="C242" s="4"/>
      <c r="D242" s="4"/>
      <c r="E242" s="4"/>
      <c r="F242" s="4"/>
      <c r="G242" s="4"/>
      <c r="H242" s="4"/>
      <c r="I242" s="4"/>
      <c r="J242" s="4"/>
      <c r="K242" s="4"/>
      <c r="L242" s="4"/>
      <c r="M242" s="4"/>
      <c r="N242" s="6">
        <f ca="1">IFERROR(__xludf.DUMMYFUNCTION("""COMPUTED_VALUE"""),38)</f>
        <v>38</v>
      </c>
      <c r="O242" s="6">
        <f ca="1">IFERROR(__xludf.DUMMYFUNCTION("""COMPUTED_VALUE"""),39)</f>
        <v>39</v>
      </c>
      <c r="P242" s="4" t="str">
        <f ca="1">IFERROR(__xludf.DUMMYFUNCTION("""COMPUTED_VALUE"""),"")</f>
        <v/>
      </c>
      <c r="Q242" s="6">
        <f ca="1">IFERROR(__xludf.DUMMYFUNCTION("""COMPUTED_VALUE"""),769)</f>
        <v>769</v>
      </c>
      <c r="R242" s="4" t="str">
        <f ca="1">IFERROR(__xludf.DUMMYFUNCTION("""COMPUTED_VALUE"""),"")</f>
        <v/>
      </c>
      <c r="S242" s="6">
        <f ca="1">IFERROR(__xludf.DUMMYFUNCTION("""COMPUTED_VALUE"""),1865)</f>
        <v>1865</v>
      </c>
      <c r="T242" s="4"/>
      <c r="U242" s="4"/>
      <c r="V242" s="4"/>
      <c r="W242" s="4"/>
      <c r="X242" s="4"/>
      <c r="Y242" s="4"/>
      <c r="Z242" s="4"/>
      <c r="AA242" s="4"/>
      <c r="AB242" s="4"/>
    </row>
    <row r="243" spans="1:28" x14ac:dyDescent="0.2">
      <c r="A243" s="4" t="str">
        <f t="shared" si="0"/>
        <v/>
      </c>
      <c r="B243" s="4" t="str">
        <f t="shared" si="1"/>
        <v/>
      </c>
      <c r="C243" s="4"/>
      <c r="D243" s="4"/>
      <c r="E243" s="4"/>
      <c r="F243" s="4"/>
      <c r="G243" s="4"/>
      <c r="H243" s="4"/>
      <c r="I243" s="4"/>
      <c r="J243" s="4"/>
      <c r="K243" s="4"/>
      <c r="L243" s="4"/>
      <c r="M243" s="4"/>
      <c r="N243" s="6">
        <f ca="1">IFERROR(__xludf.DUMMYFUNCTION("""COMPUTED_VALUE"""),38)</f>
        <v>38</v>
      </c>
      <c r="O243" s="6">
        <f ca="1">IFERROR(__xludf.DUMMYFUNCTION("""COMPUTED_VALUE"""),39)</f>
        <v>39</v>
      </c>
      <c r="P243" s="4" t="str">
        <f ca="1">IFERROR(__xludf.DUMMYFUNCTION("""COMPUTED_VALUE"""),"")</f>
        <v/>
      </c>
      <c r="Q243" s="6">
        <f ca="1">IFERROR(__xludf.DUMMYFUNCTION("""COMPUTED_VALUE"""),769)</f>
        <v>769</v>
      </c>
      <c r="R243" s="4" t="str">
        <f ca="1">IFERROR(__xludf.DUMMYFUNCTION("""COMPUTED_VALUE"""),"")</f>
        <v/>
      </c>
      <c r="S243" s="6">
        <f ca="1">IFERROR(__xludf.DUMMYFUNCTION("""COMPUTED_VALUE"""),1865)</f>
        <v>1865</v>
      </c>
      <c r="T243" s="4"/>
      <c r="U243" s="4"/>
      <c r="V243" s="4"/>
      <c r="W243" s="4"/>
      <c r="X243" s="4"/>
      <c r="Y243" s="4"/>
      <c r="Z243" s="4"/>
      <c r="AA243" s="4"/>
      <c r="AB243" s="4"/>
    </row>
    <row r="244" spans="1:28" x14ac:dyDescent="0.2">
      <c r="A244" s="4" t="str">
        <f t="shared" si="0"/>
        <v/>
      </c>
      <c r="B244" s="4" t="str">
        <f t="shared" si="1"/>
        <v/>
      </c>
      <c r="C244" s="4"/>
      <c r="D244" s="4"/>
      <c r="E244" s="4"/>
      <c r="F244" s="4"/>
      <c r="G244" s="4"/>
      <c r="H244" s="4"/>
      <c r="I244" s="4"/>
      <c r="J244" s="4"/>
      <c r="K244" s="4"/>
      <c r="L244" s="4"/>
      <c r="M244" s="4"/>
      <c r="N244" s="6">
        <f ca="1">IFERROR(__xludf.DUMMYFUNCTION("""COMPUTED_VALUE"""),38)</f>
        <v>38</v>
      </c>
      <c r="O244" s="6">
        <f ca="1">IFERROR(__xludf.DUMMYFUNCTION("""COMPUTED_VALUE"""),39)</f>
        <v>39</v>
      </c>
      <c r="P244" s="4" t="str">
        <f ca="1">IFERROR(__xludf.DUMMYFUNCTION("""COMPUTED_VALUE"""),"")</f>
        <v/>
      </c>
      <c r="Q244" s="6">
        <f ca="1">IFERROR(__xludf.DUMMYFUNCTION("""COMPUTED_VALUE"""),769)</f>
        <v>769</v>
      </c>
      <c r="R244" s="4" t="str">
        <f ca="1">IFERROR(__xludf.DUMMYFUNCTION("""COMPUTED_VALUE"""),"")</f>
        <v/>
      </c>
      <c r="S244" s="6">
        <f ca="1">IFERROR(__xludf.DUMMYFUNCTION("""COMPUTED_VALUE"""),1865)</f>
        <v>1865</v>
      </c>
      <c r="T244" s="4"/>
      <c r="U244" s="4"/>
      <c r="V244" s="4"/>
      <c r="W244" s="4"/>
      <c r="X244" s="4"/>
      <c r="Y244" s="4"/>
      <c r="Z244" s="4"/>
      <c r="AA244" s="4"/>
      <c r="AB244" s="4"/>
    </row>
    <row r="245" spans="1:28" x14ac:dyDescent="0.2">
      <c r="A245" s="4" t="str">
        <f t="shared" si="0"/>
        <v/>
      </c>
      <c r="B245" s="4" t="str">
        <f t="shared" si="1"/>
        <v/>
      </c>
      <c r="C245" s="4"/>
      <c r="D245" s="4"/>
      <c r="E245" s="4"/>
      <c r="F245" s="4"/>
      <c r="G245" s="4"/>
      <c r="H245" s="4"/>
      <c r="I245" s="4"/>
      <c r="J245" s="4"/>
      <c r="K245" s="4"/>
      <c r="L245" s="4"/>
      <c r="M245" s="4"/>
      <c r="N245" s="6">
        <f ca="1">IFERROR(__xludf.DUMMYFUNCTION("""COMPUTED_VALUE"""),38)</f>
        <v>38</v>
      </c>
      <c r="O245" s="6">
        <f ca="1">IFERROR(__xludf.DUMMYFUNCTION("""COMPUTED_VALUE"""),39)</f>
        <v>39</v>
      </c>
      <c r="P245" s="4" t="str">
        <f ca="1">IFERROR(__xludf.DUMMYFUNCTION("""COMPUTED_VALUE"""),"")</f>
        <v/>
      </c>
      <c r="Q245" s="6">
        <f ca="1">IFERROR(__xludf.DUMMYFUNCTION("""COMPUTED_VALUE"""),769)</f>
        <v>769</v>
      </c>
      <c r="R245" s="4" t="str">
        <f ca="1">IFERROR(__xludf.DUMMYFUNCTION("""COMPUTED_VALUE"""),"")</f>
        <v/>
      </c>
      <c r="S245" s="6">
        <f ca="1">IFERROR(__xludf.DUMMYFUNCTION("""COMPUTED_VALUE"""),1865)</f>
        <v>1865</v>
      </c>
      <c r="T245" s="4"/>
      <c r="U245" s="4"/>
      <c r="V245" s="4"/>
      <c r="W245" s="4"/>
      <c r="X245" s="4"/>
      <c r="Y245" s="4"/>
      <c r="Z245" s="4"/>
      <c r="AA245" s="4"/>
      <c r="AB245" s="4"/>
    </row>
    <row r="246" spans="1:28" x14ac:dyDescent="0.2">
      <c r="A246" s="4" t="str">
        <f t="shared" si="0"/>
        <v/>
      </c>
      <c r="B246" s="4" t="str">
        <f t="shared" si="1"/>
        <v/>
      </c>
      <c r="C246" s="4"/>
      <c r="D246" s="4"/>
      <c r="E246" s="4"/>
      <c r="F246" s="4"/>
      <c r="G246" s="4"/>
      <c r="H246" s="4"/>
      <c r="I246" s="4"/>
      <c r="J246" s="4"/>
      <c r="K246" s="4"/>
      <c r="L246" s="4"/>
      <c r="M246" s="4"/>
      <c r="N246" s="6">
        <f ca="1">IFERROR(__xludf.DUMMYFUNCTION("""COMPUTED_VALUE"""),38)</f>
        <v>38</v>
      </c>
      <c r="O246" s="6">
        <f ca="1">IFERROR(__xludf.DUMMYFUNCTION("""COMPUTED_VALUE"""),39)</f>
        <v>39</v>
      </c>
      <c r="P246" s="4" t="str">
        <f ca="1">IFERROR(__xludf.DUMMYFUNCTION("""COMPUTED_VALUE"""),"")</f>
        <v/>
      </c>
      <c r="Q246" s="6">
        <f ca="1">IFERROR(__xludf.DUMMYFUNCTION("""COMPUTED_VALUE"""),769)</f>
        <v>769</v>
      </c>
      <c r="R246" s="4" t="str">
        <f ca="1">IFERROR(__xludf.DUMMYFUNCTION("""COMPUTED_VALUE"""),"")</f>
        <v/>
      </c>
      <c r="S246" s="6">
        <f ca="1">IFERROR(__xludf.DUMMYFUNCTION("""COMPUTED_VALUE"""),1865)</f>
        <v>1865</v>
      </c>
      <c r="T246" s="4"/>
      <c r="U246" s="4"/>
      <c r="V246" s="4"/>
      <c r="W246" s="4"/>
      <c r="X246" s="4"/>
      <c r="Y246" s="4"/>
      <c r="Z246" s="4"/>
      <c r="AA246" s="4"/>
      <c r="AB246" s="4"/>
    </row>
    <row r="247" spans="1:28" x14ac:dyDescent="0.2">
      <c r="A247" s="4" t="str">
        <f t="shared" si="0"/>
        <v/>
      </c>
      <c r="B247" s="4" t="str">
        <f t="shared" si="1"/>
        <v/>
      </c>
      <c r="C247" s="4"/>
      <c r="D247" s="4"/>
      <c r="E247" s="4"/>
      <c r="F247" s="4"/>
      <c r="G247" s="4"/>
      <c r="H247" s="4"/>
      <c r="I247" s="4"/>
      <c r="J247" s="4"/>
      <c r="K247" s="4"/>
      <c r="L247" s="4"/>
      <c r="M247" s="4"/>
      <c r="N247" s="6">
        <f ca="1">IFERROR(__xludf.DUMMYFUNCTION("""COMPUTED_VALUE"""),38)</f>
        <v>38</v>
      </c>
      <c r="O247" s="6">
        <f ca="1">IFERROR(__xludf.DUMMYFUNCTION("""COMPUTED_VALUE"""),39)</f>
        <v>39</v>
      </c>
      <c r="P247" s="4" t="str">
        <f ca="1">IFERROR(__xludf.DUMMYFUNCTION("""COMPUTED_VALUE"""),"")</f>
        <v/>
      </c>
      <c r="Q247" s="6">
        <f ca="1">IFERROR(__xludf.DUMMYFUNCTION("""COMPUTED_VALUE"""),769)</f>
        <v>769</v>
      </c>
      <c r="R247" s="4" t="str">
        <f ca="1">IFERROR(__xludf.DUMMYFUNCTION("""COMPUTED_VALUE"""),"")</f>
        <v/>
      </c>
      <c r="S247" s="6">
        <f ca="1">IFERROR(__xludf.DUMMYFUNCTION("""COMPUTED_VALUE"""),1865)</f>
        <v>1865</v>
      </c>
      <c r="T247" s="4"/>
      <c r="U247" s="4"/>
      <c r="V247" s="4"/>
      <c r="W247" s="4"/>
      <c r="X247" s="4"/>
      <c r="Y247" s="4"/>
      <c r="Z247" s="4"/>
      <c r="AA247" s="4"/>
      <c r="AB247" s="4"/>
    </row>
    <row r="248" spans="1:28" x14ac:dyDescent="0.2">
      <c r="A248" s="4" t="str">
        <f t="shared" si="0"/>
        <v/>
      </c>
      <c r="B248" s="4" t="str">
        <f t="shared" si="1"/>
        <v/>
      </c>
      <c r="C248" s="4"/>
      <c r="D248" s="4"/>
      <c r="E248" s="4"/>
      <c r="F248" s="4"/>
      <c r="G248" s="4"/>
      <c r="H248" s="4"/>
      <c r="I248" s="4"/>
      <c r="J248" s="4"/>
      <c r="K248" s="4"/>
      <c r="L248" s="4"/>
      <c r="M248" s="4"/>
      <c r="N248" s="6">
        <f ca="1">IFERROR(__xludf.DUMMYFUNCTION("""COMPUTED_VALUE"""),38)</f>
        <v>38</v>
      </c>
      <c r="O248" s="6">
        <f ca="1">IFERROR(__xludf.DUMMYFUNCTION("""COMPUTED_VALUE"""),39)</f>
        <v>39</v>
      </c>
      <c r="P248" s="4" t="str">
        <f ca="1">IFERROR(__xludf.DUMMYFUNCTION("""COMPUTED_VALUE"""),"")</f>
        <v/>
      </c>
      <c r="Q248" s="6">
        <f ca="1">IFERROR(__xludf.DUMMYFUNCTION("""COMPUTED_VALUE"""),769)</f>
        <v>769</v>
      </c>
      <c r="R248" s="4" t="str">
        <f ca="1">IFERROR(__xludf.DUMMYFUNCTION("""COMPUTED_VALUE"""),"")</f>
        <v/>
      </c>
      <c r="S248" s="6">
        <f ca="1">IFERROR(__xludf.DUMMYFUNCTION("""COMPUTED_VALUE"""),1865)</f>
        <v>1865</v>
      </c>
      <c r="T248" s="4"/>
      <c r="U248" s="4"/>
      <c r="V248" s="4"/>
      <c r="W248" s="4"/>
      <c r="X248" s="4"/>
      <c r="Y248" s="4"/>
      <c r="Z248" s="4"/>
      <c r="AA248" s="4"/>
      <c r="AB248" s="4"/>
    </row>
    <row r="249" spans="1:28" x14ac:dyDescent="0.2">
      <c r="A249" s="4" t="str">
        <f t="shared" si="0"/>
        <v/>
      </c>
      <c r="B249" s="4" t="str">
        <f t="shared" si="1"/>
        <v/>
      </c>
      <c r="C249" s="4"/>
      <c r="D249" s="4"/>
      <c r="E249" s="4"/>
      <c r="F249" s="4"/>
      <c r="G249" s="4"/>
      <c r="H249" s="4"/>
      <c r="I249" s="4"/>
      <c r="J249" s="4"/>
      <c r="K249" s="4"/>
      <c r="L249" s="4"/>
      <c r="M249" s="4"/>
      <c r="N249" s="6">
        <f ca="1">IFERROR(__xludf.DUMMYFUNCTION("""COMPUTED_VALUE"""),38)</f>
        <v>38</v>
      </c>
      <c r="O249" s="6">
        <f ca="1">IFERROR(__xludf.DUMMYFUNCTION("""COMPUTED_VALUE"""),39)</f>
        <v>39</v>
      </c>
      <c r="P249" s="4" t="str">
        <f ca="1">IFERROR(__xludf.DUMMYFUNCTION("""COMPUTED_VALUE"""),"")</f>
        <v/>
      </c>
      <c r="Q249" s="6">
        <f ca="1">IFERROR(__xludf.DUMMYFUNCTION("""COMPUTED_VALUE"""),769)</f>
        <v>769</v>
      </c>
      <c r="R249" s="4" t="str">
        <f ca="1">IFERROR(__xludf.DUMMYFUNCTION("""COMPUTED_VALUE"""),"")</f>
        <v/>
      </c>
      <c r="S249" s="6">
        <f ca="1">IFERROR(__xludf.DUMMYFUNCTION("""COMPUTED_VALUE"""),1865)</f>
        <v>1865</v>
      </c>
      <c r="T249" s="4"/>
      <c r="U249" s="4"/>
      <c r="V249" s="4"/>
      <c r="W249" s="4"/>
      <c r="X249" s="4"/>
      <c r="Y249" s="4"/>
      <c r="Z249" s="4"/>
      <c r="AA249" s="4"/>
      <c r="AB249" s="4"/>
    </row>
    <row r="250" spans="1:28" x14ac:dyDescent="0.2">
      <c r="A250" s="4" t="str">
        <f t="shared" si="0"/>
        <v/>
      </c>
      <c r="B250" s="4" t="str">
        <f t="shared" si="1"/>
        <v/>
      </c>
      <c r="C250" s="4"/>
      <c r="D250" s="4"/>
      <c r="E250" s="4"/>
      <c r="F250" s="4"/>
      <c r="G250" s="4"/>
      <c r="H250" s="4"/>
      <c r="I250" s="4"/>
      <c r="J250" s="4"/>
      <c r="K250" s="4"/>
      <c r="L250" s="4"/>
      <c r="M250" s="4"/>
      <c r="N250" s="6">
        <f ca="1">IFERROR(__xludf.DUMMYFUNCTION("""COMPUTED_VALUE"""),38)</f>
        <v>38</v>
      </c>
      <c r="O250" s="6">
        <f ca="1">IFERROR(__xludf.DUMMYFUNCTION("""COMPUTED_VALUE"""),39)</f>
        <v>39</v>
      </c>
      <c r="P250" s="4" t="str">
        <f ca="1">IFERROR(__xludf.DUMMYFUNCTION("""COMPUTED_VALUE"""),"")</f>
        <v/>
      </c>
      <c r="Q250" s="6">
        <f ca="1">IFERROR(__xludf.DUMMYFUNCTION("""COMPUTED_VALUE"""),769)</f>
        <v>769</v>
      </c>
      <c r="R250" s="4" t="str">
        <f ca="1">IFERROR(__xludf.DUMMYFUNCTION("""COMPUTED_VALUE"""),"")</f>
        <v/>
      </c>
      <c r="S250" s="6">
        <f ca="1">IFERROR(__xludf.DUMMYFUNCTION("""COMPUTED_VALUE"""),1865)</f>
        <v>1865</v>
      </c>
      <c r="T250" s="4"/>
      <c r="U250" s="4"/>
      <c r="V250" s="4"/>
      <c r="W250" s="4"/>
      <c r="X250" s="4"/>
      <c r="Y250" s="4"/>
      <c r="Z250" s="4"/>
      <c r="AA250" s="4"/>
      <c r="AB250" s="4"/>
    </row>
    <row r="251" spans="1:28" x14ac:dyDescent="0.2">
      <c r="A251" s="4" t="str">
        <f t="shared" si="0"/>
        <v/>
      </c>
      <c r="B251" s="4" t="str">
        <f t="shared" si="1"/>
        <v/>
      </c>
      <c r="C251" s="4"/>
      <c r="D251" s="4"/>
      <c r="E251" s="4"/>
      <c r="F251" s="4"/>
      <c r="G251" s="4"/>
      <c r="H251" s="4"/>
      <c r="I251" s="4"/>
      <c r="J251" s="4"/>
      <c r="K251" s="4"/>
      <c r="L251" s="4"/>
      <c r="M251" s="4"/>
      <c r="N251" s="6">
        <f ca="1">IFERROR(__xludf.DUMMYFUNCTION("""COMPUTED_VALUE"""),38)</f>
        <v>38</v>
      </c>
      <c r="O251" s="6">
        <f ca="1">IFERROR(__xludf.DUMMYFUNCTION("""COMPUTED_VALUE"""),39)</f>
        <v>39</v>
      </c>
      <c r="P251" s="4" t="str">
        <f ca="1">IFERROR(__xludf.DUMMYFUNCTION("""COMPUTED_VALUE"""),"")</f>
        <v/>
      </c>
      <c r="Q251" s="6">
        <f ca="1">IFERROR(__xludf.DUMMYFUNCTION("""COMPUTED_VALUE"""),769)</f>
        <v>769</v>
      </c>
      <c r="R251" s="4" t="str">
        <f ca="1">IFERROR(__xludf.DUMMYFUNCTION("""COMPUTED_VALUE"""),"")</f>
        <v/>
      </c>
      <c r="S251" s="6">
        <f ca="1">IFERROR(__xludf.DUMMYFUNCTION("""COMPUTED_VALUE"""),1865)</f>
        <v>1865</v>
      </c>
      <c r="T251" s="4"/>
      <c r="U251" s="4"/>
      <c r="V251" s="4"/>
      <c r="W251" s="4"/>
      <c r="X251" s="4"/>
      <c r="Y251" s="4"/>
      <c r="Z251" s="4"/>
      <c r="AA251" s="4"/>
      <c r="AB251" s="4"/>
    </row>
    <row r="252" spans="1:28" x14ac:dyDescent="0.2">
      <c r="A252" s="4" t="str">
        <f t="shared" si="0"/>
        <v/>
      </c>
      <c r="B252" s="4" t="str">
        <f t="shared" si="1"/>
        <v/>
      </c>
      <c r="C252" s="4"/>
      <c r="D252" s="4"/>
      <c r="E252" s="4"/>
      <c r="F252" s="4"/>
      <c r="G252" s="4"/>
      <c r="H252" s="4"/>
      <c r="I252" s="4"/>
      <c r="J252" s="4"/>
      <c r="K252" s="4"/>
      <c r="L252" s="4"/>
      <c r="M252" s="4"/>
      <c r="N252" s="6">
        <f ca="1">IFERROR(__xludf.DUMMYFUNCTION("""COMPUTED_VALUE"""),38)</f>
        <v>38</v>
      </c>
      <c r="O252" s="6">
        <f ca="1">IFERROR(__xludf.DUMMYFUNCTION("""COMPUTED_VALUE"""),39)</f>
        <v>39</v>
      </c>
      <c r="P252" s="4" t="str">
        <f ca="1">IFERROR(__xludf.DUMMYFUNCTION("""COMPUTED_VALUE"""),"")</f>
        <v/>
      </c>
      <c r="Q252" s="6">
        <f ca="1">IFERROR(__xludf.DUMMYFUNCTION("""COMPUTED_VALUE"""),769)</f>
        <v>769</v>
      </c>
      <c r="R252" s="4" t="str">
        <f ca="1">IFERROR(__xludf.DUMMYFUNCTION("""COMPUTED_VALUE"""),"")</f>
        <v/>
      </c>
      <c r="S252" s="6">
        <f ca="1">IFERROR(__xludf.DUMMYFUNCTION("""COMPUTED_VALUE"""),1865)</f>
        <v>1865</v>
      </c>
      <c r="T252" s="4"/>
      <c r="U252" s="4"/>
      <c r="V252" s="4"/>
      <c r="W252" s="4"/>
      <c r="X252" s="4"/>
      <c r="Y252" s="4"/>
      <c r="Z252" s="4"/>
      <c r="AA252" s="4"/>
      <c r="AB252" s="4"/>
    </row>
    <row r="253" spans="1:28" x14ac:dyDescent="0.2">
      <c r="A253" s="4" t="str">
        <f t="shared" si="0"/>
        <v/>
      </c>
      <c r="B253" s="4" t="str">
        <f t="shared" si="1"/>
        <v/>
      </c>
      <c r="C253" s="4"/>
      <c r="D253" s="4"/>
      <c r="E253" s="4"/>
      <c r="F253" s="4"/>
      <c r="G253" s="4"/>
      <c r="H253" s="4"/>
      <c r="I253" s="4"/>
      <c r="J253" s="4"/>
      <c r="K253" s="4"/>
      <c r="L253" s="4"/>
      <c r="M253" s="4"/>
      <c r="N253" s="6">
        <f ca="1">IFERROR(__xludf.DUMMYFUNCTION("""COMPUTED_VALUE"""),38)</f>
        <v>38</v>
      </c>
      <c r="O253" s="6">
        <f ca="1">IFERROR(__xludf.DUMMYFUNCTION("""COMPUTED_VALUE"""),39)</f>
        <v>39</v>
      </c>
      <c r="P253" s="4" t="str">
        <f ca="1">IFERROR(__xludf.DUMMYFUNCTION("""COMPUTED_VALUE"""),"")</f>
        <v/>
      </c>
      <c r="Q253" s="6">
        <f ca="1">IFERROR(__xludf.DUMMYFUNCTION("""COMPUTED_VALUE"""),769)</f>
        <v>769</v>
      </c>
      <c r="R253" s="4" t="str">
        <f ca="1">IFERROR(__xludf.DUMMYFUNCTION("""COMPUTED_VALUE"""),"")</f>
        <v/>
      </c>
      <c r="S253" s="6">
        <f ca="1">IFERROR(__xludf.DUMMYFUNCTION("""COMPUTED_VALUE"""),1865)</f>
        <v>1865</v>
      </c>
      <c r="T253" s="4"/>
      <c r="U253" s="4"/>
      <c r="V253" s="4"/>
      <c r="W253" s="4"/>
      <c r="X253" s="4"/>
      <c r="Y253" s="4"/>
      <c r="Z253" s="4"/>
      <c r="AA253" s="4"/>
      <c r="AB253" s="4"/>
    </row>
    <row r="254" spans="1:28" x14ac:dyDescent="0.2">
      <c r="A254" s="4" t="str">
        <f t="shared" si="0"/>
        <v/>
      </c>
      <c r="B254" s="4" t="str">
        <f t="shared" si="1"/>
        <v/>
      </c>
      <c r="C254" s="4"/>
      <c r="D254" s="4"/>
      <c r="E254" s="4"/>
      <c r="F254" s="4"/>
      <c r="G254" s="4"/>
      <c r="H254" s="4"/>
      <c r="I254" s="4"/>
      <c r="J254" s="4"/>
      <c r="K254" s="4"/>
      <c r="L254" s="4"/>
      <c r="M254" s="4"/>
      <c r="N254" s="6">
        <f ca="1">IFERROR(__xludf.DUMMYFUNCTION("""COMPUTED_VALUE"""),38)</f>
        <v>38</v>
      </c>
      <c r="O254" s="6">
        <f ca="1">IFERROR(__xludf.DUMMYFUNCTION("""COMPUTED_VALUE"""),39)</f>
        <v>39</v>
      </c>
      <c r="P254" s="4" t="str">
        <f ca="1">IFERROR(__xludf.DUMMYFUNCTION("""COMPUTED_VALUE"""),"")</f>
        <v/>
      </c>
      <c r="Q254" s="6">
        <f ca="1">IFERROR(__xludf.DUMMYFUNCTION("""COMPUTED_VALUE"""),769)</f>
        <v>769</v>
      </c>
      <c r="R254" s="4" t="str">
        <f ca="1">IFERROR(__xludf.DUMMYFUNCTION("""COMPUTED_VALUE"""),"")</f>
        <v/>
      </c>
      <c r="S254" s="6">
        <f ca="1">IFERROR(__xludf.DUMMYFUNCTION("""COMPUTED_VALUE"""),1865)</f>
        <v>1865</v>
      </c>
      <c r="T254" s="4"/>
      <c r="U254" s="4"/>
      <c r="V254" s="4"/>
      <c r="W254" s="4"/>
      <c r="X254" s="4"/>
      <c r="Y254" s="4"/>
      <c r="Z254" s="4"/>
      <c r="AA254" s="4"/>
      <c r="AB254" s="4"/>
    </row>
    <row r="255" spans="1:28" x14ac:dyDescent="0.2">
      <c r="A255" s="4" t="str">
        <f t="shared" si="0"/>
        <v/>
      </c>
      <c r="B255" s="4" t="str">
        <f t="shared" si="1"/>
        <v/>
      </c>
      <c r="C255" s="4"/>
      <c r="D255" s="4"/>
      <c r="E255" s="4"/>
      <c r="F255" s="4"/>
      <c r="G255" s="4"/>
      <c r="H255" s="4"/>
      <c r="I255" s="4"/>
      <c r="J255" s="4"/>
      <c r="K255" s="4"/>
      <c r="L255" s="4"/>
      <c r="M255" s="4"/>
      <c r="N255" s="6">
        <f ca="1">IFERROR(__xludf.DUMMYFUNCTION("""COMPUTED_VALUE"""),38)</f>
        <v>38</v>
      </c>
      <c r="O255" s="6">
        <f ca="1">IFERROR(__xludf.DUMMYFUNCTION("""COMPUTED_VALUE"""),39)</f>
        <v>39</v>
      </c>
      <c r="P255" s="4" t="str">
        <f ca="1">IFERROR(__xludf.DUMMYFUNCTION("""COMPUTED_VALUE"""),"")</f>
        <v/>
      </c>
      <c r="Q255" s="6">
        <f ca="1">IFERROR(__xludf.DUMMYFUNCTION("""COMPUTED_VALUE"""),769)</f>
        <v>769</v>
      </c>
      <c r="R255" s="4" t="str">
        <f ca="1">IFERROR(__xludf.DUMMYFUNCTION("""COMPUTED_VALUE"""),"")</f>
        <v/>
      </c>
      <c r="S255" s="6">
        <f ca="1">IFERROR(__xludf.DUMMYFUNCTION("""COMPUTED_VALUE"""),1865)</f>
        <v>1865</v>
      </c>
      <c r="T255" s="4"/>
      <c r="U255" s="4"/>
      <c r="V255" s="4"/>
      <c r="W255" s="4"/>
      <c r="X255" s="4"/>
      <c r="Y255" s="4"/>
      <c r="Z255" s="4"/>
      <c r="AA255" s="4"/>
      <c r="AB255" s="4"/>
    </row>
    <row r="256" spans="1:28" x14ac:dyDescent="0.2">
      <c r="A256" s="4" t="str">
        <f t="shared" si="0"/>
        <v/>
      </c>
      <c r="B256" s="4" t="str">
        <f t="shared" si="1"/>
        <v/>
      </c>
      <c r="C256" s="4"/>
      <c r="D256" s="4"/>
      <c r="E256" s="4"/>
      <c r="F256" s="4"/>
      <c r="G256" s="4"/>
      <c r="H256" s="4"/>
      <c r="I256" s="4"/>
      <c r="J256" s="4"/>
      <c r="K256" s="4"/>
      <c r="L256" s="4"/>
      <c r="M256" s="4"/>
      <c r="N256" s="6">
        <f ca="1">IFERROR(__xludf.DUMMYFUNCTION("""COMPUTED_VALUE"""),38)</f>
        <v>38</v>
      </c>
      <c r="O256" s="6">
        <f ca="1">IFERROR(__xludf.DUMMYFUNCTION("""COMPUTED_VALUE"""),39)</f>
        <v>39</v>
      </c>
      <c r="P256" s="4" t="str">
        <f ca="1">IFERROR(__xludf.DUMMYFUNCTION("""COMPUTED_VALUE"""),"")</f>
        <v/>
      </c>
      <c r="Q256" s="6">
        <f ca="1">IFERROR(__xludf.DUMMYFUNCTION("""COMPUTED_VALUE"""),769)</f>
        <v>769</v>
      </c>
      <c r="R256" s="4" t="str">
        <f ca="1">IFERROR(__xludf.DUMMYFUNCTION("""COMPUTED_VALUE"""),"")</f>
        <v/>
      </c>
      <c r="S256" s="6">
        <f ca="1">IFERROR(__xludf.DUMMYFUNCTION("""COMPUTED_VALUE"""),1865)</f>
        <v>1865</v>
      </c>
      <c r="T256" s="4"/>
      <c r="U256" s="4"/>
      <c r="V256" s="4"/>
      <c r="W256" s="4"/>
      <c r="X256" s="4"/>
      <c r="Y256" s="4"/>
      <c r="Z256" s="4"/>
      <c r="AA256" s="4"/>
      <c r="AB256" s="4"/>
    </row>
    <row r="257" spans="1:28" x14ac:dyDescent="0.2">
      <c r="A257" s="4" t="str">
        <f t="shared" ref="A257:A497" si="2">LEFT(D257,22)</f>
        <v/>
      </c>
      <c r="B257" s="4" t="str">
        <f t="shared" ref="B257:B497" si="3">RIGHT(D257,13)</f>
        <v/>
      </c>
      <c r="C257" s="4"/>
      <c r="D257" s="4"/>
      <c r="E257" s="4"/>
      <c r="F257" s="4"/>
      <c r="G257" s="4"/>
      <c r="H257" s="4"/>
      <c r="I257" s="4"/>
      <c r="J257" s="4"/>
      <c r="K257" s="4"/>
      <c r="L257" s="4"/>
      <c r="M257" s="4"/>
      <c r="N257" s="6">
        <f ca="1">IFERROR(__xludf.DUMMYFUNCTION("""COMPUTED_VALUE"""),38)</f>
        <v>38</v>
      </c>
      <c r="O257" s="6">
        <f ca="1">IFERROR(__xludf.DUMMYFUNCTION("""COMPUTED_VALUE"""),39)</f>
        <v>39</v>
      </c>
      <c r="P257" s="4" t="str">
        <f ca="1">IFERROR(__xludf.DUMMYFUNCTION("""COMPUTED_VALUE"""),"")</f>
        <v/>
      </c>
      <c r="Q257" s="6">
        <f ca="1">IFERROR(__xludf.DUMMYFUNCTION("""COMPUTED_VALUE"""),769)</f>
        <v>769</v>
      </c>
      <c r="R257" s="4" t="str">
        <f ca="1">IFERROR(__xludf.DUMMYFUNCTION("""COMPUTED_VALUE"""),"")</f>
        <v/>
      </c>
      <c r="S257" s="6">
        <f ca="1">IFERROR(__xludf.DUMMYFUNCTION("""COMPUTED_VALUE"""),1865)</f>
        <v>1865</v>
      </c>
      <c r="T257" s="4"/>
      <c r="U257" s="4"/>
      <c r="V257" s="4"/>
      <c r="W257" s="4"/>
      <c r="X257" s="4"/>
      <c r="Y257" s="4"/>
      <c r="Z257" s="4"/>
      <c r="AA257" s="4"/>
      <c r="AB257" s="4"/>
    </row>
    <row r="258" spans="1:28" x14ac:dyDescent="0.2">
      <c r="A258" s="4" t="str">
        <f t="shared" si="2"/>
        <v/>
      </c>
      <c r="B258" s="4" t="str">
        <f t="shared" si="3"/>
        <v/>
      </c>
      <c r="C258" s="4"/>
      <c r="D258" s="4"/>
      <c r="E258" s="4"/>
      <c r="F258" s="4"/>
      <c r="G258" s="4"/>
      <c r="H258" s="4"/>
      <c r="I258" s="4"/>
      <c r="J258" s="4"/>
      <c r="K258" s="4"/>
      <c r="L258" s="4"/>
      <c r="M258" s="4"/>
      <c r="N258" s="6">
        <f ca="1">IFERROR(__xludf.DUMMYFUNCTION("""COMPUTED_VALUE"""),38)</f>
        <v>38</v>
      </c>
      <c r="O258" s="6">
        <f ca="1">IFERROR(__xludf.DUMMYFUNCTION("""COMPUTED_VALUE"""),39)</f>
        <v>39</v>
      </c>
      <c r="P258" s="4" t="str">
        <f ca="1">IFERROR(__xludf.DUMMYFUNCTION("""COMPUTED_VALUE"""),"")</f>
        <v/>
      </c>
      <c r="Q258" s="6">
        <f ca="1">IFERROR(__xludf.DUMMYFUNCTION("""COMPUTED_VALUE"""),769)</f>
        <v>769</v>
      </c>
      <c r="R258" s="4" t="str">
        <f ca="1">IFERROR(__xludf.DUMMYFUNCTION("""COMPUTED_VALUE"""),"")</f>
        <v/>
      </c>
      <c r="S258" s="6">
        <f ca="1">IFERROR(__xludf.DUMMYFUNCTION("""COMPUTED_VALUE"""),1865)</f>
        <v>1865</v>
      </c>
      <c r="T258" s="4"/>
      <c r="U258" s="4"/>
      <c r="V258" s="4"/>
      <c r="W258" s="4"/>
      <c r="X258" s="4"/>
      <c r="Y258" s="4"/>
      <c r="Z258" s="4"/>
      <c r="AA258" s="4"/>
      <c r="AB258" s="4"/>
    </row>
    <row r="259" spans="1:28" x14ac:dyDescent="0.2">
      <c r="A259" s="4" t="str">
        <f t="shared" si="2"/>
        <v/>
      </c>
      <c r="B259" s="4" t="str">
        <f t="shared" si="3"/>
        <v/>
      </c>
      <c r="C259" s="4"/>
      <c r="D259" s="4"/>
      <c r="E259" s="4"/>
      <c r="F259" s="4"/>
      <c r="G259" s="4"/>
      <c r="H259" s="4"/>
      <c r="I259" s="4"/>
      <c r="J259" s="4"/>
      <c r="K259" s="4"/>
      <c r="L259" s="4"/>
      <c r="M259" s="4"/>
      <c r="N259" s="6">
        <f ca="1">IFERROR(__xludf.DUMMYFUNCTION("""COMPUTED_VALUE"""),38)</f>
        <v>38</v>
      </c>
      <c r="O259" s="6">
        <f ca="1">IFERROR(__xludf.DUMMYFUNCTION("""COMPUTED_VALUE"""),39)</f>
        <v>39</v>
      </c>
      <c r="P259" s="4" t="str">
        <f ca="1">IFERROR(__xludf.DUMMYFUNCTION("""COMPUTED_VALUE"""),"")</f>
        <v/>
      </c>
      <c r="Q259" s="6">
        <f ca="1">IFERROR(__xludf.DUMMYFUNCTION("""COMPUTED_VALUE"""),769)</f>
        <v>769</v>
      </c>
      <c r="R259" s="4" t="str">
        <f ca="1">IFERROR(__xludf.DUMMYFUNCTION("""COMPUTED_VALUE"""),"")</f>
        <v/>
      </c>
      <c r="S259" s="6">
        <f ca="1">IFERROR(__xludf.DUMMYFUNCTION("""COMPUTED_VALUE"""),1865)</f>
        <v>1865</v>
      </c>
      <c r="T259" s="4"/>
      <c r="U259" s="4"/>
      <c r="V259" s="4"/>
      <c r="W259" s="4"/>
      <c r="X259" s="4"/>
      <c r="Y259" s="4"/>
      <c r="Z259" s="4"/>
      <c r="AA259" s="4"/>
      <c r="AB259" s="4"/>
    </row>
    <row r="260" spans="1:28" x14ac:dyDescent="0.2">
      <c r="A260" s="4" t="str">
        <f t="shared" si="2"/>
        <v/>
      </c>
      <c r="B260" s="4" t="str">
        <f t="shared" si="3"/>
        <v/>
      </c>
      <c r="C260" s="4"/>
      <c r="D260" s="4"/>
      <c r="E260" s="4"/>
      <c r="F260" s="4"/>
      <c r="G260" s="4"/>
      <c r="H260" s="4"/>
      <c r="I260" s="4"/>
      <c r="J260" s="4"/>
      <c r="K260" s="4"/>
      <c r="L260" s="4"/>
      <c r="M260" s="4"/>
      <c r="N260" s="6">
        <f ca="1">IFERROR(__xludf.DUMMYFUNCTION("""COMPUTED_VALUE"""),38)</f>
        <v>38</v>
      </c>
      <c r="O260" s="6">
        <f ca="1">IFERROR(__xludf.DUMMYFUNCTION("""COMPUTED_VALUE"""),39)</f>
        <v>39</v>
      </c>
      <c r="P260" s="4" t="str">
        <f ca="1">IFERROR(__xludf.DUMMYFUNCTION("""COMPUTED_VALUE"""),"")</f>
        <v/>
      </c>
      <c r="Q260" s="6">
        <f ca="1">IFERROR(__xludf.DUMMYFUNCTION("""COMPUTED_VALUE"""),769)</f>
        <v>769</v>
      </c>
      <c r="R260" s="4" t="str">
        <f ca="1">IFERROR(__xludf.DUMMYFUNCTION("""COMPUTED_VALUE"""),"")</f>
        <v/>
      </c>
      <c r="S260" s="6">
        <f ca="1">IFERROR(__xludf.DUMMYFUNCTION("""COMPUTED_VALUE"""),1865)</f>
        <v>1865</v>
      </c>
      <c r="T260" s="4"/>
      <c r="U260" s="4"/>
      <c r="V260" s="4"/>
      <c r="W260" s="4"/>
      <c r="X260" s="4"/>
      <c r="Y260" s="4"/>
      <c r="Z260" s="4"/>
      <c r="AA260" s="4"/>
      <c r="AB260" s="4"/>
    </row>
    <row r="261" spans="1:28" x14ac:dyDescent="0.2">
      <c r="A261" s="4" t="str">
        <f t="shared" si="2"/>
        <v/>
      </c>
      <c r="B261" s="4" t="str">
        <f t="shared" si="3"/>
        <v/>
      </c>
      <c r="C261" s="4"/>
      <c r="D261" s="4"/>
      <c r="E261" s="4"/>
      <c r="F261" s="4"/>
      <c r="G261" s="4"/>
      <c r="H261" s="4"/>
      <c r="I261" s="4"/>
      <c r="J261" s="4"/>
      <c r="K261" s="4"/>
      <c r="L261" s="4"/>
      <c r="M261" s="4"/>
      <c r="N261" s="6">
        <f ca="1">IFERROR(__xludf.DUMMYFUNCTION("""COMPUTED_VALUE"""),38)</f>
        <v>38</v>
      </c>
      <c r="O261" s="6">
        <f ca="1">IFERROR(__xludf.DUMMYFUNCTION("""COMPUTED_VALUE"""),39)</f>
        <v>39</v>
      </c>
      <c r="P261" s="4" t="str">
        <f ca="1">IFERROR(__xludf.DUMMYFUNCTION("""COMPUTED_VALUE"""),"")</f>
        <v/>
      </c>
      <c r="Q261" s="6">
        <f ca="1">IFERROR(__xludf.DUMMYFUNCTION("""COMPUTED_VALUE"""),769)</f>
        <v>769</v>
      </c>
      <c r="R261" s="4" t="str">
        <f ca="1">IFERROR(__xludf.DUMMYFUNCTION("""COMPUTED_VALUE"""),"")</f>
        <v/>
      </c>
      <c r="S261" s="6">
        <f ca="1">IFERROR(__xludf.DUMMYFUNCTION("""COMPUTED_VALUE"""),1865)</f>
        <v>1865</v>
      </c>
      <c r="T261" s="4"/>
      <c r="U261" s="4"/>
      <c r="V261" s="4"/>
      <c r="W261" s="4"/>
      <c r="X261" s="4"/>
      <c r="Y261" s="4"/>
      <c r="Z261" s="4"/>
      <c r="AA261" s="4"/>
      <c r="AB261" s="4"/>
    </row>
    <row r="262" spans="1:28" x14ac:dyDescent="0.2">
      <c r="A262" s="4" t="str">
        <f t="shared" si="2"/>
        <v/>
      </c>
      <c r="B262" s="4" t="str">
        <f t="shared" si="3"/>
        <v/>
      </c>
      <c r="C262" s="4"/>
      <c r="D262" s="4"/>
      <c r="E262" s="4"/>
      <c r="F262" s="4"/>
      <c r="G262" s="4"/>
      <c r="H262" s="4"/>
      <c r="I262" s="4"/>
      <c r="J262" s="4"/>
      <c r="K262" s="4"/>
      <c r="L262" s="4"/>
      <c r="M262" s="4"/>
      <c r="N262" s="6">
        <f ca="1">IFERROR(__xludf.DUMMYFUNCTION("""COMPUTED_VALUE"""),38)</f>
        <v>38</v>
      </c>
      <c r="O262" s="6">
        <f ca="1">IFERROR(__xludf.DUMMYFUNCTION("""COMPUTED_VALUE"""),39)</f>
        <v>39</v>
      </c>
      <c r="P262" s="4" t="str">
        <f ca="1">IFERROR(__xludf.DUMMYFUNCTION("""COMPUTED_VALUE"""),"")</f>
        <v/>
      </c>
      <c r="Q262" s="6">
        <f ca="1">IFERROR(__xludf.DUMMYFUNCTION("""COMPUTED_VALUE"""),769)</f>
        <v>769</v>
      </c>
      <c r="R262" s="4" t="str">
        <f ca="1">IFERROR(__xludf.DUMMYFUNCTION("""COMPUTED_VALUE"""),"")</f>
        <v/>
      </c>
      <c r="S262" s="6">
        <f ca="1">IFERROR(__xludf.DUMMYFUNCTION("""COMPUTED_VALUE"""),1865)</f>
        <v>1865</v>
      </c>
      <c r="T262" s="4"/>
      <c r="U262" s="4"/>
      <c r="V262" s="4"/>
      <c r="W262" s="4"/>
      <c r="X262" s="4"/>
      <c r="Y262" s="4"/>
      <c r="Z262" s="4"/>
      <c r="AA262" s="4"/>
      <c r="AB262" s="4"/>
    </row>
    <row r="263" spans="1:28" x14ac:dyDescent="0.2">
      <c r="A263" s="4" t="str">
        <f t="shared" si="2"/>
        <v/>
      </c>
      <c r="B263" s="4" t="str">
        <f t="shared" si="3"/>
        <v/>
      </c>
      <c r="C263" s="4"/>
      <c r="D263" s="4"/>
      <c r="E263" s="4"/>
      <c r="F263" s="4"/>
      <c r="G263" s="4"/>
      <c r="H263" s="4"/>
      <c r="I263" s="4"/>
      <c r="J263" s="4"/>
      <c r="K263" s="4"/>
      <c r="L263" s="4"/>
      <c r="M263" s="4"/>
      <c r="N263" s="6">
        <f ca="1">IFERROR(__xludf.DUMMYFUNCTION("""COMPUTED_VALUE"""),38)</f>
        <v>38</v>
      </c>
      <c r="O263" s="6">
        <f ca="1">IFERROR(__xludf.DUMMYFUNCTION("""COMPUTED_VALUE"""),39)</f>
        <v>39</v>
      </c>
      <c r="P263" s="4" t="str">
        <f ca="1">IFERROR(__xludf.DUMMYFUNCTION("""COMPUTED_VALUE"""),"")</f>
        <v/>
      </c>
      <c r="Q263" s="6">
        <f ca="1">IFERROR(__xludf.DUMMYFUNCTION("""COMPUTED_VALUE"""),769)</f>
        <v>769</v>
      </c>
      <c r="R263" s="4" t="str">
        <f ca="1">IFERROR(__xludf.DUMMYFUNCTION("""COMPUTED_VALUE"""),"")</f>
        <v/>
      </c>
      <c r="S263" s="6">
        <f ca="1">IFERROR(__xludf.DUMMYFUNCTION("""COMPUTED_VALUE"""),1865)</f>
        <v>1865</v>
      </c>
      <c r="T263" s="4"/>
      <c r="U263" s="4"/>
      <c r="V263" s="4"/>
      <c r="W263" s="4"/>
      <c r="X263" s="4"/>
      <c r="Y263" s="4"/>
      <c r="Z263" s="4"/>
      <c r="AA263" s="4"/>
      <c r="AB263" s="4"/>
    </row>
    <row r="264" spans="1:28" x14ac:dyDescent="0.2">
      <c r="A264" s="4" t="str">
        <f t="shared" si="2"/>
        <v/>
      </c>
      <c r="B264" s="4" t="str">
        <f t="shared" si="3"/>
        <v/>
      </c>
      <c r="C264" s="4"/>
      <c r="D264" s="4"/>
      <c r="E264" s="4"/>
      <c r="F264" s="4"/>
      <c r="G264" s="4"/>
      <c r="H264" s="4"/>
      <c r="I264" s="4"/>
      <c r="J264" s="4"/>
      <c r="K264" s="4"/>
      <c r="L264" s="4"/>
      <c r="M264" s="4"/>
      <c r="N264" s="6">
        <f ca="1">IFERROR(__xludf.DUMMYFUNCTION("""COMPUTED_VALUE"""),38)</f>
        <v>38</v>
      </c>
      <c r="O264" s="6">
        <f ca="1">IFERROR(__xludf.DUMMYFUNCTION("""COMPUTED_VALUE"""),39)</f>
        <v>39</v>
      </c>
      <c r="P264" s="4" t="str">
        <f ca="1">IFERROR(__xludf.DUMMYFUNCTION("""COMPUTED_VALUE"""),"")</f>
        <v/>
      </c>
      <c r="Q264" s="6">
        <f ca="1">IFERROR(__xludf.DUMMYFUNCTION("""COMPUTED_VALUE"""),769)</f>
        <v>769</v>
      </c>
      <c r="R264" s="4" t="str">
        <f ca="1">IFERROR(__xludf.DUMMYFUNCTION("""COMPUTED_VALUE"""),"")</f>
        <v/>
      </c>
      <c r="S264" s="6">
        <f ca="1">IFERROR(__xludf.DUMMYFUNCTION("""COMPUTED_VALUE"""),1865)</f>
        <v>1865</v>
      </c>
      <c r="T264" s="4"/>
      <c r="U264" s="4"/>
      <c r="V264" s="4"/>
      <c r="W264" s="4"/>
      <c r="X264" s="4"/>
      <c r="Y264" s="4"/>
      <c r="Z264" s="4"/>
      <c r="AA264" s="4"/>
      <c r="AB264" s="4"/>
    </row>
    <row r="265" spans="1:28" x14ac:dyDescent="0.2">
      <c r="A265" s="4" t="str">
        <f t="shared" si="2"/>
        <v/>
      </c>
      <c r="B265" s="4" t="str">
        <f t="shared" si="3"/>
        <v/>
      </c>
      <c r="C265" s="4"/>
      <c r="D265" s="4"/>
      <c r="E265" s="4"/>
      <c r="F265" s="4"/>
      <c r="G265" s="4"/>
      <c r="H265" s="4"/>
      <c r="I265" s="4"/>
      <c r="J265" s="4"/>
      <c r="K265" s="4"/>
      <c r="L265" s="4"/>
      <c r="M265" s="4"/>
      <c r="N265" s="6">
        <f ca="1">IFERROR(__xludf.DUMMYFUNCTION("""COMPUTED_VALUE"""),38)</f>
        <v>38</v>
      </c>
      <c r="O265" s="6">
        <f ca="1">IFERROR(__xludf.DUMMYFUNCTION("""COMPUTED_VALUE"""),39)</f>
        <v>39</v>
      </c>
      <c r="P265" s="4" t="str">
        <f ca="1">IFERROR(__xludf.DUMMYFUNCTION("""COMPUTED_VALUE"""),"")</f>
        <v/>
      </c>
      <c r="Q265" s="6">
        <f ca="1">IFERROR(__xludf.DUMMYFUNCTION("""COMPUTED_VALUE"""),769)</f>
        <v>769</v>
      </c>
      <c r="R265" s="4" t="str">
        <f ca="1">IFERROR(__xludf.DUMMYFUNCTION("""COMPUTED_VALUE"""),"")</f>
        <v/>
      </c>
      <c r="S265" s="6">
        <f ca="1">IFERROR(__xludf.DUMMYFUNCTION("""COMPUTED_VALUE"""),1865)</f>
        <v>1865</v>
      </c>
      <c r="T265" s="4"/>
      <c r="U265" s="4"/>
      <c r="V265" s="4"/>
      <c r="W265" s="4"/>
      <c r="X265" s="4"/>
      <c r="Y265" s="4"/>
      <c r="Z265" s="4"/>
      <c r="AA265" s="4"/>
      <c r="AB265" s="4"/>
    </row>
    <row r="266" spans="1:28" x14ac:dyDescent="0.2">
      <c r="A266" s="4" t="str">
        <f t="shared" si="2"/>
        <v/>
      </c>
      <c r="B266" s="4" t="str">
        <f t="shared" si="3"/>
        <v/>
      </c>
      <c r="C266" s="4"/>
      <c r="D266" s="4"/>
      <c r="E266" s="4"/>
      <c r="F266" s="4"/>
      <c r="G266" s="4"/>
      <c r="H266" s="4"/>
      <c r="I266" s="4"/>
      <c r="J266" s="4"/>
      <c r="K266" s="4"/>
      <c r="L266" s="4"/>
      <c r="M266" s="4"/>
      <c r="N266" s="6">
        <f ca="1">IFERROR(__xludf.DUMMYFUNCTION("""COMPUTED_VALUE"""),38)</f>
        <v>38</v>
      </c>
      <c r="O266" s="6">
        <f ca="1">IFERROR(__xludf.DUMMYFUNCTION("""COMPUTED_VALUE"""),39)</f>
        <v>39</v>
      </c>
      <c r="P266" s="4" t="str">
        <f ca="1">IFERROR(__xludf.DUMMYFUNCTION("""COMPUTED_VALUE"""),"")</f>
        <v/>
      </c>
      <c r="Q266" s="6">
        <f ca="1">IFERROR(__xludf.DUMMYFUNCTION("""COMPUTED_VALUE"""),769)</f>
        <v>769</v>
      </c>
      <c r="R266" s="4" t="str">
        <f ca="1">IFERROR(__xludf.DUMMYFUNCTION("""COMPUTED_VALUE"""),"")</f>
        <v/>
      </c>
      <c r="S266" s="6">
        <f ca="1">IFERROR(__xludf.DUMMYFUNCTION("""COMPUTED_VALUE"""),1865)</f>
        <v>1865</v>
      </c>
      <c r="T266" s="4"/>
      <c r="U266" s="4"/>
      <c r="V266" s="4"/>
      <c r="W266" s="4"/>
      <c r="X266" s="4"/>
      <c r="Y266" s="4"/>
      <c r="Z266" s="4"/>
      <c r="AA266" s="4"/>
      <c r="AB266" s="4"/>
    </row>
    <row r="267" spans="1:28" x14ac:dyDescent="0.2">
      <c r="A267" s="4" t="str">
        <f t="shared" si="2"/>
        <v/>
      </c>
      <c r="B267" s="4" t="str">
        <f t="shared" si="3"/>
        <v/>
      </c>
      <c r="C267" s="4"/>
      <c r="D267" s="4"/>
      <c r="E267" s="4"/>
      <c r="F267" s="4"/>
      <c r="G267" s="4"/>
      <c r="H267" s="4"/>
      <c r="I267" s="4"/>
      <c r="J267" s="4"/>
      <c r="K267" s="4"/>
      <c r="L267" s="4"/>
      <c r="M267" s="4"/>
      <c r="N267" s="6">
        <f ca="1">IFERROR(__xludf.DUMMYFUNCTION("""COMPUTED_VALUE"""),38)</f>
        <v>38</v>
      </c>
      <c r="O267" s="6">
        <f ca="1">IFERROR(__xludf.DUMMYFUNCTION("""COMPUTED_VALUE"""),39)</f>
        <v>39</v>
      </c>
      <c r="P267" s="4" t="str">
        <f ca="1">IFERROR(__xludf.DUMMYFUNCTION("""COMPUTED_VALUE"""),"")</f>
        <v/>
      </c>
      <c r="Q267" s="6">
        <f ca="1">IFERROR(__xludf.DUMMYFUNCTION("""COMPUTED_VALUE"""),769)</f>
        <v>769</v>
      </c>
      <c r="R267" s="4" t="str">
        <f ca="1">IFERROR(__xludf.DUMMYFUNCTION("""COMPUTED_VALUE"""),"")</f>
        <v/>
      </c>
      <c r="S267" s="6">
        <f ca="1">IFERROR(__xludf.DUMMYFUNCTION("""COMPUTED_VALUE"""),1865)</f>
        <v>1865</v>
      </c>
      <c r="T267" s="4"/>
      <c r="U267" s="4"/>
      <c r="V267" s="4"/>
      <c r="W267" s="4"/>
      <c r="X267" s="4"/>
      <c r="Y267" s="4"/>
      <c r="Z267" s="4"/>
      <c r="AA267" s="4"/>
      <c r="AB267" s="4"/>
    </row>
    <row r="268" spans="1:28" x14ac:dyDescent="0.2">
      <c r="A268" s="4" t="str">
        <f t="shared" si="2"/>
        <v/>
      </c>
      <c r="B268" s="4" t="str">
        <f t="shared" si="3"/>
        <v/>
      </c>
      <c r="C268" s="4"/>
      <c r="D268" s="4"/>
      <c r="E268" s="4"/>
      <c r="F268" s="4"/>
      <c r="G268" s="4"/>
      <c r="H268" s="4"/>
      <c r="I268" s="4"/>
      <c r="J268" s="4"/>
      <c r="K268" s="4"/>
      <c r="L268" s="4"/>
      <c r="M268" s="4"/>
      <c r="N268" s="6">
        <f ca="1">IFERROR(__xludf.DUMMYFUNCTION("""COMPUTED_VALUE"""),38)</f>
        <v>38</v>
      </c>
      <c r="O268" s="6">
        <f ca="1">IFERROR(__xludf.DUMMYFUNCTION("""COMPUTED_VALUE"""),39)</f>
        <v>39</v>
      </c>
      <c r="P268" s="4" t="str">
        <f ca="1">IFERROR(__xludf.DUMMYFUNCTION("""COMPUTED_VALUE"""),"")</f>
        <v/>
      </c>
      <c r="Q268" s="6">
        <f ca="1">IFERROR(__xludf.DUMMYFUNCTION("""COMPUTED_VALUE"""),769)</f>
        <v>769</v>
      </c>
      <c r="R268" s="4" t="str">
        <f ca="1">IFERROR(__xludf.DUMMYFUNCTION("""COMPUTED_VALUE"""),"")</f>
        <v/>
      </c>
      <c r="S268" s="6">
        <f ca="1">IFERROR(__xludf.DUMMYFUNCTION("""COMPUTED_VALUE"""),1865)</f>
        <v>1865</v>
      </c>
      <c r="T268" s="4"/>
      <c r="U268" s="4"/>
      <c r="V268" s="4"/>
      <c r="W268" s="4"/>
      <c r="X268" s="4"/>
      <c r="Y268" s="4"/>
      <c r="Z268" s="4"/>
      <c r="AA268" s="4"/>
      <c r="AB268" s="4"/>
    </row>
    <row r="269" spans="1:28" x14ac:dyDescent="0.2">
      <c r="A269" s="4" t="str">
        <f t="shared" si="2"/>
        <v/>
      </c>
      <c r="B269" s="4" t="str">
        <f t="shared" si="3"/>
        <v/>
      </c>
      <c r="C269" s="4"/>
      <c r="D269" s="4"/>
      <c r="E269" s="4"/>
      <c r="F269" s="4"/>
      <c r="G269" s="4"/>
      <c r="H269" s="4"/>
      <c r="I269" s="4"/>
      <c r="J269" s="4"/>
      <c r="K269" s="4"/>
      <c r="L269" s="4"/>
      <c r="M269" s="4"/>
      <c r="N269" s="6">
        <f ca="1">IFERROR(__xludf.DUMMYFUNCTION("""COMPUTED_VALUE"""),38)</f>
        <v>38</v>
      </c>
      <c r="O269" s="6">
        <f ca="1">IFERROR(__xludf.DUMMYFUNCTION("""COMPUTED_VALUE"""),39)</f>
        <v>39</v>
      </c>
      <c r="P269" s="4" t="str">
        <f ca="1">IFERROR(__xludf.DUMMYFUNCTION("""COMPUTED_VALUE"""),"")</f>
        <v/>
      </c>
      <c r="Q269" s="6">
        <f ca="1">IFERROR(__xludf.DUMMYFUNCTION("""COMPUTED_VALUE"""),769)</f>
        <v>769</v>
      </c>
      <c r="R269" s="4" t="str">
        <f ca="1">IFERROR(__xludf.DUMMYFUNCTION("""COMPUTED_VALUE"""),"")</f>
        <v/>
      </c>
      <c r="S269" s="6">
        <f ca="1">IFERROR(__xludf.DUMMYFUNCTION("""COMPUTED_VALUE"""),1865)</f>
        <v>1865</v>
      </c>
      <c r="T269" s="4"/>
      <c r="U269" s="4"/>
      <c r="V269" s="4"/>
      <c r="W269" s="4"/>
      <c r="X269" s="4"/>
      <c r="Y269" s="4"/>
      <c r="Z269" s="4"/>
      <c r="AA269" s="4"/>
      <c r="AB269" s="4"/>
    </row>
    <row r="270" spans="1:28" x14ac:dyDescent="0.2">
      <c r="A270" s="4" t="str">
        <f t="shared" si="2"/>
        <v/>
      </c>
      <c r="B270" s="4" t="str">
        <f t="shared" si="3"/>
        <v/>
      </c>
      <c r="C270" s="4"/>
      <c r="D270" s="4"/>
      <c r="E270" s="4"/>
      <c r="F270" s="4"/>
      <c r="G270" s="4"/>
      <c r="H270" s="4"/>
      <c r="I270" s="4"/>
      <c r="J270" s="4"/>
      <c r="K270" s="4"/>
      <c r="L270" s="4"/>
      <c r="M270" s="4"/>
      <c r="N270" s="6">
        <f ca="1">IFERROR(__xludf.DUMMYFUNCTION("""COMPUTED_VALUE"""),38)</f>
        <v>38</v>
      </c>
      <c r="O270" s="6">
        <f ca="1">IFERROR(__xludf.DUMMYFUNCTION("""COMPUTED_VALUE"""),39)</f>
        <v>39</v>
      </c>
      <c r="P270" s="4" t="str">
        <f ca="1">IFERROR(__xludf.DUMMYFUNCTION("""COMPUTED_VALUE"""),"")</f>
        <v/>
      </c>
      <c r="Q270" s="6">
        <f ca="1">IFERROR(__xludf.DUMMYFUNCTION("""COMPUTED_VALUE"""),769)</f>
        <v>769</v>
      </c>
      <c r="R270" s="4" t="str">
        <f ca="1">IFERROR(__xludf.DUMMYFUNCTION("""COMPUTED_VALUE"""),"")</f>
        <v/>
      </c>
      <c r="S270" s="6">
        <f ca="1">IFERROR(__xludf.DUMMYFUNCTION("""COMPUTED_VALUE"""),1865)</f>
        <v>1865</v>
      </c>
      <c r="T270" s="4"/>
      <c r="U270" s="4"/>
      <c r="V270" s="4"/>
      <c r="W270" s="4"/>
      <c r="X270" s="4"/>
      <c r="Y270" s="4"/>
      <c r="Z270" s="4"/>
      <c r="AA270" s="4"/>
      <c r="AB270" s="4"/>
    </row>
    <row r="271" spans="1:28" x14ac:dyDescent="0.2">
      <c r="A271" s="4" t="str">
        <f t="shared" si="2"/>
        <v/>
      </c>
      <c r="B271" s="4" t="str">
        <f t="shared" si="3"/>
        <v/>
      </c>
      <c r="C271" s="4"/>
      <c r="D271" s="4"/>
      <c r="E271" s="4"/>
      <c r="F271" s="4"/>
      <c r="G271" s="4"/>
      <c r="H271" s="4"/>
      <c r="I271" s="4"/>
      <c r="J271" s="4"/>
      <c r="K271" s="4"/>
      <c r="L271" s="4"/>
      <c r="M271" s="4"/>
      <c r="N271" s="6">
        <f ca="1">IFERROR(__xludf.DUMMYFUNCTION("""COMPUTED_VALUE"""),38)</f>
        <v>38</v>
      </c>
      <c r="O271" s="6">
        <f ca="1">IFERROR(__xludf.DUMMYFUNCTION("""COMPUTED_VALUE"""),39)</f>
        <v>39</v>
      </c>
      <c r="P271" s="4" t="str">
        <f ca="1">IFERROR(__xludf.DUMMYFUNCTION("""COMPUTED_VALUE"""),"")</f>
        <v/>
      </c>
      <c r="Q271" s="6">
        <f ca="1">IFERROR(__xludf.DUMMYFUNCTION("""COMPUTED_VALUE"""),769)</f>
        <v>769</v>
      </c>
      <c r="R271" s="4" t="str">
        <f ca="1">IFERROR(__xludf.DUMMYFUNCTION("""COMPUTED_VALUE"""),"")</f>
        <v/>
      </c>
      <c r="S271" s="6">
        <f ca="1">IFERROR(__xludf.DUMMYFUNCTION("""COMPUTED_VALUE"""),1865)</f>
        <v>1865</v>
      </c>
      <c r="T271" s="4"/>
      <c r="U271" s="4"/>
      <c r="V271" s="4"/>
      <c r="W271" s="4"/>
      <c r="X271" s="4"/>
      <c r="Y271" s="4"/>
      <c r="Z271" s="4"/>
      <c r="AA271" s="4"/>
      <c r="AB271" s="4"/>
    </row>
    <row r="272" spans="1:28" x14ac:dyDescent="0.2">
      <c r="A272" s="4" t="str">
        <f t="shared" si="2"/>
        <v/>
      </c>
      <c r="B272" s="4" t="str">
        <f t="shared" si="3"/>
        <v/>
      </c>
      <c r="C272" s="4"/>
      <c r="D272" s="4"/>
      <c r="E272" s="4"/>
      <c r="F272" s="4"/>
      <c r="G272" s="4"/>
      <c r="H272" s="4"/>
      <c r="I272" s="4"/>
      <c r="J272" s="4"/>
      <c r="K272" s="4"/>
      <c r="L272" s="4"/>
      <c r="M272" s="4"/>
      <c r="N272" s="6">
        <f ca="1">IFERROR(__xludf.DUMMYFUNCTION("""COMPUTED_VALUE"""),38)</f>
        <v>38</v>
      </c>
      <c r="O272" s="6">
        <f ca="1">IFERROR(__xludf.DUMMYFUNCTION("""COMPUTED_VALUE"""),39)</f>
        <v>39</v>
      </c>
      <c r="P272" s="4" t="str">
        <f ca="1">IFERROR(__xludf.DUMMYFUNCTION("""COMPUTED_VALUE"""),"")</f>
        <v/>
      </c>
      <c r="Q272" s="6">
        <f ca="1">IFERROR(__xludf.DUMMYFUNCTION("""COMPUTED_VALUE"""),769)</f>
        <v>769</v>
      </c>
      <c r="R272" s="4" t="str">
        <f ca="1">IFERROR(__xludf.DUMMYFUNCTION("""COMPUTED_VALUE"""),"")</f>
        <v/>
      </c>
      <c r="S272" s="6">
        <f ca="1">IFERROR(__xludf.DUMMYFUNCTION("""COMPUTED_VALUE"""),1865)</f>
        <v>1865</v>
      </c>
      <c r="T272" s="4"/>
      <c r="U272" s="4"/>
      <c r="V272" s="4"/>
      <c r="W272" s="4"/>
      <c r="X272" s="4"/>
      <c r="Y272" s="4"/>
      <c r="Z272" s="4"/>
      <c r="AA272" s="4"/>
      <c r="AB272" s="4"/>
    </row>
    <row r="273" spans="1:28" x14ac:dyDescent="0.2">
      <c r="A273" s="4" t="str">
        <f t="shared" si="2"/>
        <v/>
      </c>
      <c r="B273" s="4" t="str">
        <f t="shared" si="3"/>
        <v/>
      </c>
      <c r="C273" s="4"/>
      <c r="D273" s="4"/>
      <c r="E273" s="4"/>
      <c r="F273" s="4"/>
      <c r="G273" s="4"/>
      <c r="H273" s="4"/>
      <c r="I273" s="4"/>
      <c r="J273" s="4"/>
      <c r="K273" s="4"/>
      <c r="L273" s="4"/>
      <c r="M273" s="4"/>
      <c r="N273" s="6">
        <f ca="1">IFERROR(__xludf.DUMMYFUNCTION("""COMPUTED_VALUE"""),38)</f>
        <v>38</v>
      </c>
      <c r="O273" s="6">
        <f ca="1">IFERROR(__xludf.DUMMYFUNCTION("""COMPUTED_VALUE"""),39)</f>
        <v>39</v>
      </c>
      <c r="P273" s="4" t="str">
        <f ca="1">IFERROR(__xludf.DUMMYFUNCTION("""COMPUTED_VALUE"""),"")</f>
        <v/>
      </c>
      <c r="Q273" s="6">
        <f ca="1">IFERROR(__xludf.DUMMYFUNCTION("""COMPUTED_VALUE"""),769)</f>
        <v>769</v>
      </c>
      <c r="R273" s="4" t="str">
        <f ca="1">IFERROR(__xludf.DUMMYFUNCTION("""COMPUTED_VALUE"""),"")</f>
        <v/>
      </c>
      <c r="S273" s="6">
        <f ca="1">IFERROR(__xludf.DUMMYFUNCTION("""COMPUTED_VALUE"""),1865)</f>
        <v>1865</v>
      </c>
      <c r="T273" s="4"/>
      <c r="U273" s="4"/>
      <c r="V273" s="4"/>
      <c r="W273" s="4"/>
      <c r="X273" s="4"/>
      <c r="Y273" s="4"/>
      <c r="Z273" s="4"/>
      <c r="AA273" s="4"/>
      <c r="AB273" s="4"/>
    </row>
    <row r="274" spans="1:28" x14ac:dyDescent="0.2">
      <c r="A274" s="4" t="str">
        <f t="shared" si="2"/>
        <v/>
      </c>
      <c r="B274" s="4" t="str">
        <f t="shared" si="3"/>
        <v/>
      </c>
      <c r="C274" s="4"/>
      <c r="D274" s="4"/>
      <c r="E274" s="4"/>
      <c r="F274" s="4"/>
      <c r="G274" s="4"/>
      <c r="H274" s="4"/>
      <c r="I274" s="4"/>
      <c r="J274" s="4"/>
      <c r="K274" s="4"/>
      <c r="L274" s="4"/>
      <c r="M274" s="4"/>
      <c r="N274" s="6">
        <f ca="1">IFERROR(__xludf.DUMMYFUNCTION("""COMPUTED_VALUE"""),38)</f>
        <v>38</v>
      </c>
      <c r="O274" s="6">
        <f ca="1">IFERROR(__xludf.DUMMYFUNCTION("""COMPUTED_VALUE"""),39)</f>
        <v>39</v>
      </c>
      <c r="P274" s="4" t="str">
        <f ca="1">IFERROR(__xludf.DUMMYFUNCTION("""COMPUTED_VALUE"""),"")</f>
        <v/>
      </c>
      <c r="Q274" s="6">
        <f ca="1">IFERROR(__xludf.DUMMYFUNCTION("""COMPUTED_VALUE"""),769)</f>
        <v>769</v>
      </c>
      <c r="R274" s="4" t="str">
        <f ca="1">IFERROR(__xludf.DUMMYFUNCTION("""COMPUTED_VALUE"""),"")</f>
        <v/>
      </c>
      <c r="S274" s="6">
        <f ca="1">IFERROR(__xludf.DUMMYFUNCTION("""COMPUTED_VALUE"""),1865)</f>
        <v>1865</v>
      </c>
      <c r="T274" s="4"/>
      <c r="U274" s="4"/>
      <c r="V274" s="4"/>
      <c r="W274" s="4"/>
      <c r="X274" s="4"/>
      <c r="Y274" s="4"/>
      <c r="Z274" s="4"/>
      <c r="AA274" s="4"/>
      <c r="AB274" s="4"/>
    </row>
    <row r="275" spans="1:28" x14ac:dyDescent="0.2">
      <c r="A275" s="4" t="str">
        <f t="shared" si="2"/>
        <v/>
      </c>
      <c r="B275" s="4" t="str">
        <f t="shared" si="3"/>
        <v/>
      </c>
      <c r="C275" s="4"/>
      <c r="D275" s="4"/>
      <c r="E275" s="4"/>
      <c r="F275" s="4"/>
      <c r="G275" s="4"/>
      <c r="H275" s="4"/>
      <c r="I275" s="4"/>
      <c r="J275" s="4"/>
      <c r="K275" s="4"/>
      <c r="L275" s="4"/>
      <c r="M275" s="4"/>
      <c r="N275" s="6">
        <f ca="1">IFERROR(__xludf.DUMMYFUNCTION("""COMPUTED_VALUE"""),38)</f>
        <v>38</v>
      </c>
      <c r="O275" s="6">
        <f ca="1">IFERROR(__xludf.DUMMYFUNCTION("""COMPUTED_VALUE"""),39)</f>
        <v>39</v>
      </c>
      <c r="P275" s="4" t="str">
        <f ca="1">IFERROR(__xludf.DUMMYFUNCTION("""COMPUTED_VALUE"""),"")</f>
        <v/>
      </c>
      <c r="Q275" s="6">
        <f ca="1">IFERROR(__xludf.DUMMYFUNCTION("""COMPUTED_VALUE"""),769)</f>
        <v>769</v>
      </c>
      <c r="R275" s="4" t="str">
        <f ca="1">IFERROR(__xludf.DUMMYFUNCTION("""COMPUTED_VALUE"""),"")</f>
        <v/>
      </c>
      <c r="S275" s="6">
        <f ca="1">IFERROR(__xludf.DUMMYFUNCTION("""COMPUTED_VALUE"""),1865)</f>
        <v>1865</v>
      </c>
      <c r="T275" s="4"/>
      <c r="U275" s="4"/>
      <c r="V275" s="4"/>
      <c r="W275" s="4"/>
      <c r="X275" s="4"/>
      <c r="Y275" s="4"/>
      <c r="Z275" s="4"/>
      <c r="AA275" s="4"/>
      <c r="AB275" s="4"/>
    </row>
    <row r="276" spans="1:28" x14ac:dyDescent="0.2">
      <c r="A276" s="4" t="str">
        <f t="shared" si="2"/>
        <v/>
      </c>
      <c r="B276" s="4" t="str">
        <f t="shared" si="3"/>
        <v/>
      </c>
      <c r="C276" s="4"/>
      <c r="D276" s="4"/>
      <c r="E276" s="4"/>
      <c r="F276" s="4"/>
      <c r="G276" s="4"/>
      <c r="H276" s="4"/>
      <c r="I276" s="4"/>
      <c r="J276" s="4"/>
      <c r="K276" s="4"/>
      <c r="L276" s="4"/>
      <c r="M276" s="4"/>
      <c r="N276" s="6">
        <f ca="1">IFERROR(__xludf.DUMMYFUNCTION("""COMPUTED_VALUE"""),38)</f>
        <v>38</v>
      </c>
      <c r="O276" s="6">
        <f ca="1">IFERROR(__xludf.DUMMYFUNCTION("""COMPUTED_VALUE"""),39)</f>
        <v>39</v>
      </c>
      <c r="P276" s="4" t="str">
        <f ca="1">IFERROR(__xludf.DUMMYFUNCTION("""COMPUTED_VALUE"""),"")</f>
        <v/>
      </c>
      <c r="Q276" s="6">
        <f ca="1">IFERROR(__xludf.DUMMYFUNCTION("""COMPUTED_VALUE"""),769)</f>
        <v>769</v>
      </c>
      <c r="R276" s="4" t="str">
        <f ca="1">IFERROR(__xludf.DUMMYFUNCTION("""COMPUTED_VALUE"""),"")</f>
        <v/>
      </c>
      <c r="S276" s="6">
        <f ca="1">IFERROR(__xludf.DUMMYFUNCTION("""COMPUTED_VALUE"""),1865)</f>
        <v>1865</v>
      </c>
      <c r="T276" s="4"/>
      <c r="U276" s="4"/>
      <c r="V276" s="4"/>
      <c r="W276" s="4"/>
      <c r="X276" s="4"/>
      <c r="Y276" s="4"/>
      <c r="Z276" s="4"/>
      <c r="AA276" s="4"/>
      <c r="AB276" s="4"/>
    </row>
    <row r="277" spans="1:28" x14ac:dyDescent="0.2">
      <c r="A277" s="4" t="str">
        <f t="shared" si="2"/>
        <v/>
      </c>
      <c r="B277" s="4" t="str">
        <f t="shared" si="3"/>
        <v/>
      </c>
      <c r="C277" s="4"/>
      <c r="D277" s="4"/>
      <c r="E277" s="4"/>
      <c r="F277" s="4"/>
      <c r="G277" s="4"/>
      <c r="H277" s="4"/>
      <c r="I277" s="4"/>
      <c r="J277" s="4"/>
      <c r="K277" s="4"/>
      <c r="L277" s="4"/>
      <c r="M277" s="4"/>
      <c r="N277" s="6">
        <f ca="1">IFERROR(__xludf.DUMMYFUNCTION("""COMPUTED_VALUE"""),38)</f>
        <v>38</v>
      </c>
      <c r="O277" s="6">
        <f ca="1">IFERROR(__xludf.DUMMYFUNCTION("""COMPUTED_VALUE"""),39)</f>
        <v>39</v>
      </c>
      <c r="P277" s="4" t="str">
        <f ca="1">IFERROR(__xludf.DUMMYFUNCTION("""COMPUTED_VALUE"""),"")</f>
        <v/>
      </c>
      <c r="Q277" s="6">
        <f ca="1">IFERROR(__xludf.DUMMYFUNCTION("""COMPUTED_VALUE"""),769)</f>
        <v>769</v>
      </c>
      <c r="R277" s="4" t="str">
        <f ca="1">IFERROR(__xludf.DUMMYFUNCTION("""COMPUTED_VALUE"""),"")</f>
        <v/>
      </c>
      <c r="S277" s="6">
        <f ca="1">IFERROR(__xludf.DUMMYFUNCTION("""COMPUTED_VALUE"""),1865)</f>
        <v>1865</v>
      </c>
      <c r="T277" s="4"/>
      <c r="U277" s="4"/>
      <c r="V277" s="4"/>
      <c r="W277" s="4"/>
      <c r="X277" s="4"/>
      <c r="Y277" s="4"/>
      <c r="Z277" s="4"/>
      <c r="AA277" s="4"/>
      <c r="AB277" s="4"/>
    </row>
    <row r="278" spans="1:28" x14ac:dyDescent="0.2">
      <c r="A278" s="4" t="str">
        <f t="shared" si="2"/>
        <v/>
      </c>
      <c r="B278" s="4" t="str">
        <f t="shared" si="3"/>
        <v/>
      </c>
      <c r="C278" s="4"/>
      <c r="D278" s="4"/>
      <c r="E278" s="4"/>
      <c r="F278" s="4"/>
      <c r="G278" s="4"/>
      <c r="H278" s="4"/>
      <c r="I278" s="4"/>
      <c r="J278" s="4"/>
      <c r="K278" s="4"/>
      <c r="L278" s="4"/>
      <c r="M278" s="4"/>
      <c r="N278" s="6">
        <f ca="1">IFERROR(__xludf.DUMMYFUNCTION("""COMPUTED_VALUE"""),38)</f>
        <v>38</v>
      </c>
      <c r="O278" s="6">
        <f ca="1">IFERROR(__xludf.DUMMYFUNCTION("""COMPUTED_VALUE"""),39)</f>
        <v>39</v>
      </c>
      <c r="P278" s="4" t="str">
        <f ca="1">IFERROR(__xludf.DUMMYFUNCTION("""COMPUTED_VALUE"""),"")</f>
        <v/>
      </c>
      <c r="Q278" s="6">
        <f ca="1">IFERROR(__xludf.DUMMYFUNCTION("""COMPUTED_VALUE"""),769)</f>
        <v>769</v>
      </c>
      <c r="R278" s="4" t="str">
        <f ca="1">IFERROR(__xludf.DUMMYFUNCTION("""COMPUTED_VALUE"""),"")</f>
        <v/>
      </c>
      <c r="S278" s="6">
        <f ca="1">IFERROR(__xludf.DUMMYFUNCTION("""COMPUTED_VALUE"""),1865)</f>
        <v>1865</v>
      </c>
      <c r="T278" s="4"/>
      <c r="U278" s="4"/>
      <c r="V278" s="4"/>
      <c r="W278" s="4"/>
      <c r="X278" s="4"/>
      <c r="Y278" s="4"/>
      <c r="Z278" s="4"/>
      <c r="AA278" s="4"/>
      <c r="AB278" s="4"/>
    </row>
    <row r="279" spans="1:28" x14ac:dyDescent="0.2">
      <c r="A279" s="4" t="str">
        <f t="shared" si="2"/>
        <v/>
      </c>
      <c r="B279" s="4" t="str">
        <f t="shared" si="3"/>
        <v/>
      </c>
      <c r="C279" s="4"/>
      <c r="D279" s="4"/>
      <c r="E279" s="4"/>
      <c r="F279" s="4"/>
      <c r="G279" s="4"/>
      <c r="H279" s="4"/>
      <c r="I279" s="4"/>
      <c r="J279" s="4"/>
      <c r="K279" s="4"/>
      <c r="L279" s="4"/>
      <c r="M279" s="4"/>
      <c r="N279" s="6">
        <f ca="1">IFERROR(__xludf.DUMMYFUNCTION("""COMPUTED_VALUE"""),38)</f>
        <v>38</v>
      </c>
      <c r="O279" s="6">
        <f ca="1">IFERROR(__xludf.DUMMYFUNCTION("""COMPUTED_VALUE"""),39)</f>
        <v>39</v>
      </c>
      <c r="P279" s="4" t="str">
        <f ca="1">IFERROR(__xludf.DUMMYFUNCTION("""COMPUTED_VALUE"""),"")</f>
        <v/>
      </c>
      <c r="Q279" s="6">
        <f ca="1">IFERROR(__xludf.DUMMYFUNCTION("""COMPUTED_VALUE"""),769)</f>
        <v>769</v>
      </c>
      <c r="R279" s="4" t="str">
        <f ca="1">IFERROR(__xludf.DUMMYFUNCTION("""COMPUTED_VALUE"""),"")</f>
        <v/>
      </c>
      <c r="S279" s="6">
        <f ca="1">IFERROR(__xludf.DUMMYFUNCTION("""COMPUTED_VALUE"""),1865)</f>
        <v>1865</v>
      </c>
      <c r="T279" s="4"/>
      <c r="U279" s="4"/>
      <c r="V279" s="4"/>
      <c r="W279" s="4"/>
      <c r="X279" s="4"/>
      <c r="Y279" s="4"/>
      <c r="Z279" s="4"/>
      <c r="AA279" s="4"/>
      <c r="AB279" s="4"/>
    </row>
    <row r="280" spans="1:28" x14ac:dyDescent="0.2">
      <c r="A280" s="4" t="str">
        <f t="shared" si="2"/>
        <v/>
      </c>
      <c r="B280" s="4" t="str">
        <f t="shared" si="3"/>
        <v/>
      </c>
      <c r="C280" s="4"/>
      <c r="D280" s="4"/>
      <c r="E280" s="4"/>
      <c r="F280" s="4"/>
      <c r="G280" s="4"/>
      <c r="H280" s="4"/>
      <c r="I280" s="4"/>
      <c r="J280" s="4"/>
      <c r="K280" s="4"/>
      <c r="L280" s="4"/>
      <c r="M280" s="4"/>
      <c r="N280" s="6">
        <f ca="1">IFERROR(__xludf.DUMMYFUNCTION("""COMPUTED_VALUE"""),38)</f>
        <v>38</v>
      </c>
      <c r="O280" s="6">
        <f ca="1">IFERROR(__xludf.DUMMYFUNCTION("""COMPUTED_VALUE"""),39)</f>
        <v>39</v>
      </c>
      <c r="P280" s="4" t="str">
        <f ca="1">IFERROR(__xludf.DUMMYFUNCTION("""COMPUTED_VALUE"""),"")</f>
        <v/>
      </c>
      <c r="Q280" s="6">
        <f ca="1">IFERROR(__xludf.DUMMYFUNCTION("""COMPUTED_VALUE"""),769)</f>
        <v>769</v>
      </c>
      <c r="R280" s="4" t="str">
        <f ca="1">IFERROR(__xludf.DUMMYFUNCTION("""COMPUTED_VALUE"""),"")</f>
        <v/>
      </c>
      <c r="S280" s="6">
        <f ca="1">IFERROR(__xludf.DUMMYFUNCTION("""COMPUTED_VALUE"""),1865)</f>
        <v>1865</v>
      </c>
      <c r="T280" s="4"/>
      <c r="U280" s="4"/>
      <c r="V280" s="4"/>
      <c r="W280" s="4"/>
      <c r="X280" s="4"/>
      <c r="Y280" s="4"/>
      <c r="Z280" s="4"/>
      <c r="AA280" s="4"/>
      <c r="AB280" s="4"/>
    </row>
    <row r="281" spans="1:28" x14ac:dyDescent="0.2">
      <c r="A281" s="4" t="str">
        <f t="shared" si="2"/>
        <v/>
      </c>
      <c r="B281" s="4" t="str">
        <f t="shared" si="3"/>
        <v/>
      </c>
      <c r="C281" s="4"/>
      <c r="D281" s="4"/>
      <c r="E281" s="4"/>
      <c r="F281" s="4"/>
      <c r="G281" s="4"/>
      <c r="H281" s="4"/>
      <c r="I281" s="4"/>
      <c r="J281" s="4"/>
      <c r="K281" s="4"/>
      <c r="L281" s="4"/>
      <c r="M281" s="4"/>
      <c r="N281" s="6">
        <f ca="1">IFERROR(__xludf.DUMMYFUNCTION("""COMPUTED_VALUE"""),38)</f>
        <v>38</v>
      </c>
      <c r="O281" s="6">
        <f ca="1">IFERROR(__xludf.DUMMYFUNCTION("""COMPUTED_VALUE"""),39)</f>
        <v>39</v>
      </c>
      <c r="P281" s="4" t="str">
        <f ca="1">IFERROR(__xludf.DUMMYFUNCTION("""COMPUTED_VALUE"""),"")</f>
        <v/>
      </c>
      <c r="Q281" s="6">
        <f ca="1">IFERROR(__xludf.DUMMYFUNCTION("""COMPUTED_VALUE"""),769)</f>
        <v>769</v>
      </c>
      <c r="R281" s="4" t="str">
        <f ca="1">IFERROR(__xludf.DUMMYFUNCTION("""COMPUTED_VALUE"""),"")</f>
        <v/>
      </c>
      <c r="S281" s="6">
        <f ca="1">IFERROR(__xludf.DUMMYFUNCTION("""COMPUTED_VALUE"""),1865)</f>
        <v>1865</v>
      </c>
      <c r="T281" s="4"/>
      <c r="U281" s="4"/>
      <c r="V281" s="4"/>
      <c r="W281" s="4"/>
      <c r="X281" s="4"/>
      <c r="Y281" s="4"/>
      <c r="Z281" s="4"/>
      <c r="AA281" s="4"/>
      <c r="AB281" s="4"/>
    </row>
    <row r="282" spans="1:28" x14ac:dyDescent="0.2">
      <c r="A282" s="4" t="str">
        <f t="shared" si="2"/>
        <v/>
      </c>
      <c r="B282" s="4" t="str">
        <f t="shared" si="3"/>
        <v/>
      </c>
      <c r="C282" s="4"/>
      <c r="D282" s="4"/>
      <c r="E282" s="4"/>
      <c r="F282" s="4"/>
      <c r="G282" s="4"/>
      <c r="H282" s="4"/>
      <c r="I282" s="4"/>
      <c r="J282" s="4"/>
      <c r="K282" s="4"/>
      <c r="L282" s="4"/>
      <c r="M282" s="4"/>
      <c r="N282" s="6">
        <f ca="1">IFERROR(__xludf.DUMMYFUNCTION("""COMPUTED_VALUE"""),38)</f>
        <v>38</v>
      </c>
      <c r="O282" s="6">
        <f ca="1">IFERROR(__xludf.DUMMYFUNCTION("""COMPUTED_VALUE"""),39)</f>
        <v>39</v>
      </c>
      <c r="P282" s="4" t="str">
        <f ca="1">IFERROR(__xludf.DUMMYFUNCTION("""COMPUTED_VALUE"""),"")</f>
        <v/>
      </c>
      <c r="Q282" s="6">
        <f ca="1">IFERROR(__xludf.DUMMYFUNCTION("""COMPUTED_VALUE"""),769)</f>
        <v>769</v>
      </c>
      <c r="R282" s="4" t="str">
        <f ca="1">IFERROR(__xludf.DUMMYFUNCTION("""COMPUTED_VALUE"""),"")</f>
        <v/>
      </c>
      <c r="S282" s="6">
        <f ca="1">IFERROR(__xludf.DUMMYFUNCTION("""COMPUTED_VALUE"""),1865)</f>
        <v>1865</v>
      </c>
      <c r="T282" s="4"/>
      <c r="U282" s="4"/>
      <c r="V282" s="4"/>
      <c r="W282" s="4"/>
      <c r="X282" s="4"/>
      <c r="Y282" s="4"/>
      <c r="Z282" s="4"/>
      <c r="AA282" s="4"/>
      <c r="AB282" s="4"/>
    </row>
    <row r="283" spans="1:28" x14ac:dyDescent="0.2">
      <c r="A283" s="4" t="str">
        <f t="shared" si="2"/>
        <v/>
      </c>
      <c r="B283" s="4" t="str">
        <f t="shared" si="3"/>
        <v/>
      </c>
      <c r="C283" s="4"/>
      <c r="D283" s="4"/>
      <c r="E283" s="4"/>
      <c r="F283" s="4"/>
      <c r="G283" s="4"/>
      <c r="H283" s="4"/>
      <c r="I283" s="4"/>
      <c r="J283" s="4"/>
      <c r="K283" s="4"/>
      <c r="L283" s="4"/>
      <c r="M283" s="4"/>
      <c r="N283" s="6">
        <f ca="1">IFERROR(__xludf.DUMMYFUNCTION("""COMPUTED_VALUE"""),38)</f>
        <v>38</v>
      </c>
      <c r="O283" s="6">
        <f ca="1">IFERROR(__xludf.DUMMYFUNCTION("""COMPUTED_VALUE"""),39)</f>
        <v>39</v>
      </c>
      <c r="P283" s="4" t="str">
        <f ca="1">IFERROR(__xludf.DUMMYFUNCTION("""COMPUTED_VALUE"""),"")</f>
        <v/>
      </c>
      <c r="Q283" s="6">
        <f ca="1">IFERROR(__xludf.DUMMYFUNCTION("""COMPUTED_VALUE"""),769)</f>
        <v>769</v>
      </c>
      <c r="R283" s="4" t="str">
        <f ca="1">IFERROR(__xludf.DUMMYFUNCTION("""COMPUTED_VALUE"""),"")</f>
        <v/>
      </c>
      <c r="S283" s="6">
        <f ca="1">IFERROR(__xludf.DUMMYFUNCTION("""COMPUTED_VALUE"""),1865)</f>
        <v>1865</v>
      </c>
      <c r="T283" s="4"/>
      <c r="U283" s="4"/>
      <c r="V283" s="4"/>
      <c r="W283" s="4"/>
      <c r="X283" s="4"/>
      <c r="Y283" s="4"/>
      <c r="Z283" s="4"/>
      <c r="AA283" s="4"/>
      <c r="AB283" s="4"/>
    </row>
    <row r="284" spans="1:28" x14ac:dyDescent="0.2">
      <c r="A284" s="4" t="str">
        <f t="shared" si="2"/>
        <v/>
      </c>
      <c r="B284" s="4" t="str">
        <f t="shared" si="3"/>
        <v/>
      </c>
      <c r="C284" s="4"/>
      <c r="D284" s="4"/>
      <c r="E284" s="4"/>
      <c r="F284" s="4"/>
      <c r="G284" s="4"/>
      <c r="H284" s="4"/>
      <c r="I284" s="4"/>
      <c r="J284" s="4"/>
      <c r="K284" s="4"/>
      <c r="L284" s="4"/>
      <c r="M284" s="4"/>
      <c r="N284" s="6">
        <f ca="1">IFERROR(__xludf.DUMMYFUNCTION("""COMPUTED_VALUE"""),38)</f>
        <v>38</v>
      </c>
      <c r="O284" s="6">
        <f ca="1">IFERROR(__xludf.DUMMYFUNCTION("""COMPUTED_VALUE"""),39)</f>
        <v>39</v>
      </c>
      <c r="P284" s="4" t="str">
        <f ca="1">IFERROR(__xludf.DUMMYFUNCTION("""COMPUTED_VALUE"""),"")</f>
        <v/>
      </c>
      <c r="Q284" s="6">
        <f ca="1">IFERROR(__xludf.DUMMYFUNCTION("""COMPUTED_VALUE"""),769)</f>
        <v>769</v>
      </c>
      <c r="R284" s="4" t="str">
        <f ca="1">IFERROR(__xludf.DUMMYFUNCTION("""COMPUTED_VALUE"""),"")</f>
        <v/>
      </c>
      <c r="S284" s="6">
        <f ca="1">IFERROR(__xludf.DUMMYFUNCTION("""COMPUTED_VALUE"""),1865)</f>
        <v>1865</v>
      </c>
      <c r="T284" s="4"/>
      <c r="U284" s="4"/>
      <c r="V284" s="4"/>
      <c r="W284" s="4"/>
      <c r="X284" s="4"/>
      <c r="Y284" s="4"/>
      <c r="Z284" s="4"/>
      <c r="AA284" s="4"/>
      <c r="AB284" s="4"/>
    </row>
    <row r="285" spans="1:28" x14ac:dyDescent="0.2">
      <c r="A285" s="4" t="str">
        <f t="shared" si="2"/>
        <v/>
      </c>
      <c r="B285" s="4" t="str">
        <f t="shared" si="3"/>
        <v/>
      </c>
      <c r="C285" s="4"/>
      <c r="D285" s="4"/>
      <c r="E285" s="4"/>
      <c r="F285" s="4"/>
      <c r="G285" s="4"/>
      <c r="H285" s="4"/>
      <c r="I285" s="4"/>
      <c r="J285" s="4"/>
      <c r="K285" s="4"/>
      <c r="L285" s="4"/>
      <c r="M285" s="4"/>
      <c r="N285" s="6">
        <f ca="1">IFERROR(__xludf.DUMMYFUNCTION("""COMPUTED_VALUE"""),38)</f>
        <v>38</v>
      </c>
      <c r="O285" s="6">
        <f ca="1">IFERROR(__xludf.DUMMYFUNCTION("""COMPUTED_VALUE"""),39)</f>
        <v>39</v>
      </c>
      <c r="P285" s="4" t="str">
        <f ca="1">IFERROR(__xludf.DUMMYFUNCTION("""COMPUTED_VALUE"""),"")</f>
        <v/>
      </c>
      <c r="Q285" s="6">
        <f ca="1">IFERROR(__xludf.DUMMYFUNCTION("""COMPUTED_VALUE"""),769)</f>
        <v>769</v>
      </c>
      <c r="R285" s="4" t="str">
        <f ca="1">IFERROR(__xludf.DUMMYFUNCTION("""COMPUTED_VALUE"""),"")</f>
        <v/>
      </c>
      <c r="S285" s="6">
        <f ca="1">IFERROR(__xludf.DUMMYFUNCTION("""COMPUTED_VALUE"""),1865)</f>
        <v>1865</v>
      </c>
      <c r="T285" s="4"/>
      <c r="U285" s="4"/>
      <c r="V285" s="4"/>
      <c r="W285" s="4"/>
      <c r="X285" s="4"/>
      <c r="Y285" s="4"/>
      <c r="Z285" s="4"/>
      <c r="AA285" s="4"/>
      <c r="AB285" s="4"/>
    </row>
    <row r="286" spans="1:28" x14ac:dyDescent="0.2">
      <c r="A286" s="4" t="str">
        <f t="shared" si="2"/>
        <v/>
      </c>
      <c r="B286" s="4" t="str">
        <f t="shared" si="3"/>
        <v/>
      </c>
      <c r="C286" s="4"/>
      <c r="D286" s="4"/>
      <c r="E286" s="4"/>
      <c r="F286" s="4"/>
      <c r="G286" s="4"/>
      <c r="H286" s="4"/>
      <c r="I286" s="4"/>
      <c r="J286" s="4"/>
      <c r="K286" s="4"/>
      <c r="L286" s="4"/>
      <c r="M286" s="4"/>
      <c r="N286" s="6">
        <f ca="1">IFERROR(__xludf.DUMMYFUNCTION("""COMPUTED_VALUE"""),38)</f>
        <v>38</v>
      </c>
      <c r="O286" s="6">
        <f ca="1">IFERROR(__xludf.DUMMYFUNCTION("""COMPUTED_VALUE"""),39)</f>
        <v>39</v>
      </c>
      <c r="P286" s="4" t="str">
        <f ca="1">IFERROR(__xludf.DUMMYFUNCTION("""COMPUTED_VALUE"""),"")</f>
        <v/>
      </c>
      <c r="Q286" s="6">
        <f ca="1">IFERROR(__xludf.DUMMYFUNCTION("""COMPUTED_VALUE"""),769)</f>
        <v>769</v>
      </c>
      <c r="R286" s="4" t="str">
        <f ca="1">IFERROR(__xludf.DUMMYFUNCTION("""COMPUTED_VALUE"""),"")</f>
        <v/>
      </c>
      <c r="S286" s="6">
        <f ca="1">IFERROR(__xludf.DUMMYFUNCTION("""COMPUTED_VALUE"""),1865)</f>
        <v>1865</v>
      </c>
      <c r="T286" s="4"/>
      <c r="U286" s="4"/>
      <c r="V286" s="4"/>
      <c r="W286" s="4"/>
      <c r="X286" s="4"/>
      <c r="Y286" s="4"/>
      <c r="Z286" s="4"/>
      <c r="AA286" s="4"/>
      <c r="AB286" s="4"/>
    </row>
    <row r="287" spans="1:28" x14ac:dyDescent="0.2">
      <c r="A287" s="4" t="str">
        <f t="shared" si="2"/>
        <v/>
      </c>
      <c r="B287" s="4" t="str">
        <f t="shared" si="3"/>
        <v/>
      </c>
      <c r="C287" s="4"/>
      <c r="D287" s="4"/>
      <c r="E287" s="4"/>
      <c r="F287" s="4"/>
      <c r="G287" s="4"/>
      <c r="H287" s="4"/>
      <c r="I287" s="4"/>
      <c r="J287" s="4"/>
      <c r="K287" s="4"/>
      <c r="L287" s="4"/>
      <c r="M287" s="4"/>
      <c r="N287" s="6">
        <f ca="1">IFERROR(__xludf.DUMMYFUNCTION("""COMPUTED_VALUE"""),38)</f>
        <v>38</v>
      </c>
      <c r="O287" s="6">
        <f ca="1">IFERROR(__xludf.DUMMYFUNCTION("""COMPUTED_VALUE"""),39)</f>
        <v>39</v>
      </c>
      <c r="P287" s="4" t="str">
        <f ca="1">IFERROR(__xludf.DUMMYFUNCTION("""COMPUTED_VALUE"""),"")</f>
        <v/>
      </c>
      <c r="Q287" s="6">
        <f ca="1">IFERROR(__xludf.DUMMYFUNCTION("""COMPUTED_VALUE"""),769)</f>
        <v>769</v>
      </c>
      <c r="R287" s="4" t="str">
        <f ca="1">IFERROR(__xludf.DUMMYFUNCTION("""COMPUTED_VALUE"""),"")</f>
        <v/>
      </c>
      <c r="S287" s="6">
        <f ca="1">IFERROR(__xludf.DUMMYFUNCTION("""COMPUTED_VALUE"""),1865)</f>
        <v>1865</v>
      </c>
      <c r="T287" s="4"/>
      <c r="U287" s="4"/>
      <c r="V287" s="4"/>
      <c r="W287" s="4"/>
      <c r="X287" s="4"/>
      <c r="Y287" s="4"/>
      <c r="Z287" s="4"/>
      <c r="AA287" s="4"/>
      <c r="AB287" s="4"/>
    </row>
    <row r="288" spans="1:28" x14ac:dyDescent="0.2">
      <c r="A288" s="4" t="str">
        <f t="shared" si="2"/>
        <v/>
      </c>
      <c r="B288" s="4" t="str">
        <f t="shared" si="3"/>
        <v/>
      </c>
      <c r="C288" s="4"/>
      <c r="D288" s="4"/>
      <c r="E288" s="4"/>
      <c r="F288" s="4"/>
      <c r="G288" s="4"/>
      <c r="H288" s="4"/>
      <c r="I288" s="4"/>
      <c r="J288" s="4"/>
      <c r="K288" s="4"/>
      <c r="L288" s="4"/>
      <c r="M288" s="4"/>
      <c r="N288" s="6">
        <f ca="1">IFERROR(__xludf.DUMMYFUNCTION("""COMPUTED_VALUE"""),38)</f>
        <v>38</v>
      </c>
      <c r="O288" s="6">
        <f ca="1">IFERROR(__xludf.DUMMYFUNCTION("""COMPUTED_VALUE"""),39)</f>
        <v>39</v>
      </c>
      <c r="P288" s="4" t="str">
        <f ca="1">IFERROR(__xludf.DUMMYFUNCTION("""COMPUTED_VALUE"""),"")</f>
        <v/>
      </c>
      <c r="Q288" s="6">
        <f ca="1">IFERROR(__xludf.DUMMYFUNCTION("""COMPUTED_VALUE"""),769)</f>
        <v>769</v>
      </c>
      <c r="R288" s="4" t="str">
        <f ca="1">IFERROR(__xludf.DUMMYFUNCTION("""COMPUTED_VALUE"""),"")</f>
        <v/>
      </c>
      <c r="S288" s="6">
        <f ca="1">IFERROR(__xludf.DUMMYFUNCTION("""COMPUTED_VALUE"""),1865)</f>
        <v>1865</v>
      </c>
      <c r="T288" s="4"/>
      <c r="U288" s="4"/>
      <c r="V288" s="4"/>
      <c r="W288" s="4"/>
      <c r="X288" s="4"/>
      <c r="Y288" s="4"/>
      <c r="Z288" s="4"/>
      <c r="AA288" s="4"/>
      <c r="AB288" s="4"/>
    </row>
    <row r="289" spans="1:28" x14ac:dyDescent="0.2">
      <c r="A289" s="4" t="str">
        <f t="shared" si="2"/>
        <v/>
      </c>
      <c r="B289" s="4" t="str">
        <f t="shared" si="3"/>
        <v/>
      </c>
      <c r="C289" s="4"/>
      <c r="D289" s="4"/>
      <c r="E289" s="4"/>
      <c r="F289" s="4"/>
      <c r="G289" s="4"/>
      <c r="H289" s="4"/>
      <c r="I289" s="4"/>
      <c r="J289" s="4"/>
      <c r="K289" s="4"/>
      <c r="L289" s="4"/>
      <c r="M289" s="4"/>
      <c r="N289" s="6">
        <f ca="1">IFERROR(__xludf.DUMMYFUNCTION("""COMPUTED_VALUE"""),38)</f>
        <v>38</v>
      </c>
      <c r="O289" s="6">
        <f ca="1">IFERROR(__xludf.DUMMYFUNCTION("""COMPUTED_VALUE"""),39)</f>
        <v>39</v>
      </c>
      <c r="P289" s="4" t="str">
        <f ca="1">IFERROR(__xludf.DUMMYFUNCTION("""COMPUTED_VALUE"""),"")</f>
        <v/>
      </c>
      <c r="Q289" s="6">
        <f ca="1">IFERROR(__xludf.DUMMYFUNCTION("""COMPUTED_VALUE"""),769)</f>
        <v>769</v>
      </c>
      <c r="R289" s="4" t="str">
        <f ca="1">IFERROR(__xludf.DUMMYFUNCTION("""COMPUTED_VALUE"""),"")</f>
        <v/>
      </c>
      <c r="S289" s="6">
        <f ca="1">IFERROR(__xludf.DUMMYFUNCTION("""COMPUTED_VALUE"""),1865)</f>
        <v>1865</v>
      </c>
      <c r="T289" s="4"/>
      <c r="U289" s="4"/>
      <c r="V289" s="4"/>
      <c r="W289" s="4"/>
      <c r="X289" s="4"/>
      <c r="Y289" s="4"/>
      <c r="Z289" s="4"/>
      <c r="AA289" s="4"/>
      <c r="AB289" s="4"/>
    </row>
    <row r="290" spans="1:28" x14ac:dyDescent="0.2">
      <c r="A290" s="4" t="str">
        <f t="shared" si="2"/>
        <v/>
      </c>
      <c r="B290" s="4" t="str">
        <f t="shared" si="3"/>
        <v/>
      </c>
      <c r="C290" s="4"/>
      <c r="D290" s="4"/>
      <c r="E290" s="4"/>
      <c r="F290" s="4"/>
      <c r="G290" s="4"/>
      <c r="H290" s="4"/>
      <c r="I290" s="4"/>
      <c r="J290" s="4"/>
      <c r="K290" s="4"/>
      <c r="L290" s="4"/>
      <c r="M290" s="4"/>
      <c r="N290" s="6">
        <f ca="1">IFERROR(__xludf.DUMMYFUNCTION("""COMPUTED_VALUE"""),38)</f>
        <v>38</v>
      </c>
      <c r="O290" s="6">
        <f ca="1">IFERROR(__xludf.DUMMYFUNCTION("""COMPUTED_VALUE"""),39)</f>
        <v>39</v>
      </c>
      <c r="P290" s="4" t="str">
        <f ca="1">IFERROR(__xludf.DUMMYFUNCTION("""COMPUTED_VALUE"""),"")</f>
        <v/>
      </c>
      <c r="Q290" s="6">
        <f ca="1">IFERROR(__xludf.DUMMYFUNCTION("""COMPUTED_VALUE"""),769)</f>
        <v>769</v>
      </c>
      <c r="R290" s="4" t="str">
        <f ca="1">IFERROR(__xludf.DUMMYFUNCTION("""COMPUTED_VALUE"""),"")</f>
        <v/>
      </c>
      <c r="S290" s="6">
        <f ca="1">IFERROR(__xludf.DUMMYFUNCTION("""COMPUTED_VALUE"""),1865)</f>
        <v>1865</v>
      </c>
      <c r="T290" s="4"/>
      <c r="U290" s="4"/>
      <c r="V290" s="4"/>
      <c r="W290" s="4"/>
      <c r="X290" s="4"/>
      <c r="Y290" s="4"/>
      <c r="Z290" s="4"/>
      <c r="AA290" s="4"/>
      <c r="AB290" s="4"/>
    </row>
    <row r="291" spans="1:28" x14ac:dyDescent="0.2">
      <c r="A291" s="4" t="str">
        <f t="shared" si="2"/>
        <v/>
      </c>
      <c r="B291" s="4" t="str">
        <f t="shared" si="3"/>
        <v/>
      </c>
      <c r="C291" s="4"/>
      <c r="D291" s="4"/>
      <c r="E291" s="4"/>
      <c r="F291" s="4"/>
      <c r="G291" s="4"/>
      <c r="H291" s="4"/>
      <c r="I291" s="4"/>
      <c r="J291" s="4"/>
      <c r="K291" s="4"/>
      <c r="L291" s="4"/>
      <c r="M291" s="4"/>
      <c r="N291" s="6">
        <f ca="1">IFERROR(__xludf.DUMMYFUNCTION("""COMPUTED_VALUE"""),38)</f>
        <v>38</v>
      </c>
      <c r="O291" s="6">
        <f ca="1">IFERROR(__xludf.DUMMYFUNCTION("""COMPUTED_VALUE"""),39)</f>
        <v>39</v>
      </c>
      <c r="P291" s="4" t="str">
        <f ca="1">IFERROR(__xludf.DUMMYFUNCTION("""COMPUTED_VALUE"""),"")</f>
        <v/>
      </c>
      <c r="Q291" s="6">
        <f ca="1">IFERROR(__xludf.DUMMYFUNCTION("""COMPUTED_VALUE"""),769)</f>
        <v>769</v>
      </c>
      <c r="R291" s="4" t="str">
        <f ca="1">IFERROR(__xludf.DUMMYFUNCTION("""COMPUTED_VALUE"""),"")</f>
        <v/>
      </c>
      <c r="S291" s="6">
        <f ca="1">IFERROR(__xludf.DUMMYFUNCTION("""COMPUTED_VALUE"""),1865)</f>
        <v>1865</v>
      </c>
      <c r="T291" s="4"/>
      <c r="U291" s="4"/>
      <c r="V291" s="4"/>
      <c r="W291" s="4"/>
      <c r="X291" s="4"/>
      <c r="Y291" s="4"/>
      <c r="Z291" s="4"/>
      <c r="AA291" s="4"/>
      <c r="AB291" s="4"/>
    </row>
    <row r="292" spans="1:28" x14ac:dyDescent="0.2">
      <c r="A292" s="4" t="str">
        <f t="shared" si="2"/>
        <v/>
      </c>
      <c r="B292" s="4" t="str">
        <f t="shared" si="3"/>
        <v/>
      </c>
      <c r="C292" s="4"/>
      <c r="D292" s="4"/>
      <c r="E292" s="4"/>
      <c r="F292" s="4"/>
      <c r="G292" s="4"/>
      <c r="H292" s="4"/>
      <c r="I292" s="4"/>
      <c r="J292" s="4"/>
      <c r="K292" s="4"/>
      <c r="L292" s="4"/>
      <c r="M292" s="4"/>
      <c r="N292" s="6">
        <f ca="1">IFERROR(__xludf.DUMMYFUNCTION("""COMPUTED_VALUE"""),38)</f>
        <v>38</v>
      </c>
      <c r="O292" s="6">
        <f ca="1">IFERROR(__xludf.DUMMYFUNCTION("""COMPUTED_VALUE"""),39)</f>
        <v>39</v>
      </c>
      <c r="P292" s="4" t="str">
        <f ca="1">IFERROR(__xludf.DUMMYFUNCTION("""COMPUTED_VALUE"""),"")</f>
        <v/>
      </c>
      <c r="Q292" s="6">
        <f ca="1">IFERROR(__xludf.DUMMYFUNCTION("""COMPUTED_VALUE"""),769)</f>
        <v>769</v>
      </c>
      <c r="R292" s="4" t="str">
        <f ca="1">IFERROR(__xludf.DUMMYFUNCTION("""COMPUTED_VALUE"""),"")</f>
        <v/>
      </c>
      <c r="S292" s="6">
        <f ca="1">IFERROR(__xludf.DUMMYFUNCTION("""COMPUTED_VALUE"""),1865)</f>
        <v>1865</v>
      </c>
      <c r="T292" s="4"/>
      <c r="U292" s="4"/>
      <c r="V292" s="4"/>
      <c r="W292" s="4"/>
      <c r="X292" s="4"/>
      <c r="Y292" s="4"/>
      <c r="Z292" s="4"/>
      <c r="AA292" s="4"/>
      <c r="AB292" s="4"/>
    </row>
    <row r="293" spans="1:28" x14ac:dyDescent="0.2">
      <c r="A293" s="4" t="str">
        <f t="shared" si="2"/>
        <v/>
      </c>
      <c r="B293" s="4" t="str">
        <f t="shared" si="3"/>
        <v/>
      </c>
      <c r="C293" s="4"/>
      <c r="D293" s="4"/>
      <c r="E293" s="4"/>
      <c r="F293" s="4"/>
      <c r="G293" s="4"/>
      <c r="H293" s="4"/>
      <c r="I293" s="4"/>
      <c r="J293" s="4"/>
      <c r="K293" s="4"/>
      <c r="L293" s="4"/>
      <c r="M293" s="4"/>
      <c r="N293" s="6">
        <f ca="1">IFERROR(__xludf.DUMMYFUNCTION("""COMPUTED_VALUE"""),38)</f>
        <v>38</v>
      </c>
      <c r="O293" s="6">
        <f ca="1">IFERROR(__xludf.DUMMYFUNCTION("""COMPUTED_VALUE"""),39)</f>
        <v>39</v>
      </c>
      <c r="P293" s="4" t="str">
        <f ca="1">IFERROR(__xludf.DUMMYFUNCTION("""COMPUTED_VALUE"""),"")</f>
        <v/>
      </c>
      <c r="Q293" s="6">
        <f ca="1">IFERROR(__xludf.DUMMYFUNCTION("""COMPUTED_VALUE"""),769)</f>
        <v>769</v>
      </c>
      <c r="R293" s="4" t="str">
        <f ca="1">IFERROR(__xludf.DUMMYFUNCTION("""COMPUTED_VALUE"""),"")</f>
        <v/>
      </c>
      <c r="S293" s="6">
        <f ca="1">IFERROR(__xludf.DUMMYFUNCTION("""COMPUTED_VALUE"""),1865)</f>
        <v>1865</v>
      </c>
      <c r="T293" s="4"/>
      <c r="U293" s="4"/>
      <c r="V293" s="4"/>
      <c r="W293" s="4"/>
      <c r="X293" s="4"/>
      <c r="Y293" s="4"/>
      <c r="Z293" s="4"/>
      <c r="AA293" s="4"/>
      <c r="AB293" s="4"/>
    </row>
    <row r="294" spans="1:28" x14ac:dyDescent="0.2">
      <c r="A294" s="4" t="str">
        <f t="shared" si="2"/>
        <v/>
      </c>
      <c r="B294" s="4" t="str">
        <f t="shared" si="3"/>
        <v/>
      </c>
      <c r="C294" s="4"/>
      <c r="D294" s="4"/>
      <c r="E294" s="4"/>
      <c r="F294" s="4"/>
      <c r="G294" s="4"/>
      <c r="H294" s="4"/>
      <c r="I294" s="4"/>
      <c r="J294" s="4"/>
      <c r="K294" s="4"/>
      <c r="L294" s="4"/>
      <c r="M294" s="4"/>
      <c r="N294" s="6">
        <f ca="1">IFERROR(__xludf.DUMMYFUNCTION("""COMPUTED_VALUE"""),38)</f>
        <v>38</v>
      </c>
      <c r="O294" s="6">
        <f ca="1">IFERROR(__xludf.DUMMYFUNCTION("""COMPUTED_VALUE"""),39)</f>
        <v>39</v>
      </c>
      <c r="P294" s="4" t="str">
        <f ca="1">IFERROR(__xludf.DUMMYFUNCTION("""COMPUTED_VALUE"""),"")</f>
        <v/>
      </c>
      <c r="Q294" s="6">
        <f ca="1">IFERROR(__xludf.DUMMYFUNCTION("""COMPUTED_VALUE"""),769)</f>
        <v>769</v>
      </c>
      <c r="R294" s="4" t="str">
        <f ca="1">IFERROR(__xludf.DUMMYFUNCTION("""COMPUTED_VALUE"""),"")</f>
        <v/>
      </c>
      <c r="S294" s="6">
        <f ca="1">IFERROR(__xludf.DUMMYFUNCTION("""COMPUTED_VALUE"""),1865)</f>
        <v>1865</v>
      </c>
      <c r="T294" s="4"/>
      <c r="U294" s="4"/>
      <c r="V294" s="4"/>
      <c r="W294" s="4"/>
      <c r="X294" s="4"/>
      <c r="Y294" s="4"/>
      <c r="Z294" s="4"/>
      <c r="AA294" s="4"/>
      <c r="AB294" s="4"/>
    </row>
    <row r="295" spans="1:28" x14ac:dyDescent="0.2">
      <c r="A295" s="4" t="str">
        <f t="shared" si="2"/>
        <v/>
      </c>
      <c r="B295" s="4" t="str">
        <f t="shared" si="3"/>
        <v/>
      </c>
      <c r="C295" s="4"/>
      <c r="D295" s="4"/>
      <c r="E295" s="4"/>
      <c r="F295" s="4"/>
      <c r="G295" s="4"/>
      <c r="H295" s="4"/>
      <c r="I295" s="4"/>
      <c r="J295" s="4"/>
      <c r="K295" s="4"/>
      <c r="L295" s="4"/>
      <c r="M295" s="4"/>
      <c r="N295" s="6">
        <f ca="1">IFERROR(__xludf.DUMMYFUNCTION("""COMPUTED_VALUE"""),38)</f>
        <v>38</v>
      </c>
      <c r="O295" s="6">
        <f ca="1">IFERROR(__xludf.DUMMYFUNCTION("""COMPUTED_VALUE"""),39)</f>
        <v>39</v>
      </c>
      <c r="P295" s="4" t="str">
        <f ca="1">IFERROR(__xludf.DUMMYFUNCTION("""COMPUTED_VALUE"""),"")</f>
        <v/>
      </c>
      <c r="Q295" s="6">
        <f ca="1">IFERROR(__xludf.DUMMYFUNCTION("""COMPUTED_VALUE"""),769)</f>
        <v>769</v>
      </c>
      <c r="R295" s="4" t="str">
        <f ca="1">IFERROR(__xludf.DUMMYFUNCTION("""COMPUTED_VALUE"""),"")</f>
        <v/>
      </c>
      <c r="S295" s="6">
        <f ca="1">IFERROR(__xludf.DUMMYFUNCTION("""COMPUTED_VALUE"""),1865)</f>
        <v>1865</v>
      </c>
      <c r="T295" s="4"/>
      <c r="U295" s="4"/>
      <c r="V295" s="4"/>
      <c r="W295" s="4"/>
      <c r="X295" s="4"/>
      <c r="Y295" s="4"/>
      <c r="Z295" s="4"/>
      <c r="AA295" s="4"/>
      <c r="AB295" s="4"/>
    </row>
    <row r="296" spans="1:28" x14ac:dyDescent="0.2">
      <c r="A296" s="4" t="str">
        <f t="shared" si="2"/>
        <v/>
      </c>
      <c r="B296" s="4" t="str">
        <f t="shared" si="3"/>
        <v/>
      </c>
      <c r="C296" s="4"/>
      <c r="D296" s="4"/>
      <c r="E296" s="4"/>
      <c r="F296" s="4"/>
      <c r="G296" s="4"/>
      <c r="H296" s="4"/>
      <c r="I296" s="4"/>
      <c r="J296" s="4"/>
      <c r="K296" s="4"/>
      <c r="L296" s="4"/>
      <c r="M296" s="4"/>
      <c r="N296" s="6">
        <f ca="1">IFERROR(__xludf.DUMMYFUNCTION("""COMPUTED_VALUE"""),38)</f>
        <v>38</v>
      </c>
      <c r="O296" s="6">
        <f ca="1">IFERROR(__xludf.DUMMYFUNCTION("""COMPUTED_VALUE"""),39)</f>
        <v>39</v>
      </c>
      <c r="P296" s="4" t="str">
        <f ca="1">IFERROR(__xludf.DUMMYFUNCTION("""COMPUTED_VALUE"""),"")</f>
        <v/>
      </c>
      <c r="Q296" s="6">
        <f ca="1">IFERROR(__xludf.DUMMYFUNCTION("""COMPUTED_VALUE"""),769)</f>
        <v>769</v>
      </c>
      <c r="R296" s="4" t="str">
        <f ca="1">IFERROR(__xludf.DUMMYFUNCTION("""COMPUTED_VALUE"""),"")</f>
        <v/>
      </c>
      <c r="S296" s="6">
        <f ca="1">IFERROR(__xludf.DUMMYFUNCTION("""COMPUTED_VALUE"""),1865)</f>
        <v>1865</v>
      </c>
      <c r="T296" s="4"/>
      <c r="U296" s="4"/>
      <c r="V296" s="4"/>
      <c r="W296" s="4"/>
      <c r="X296" s="4"/>
      <c r="Y296" s="4"/>
      <c r="Z296" s="4"/>
      <c r="AA296" s="4"/>
      <c r="AB296" s="4"/>
    </row>
    <row r="297" spans="1:28" x14ac:dyDescent="0.2">
      <c r="A297" s="4" t="str">
        <f t="shared" si="2"/>
        <v/>
      </c>
      <c r="B297" s="4" t="str">
        <f t="shared" si="3"/>
        <v/>
      </c>
      <c r="C297" s="4"/>
      <c r="D297" s="4"/>
      <c r="E297" s="4"/>
      <c r="F297" s="4"/>
      <c r="G297" s="4"/>
      <c r="H297" s="4"/>
      <c r="I297" s="4"/>
      <c r="J297" s="4"/>
      <c r="K297" s="4"/>
      <c r="L297" s="4"/>
      <c r="M297" s="4"/>
      <c r="N297" s="6">
        <f ca="1">IFERROR(__xludf.DUMMYFUNCTION("""COMPUTED_VALUE"""),38)</f>
        <v>38</v>
      </c>
      <c r="O297" s="6">
        <f ca="1">IFERROR(__xludf.DUMMYFUNCTION("""COMPUTED_VALUE"""),39)</f>
        <v>39</v>
      </c>
      <c r="P297" s="4" t="str">
        <f ca="1">IFERROR(__xludf.DUMMYFUNCTION("""COMPUTED_VALUE"""),"")</f>
        <v/>
      </c>
      <c r="Q297" s="6">
        <f ca="1">IFERROR(__xludf.DUMMYFUNCTION("""COMPUTED_VALUE"""),769)</f>
        <v>769</v>
      </c>
      <c r="R297" s="4" t="str">
        <f ca="1">IFERROR(__xludf.DUMMYFUNCTION("""COMPUTED_VALUE"""),"")</f>
        <v/>
      </c>
      <c r="S297" s="6">
        <f ca="1">IFERROR(__xludf.DUMMYFUNCTION("""COMPUTED_VALUE"""),1865)</f>
        <v>1865</v>
      </c>
      <c r="T297" s="4"/>
      <c r="U297" s="4"/>
      <c r="V297" s="4"/>
      <c r="W297" s="4"/>
      <c r="X297" s="4"/>
      <c r="Y297" s="4"/>
      <c r="Z297" s="4"/>
      <c r="AA297" s="4"/>
      <c r="AB297" s="4"/>
    </row>
    <row r="298" spans="1:28" x14ac:dyDescent="0.2">
      <c r="A298" s="4" t="str">
        <f t="shared" si="2"/>
        <v/>
      </c>
      <c r="B298" s="4" t="str">
        <f t="shared" si="3"/>
        <v/>
      </c>
      <c r="C298" s="4"/>
      <c r="D298" s="4"/>
      <c r="E298" s="4"/>
      <c r="F298" s="4"/>
      <c r="G298" s="4"/>
      <c r="H298" s="4"/>
      <c r="I298" s="4"/>
      <c r="J298" s="4"/>
      <c r="K298" s="4"/>
      <c r="L298" s="4"/>
      <c r="M298" s="4"/>
      <c r="N298" s="6">
        <f ca="1">IFERROR(__xludf.DUMMYFUNCTION("""COMPUTED_VALUE"""),38)</f>
        <v>38</v>
      </c>
      <c r="O298" s="6">
        <f ca="1">IFERROR(__xludf.DUMMYFUNCTION("""COMPUTED_VALUE"""),39)</f>
        <v>39</v>
      </c>
      <c r="P298" s="4" t="str">
        <f ca="1">IFERROR(__xludf.DUMMYFUNCTION("""COMPUTED_VALUE"""),"")</f>
        <v/>
      </c>
      <c r="Q298" s="6">
        <f ca="1">IFERROR(__xludf.DUMMYFUNCTION("""COMPUTED_VALUE"""),769)</f>
        <v>769</v>
      </c>
      <c r="R298" s="4" t="str">
        <f ca="1">IFERROR(__xludf.DUMMYFUNCTION("""COMPUTED_VALUE"""),"")</f>
        <v/>
      </c>
      <c r="S298" s="6">
        <f ca="1">IFERROR(__xludf.DUMMYFUNCTION("""COMPUTED_VALUE"""),1865)</f>
        <v>1865</v>
      </c>
      <c r="T298" s="4"/>
      <c r="U298" s="4"/>
      <c r="V298" s="4"/>
      <c r="W298" s="4"/>
      <c r="X298" s="4"/>
      <c r="Y298" s="4"/>
      <c r="Z298" s="4"/>
      <c r="AA298" s="4"/>
      <c r="AB298" s="4"/>
    </row>
    <row r="299" spans="1:28" x14ac:dyDescent="0.2">
      <c r="A299" s="4" t="str">
        <f t="shared" si="2"/>
        <v/>
      </c>
      <c r="B299" s="4" t="str">
        <f t="shared" si="3"/>
        <v/>
      </c>
      <c r="C299" s="4"/>
      <c r="D299" s="4"/>
      <c r="E299" s="4"/>
      <c r="F299" s="4"/>
      <c r="G299" s="4"/>
      <c r="H299" s="4"/>
      <c r="I299" s="4"/>
      <c r="J299" s="4"/>
      <c r="K299" s="4"/>
      <c r="L299" s="4"/>
      <c r="M299" s="4"/>
      <c r="N299" s="6">
        <f ca="1">IFERROR(__xludf.DUMMYFUNCTION("""COMPUTED_VALUE"""),38)</f>
        <v>38</v>
      </c>
      <c r="O299" s="6">
        <f ca="1">IFERROR(__xludf.DUMMYFUNCTION("""COMPUTED_VALUE"""),39)</f>
        <v>39</v>
      </c>
      <c r="P299" s="4" t="str">
        <f ca="1">IFERROR(__xludf.DUMMYFUNCTION("""COMPUTED_VALUE"""),"")</f>
        <v/>
      </c>
      <c r="Q299" s="6">
        <f ca="1">IFERROR(__xludf.DUMMYFUNCTION("""COMPUTED_VALUE"""),769)</f>
        <v>769</v>
      </c>
      <c r="R299" s="4" t="str">
        <f ca="1">IFERROR(__xludf.DUMMYFUNCTION("""COMPUTED_VALUE"""),"")</f>
        <v/>
      </c>
      <c r="S299" s="6">
        <f ca="1">IFERROR(__xludf.DUMMYFUNCTION("""COMPUTED_VALUE"""),1865)</f>
        <v>1865</v>
      </c>
      <c r="T299" s="4"/>
      <c r="U299" s="4"/>
      <c r="V299" s="4"/>
      <c r="W299" s="4"/>
      <c r="X299" s="4"/>
      <c r="Y299" s="4"/>
      <c r="Z299" s="4"/>
      <c r="AA299" s="4"/>
      <c r="AB299" s="4"/>
    </row>
    <row r="300" spans="1:28" x14ac:dyDescent="0.2">
      <c r="A300" s="4" t="str">
        <f t="shared" si="2"/>
        <v/>
      </c>
      <c r="B300" s="4" t="str">
        <f t="shared" si="3"/>
        <v/>
      </c>
      <c r="C300" s="4"/>
      <c r="D300" s="4"/>
      <c r="E300" s="4"/>
      <c r="F300" s="4"/>
      <c r="G300" s="4"/>
      <c r="H300" s="4"/>
      <c r="I300" s="4"/>
      <c r="J300" s="4"/>
      <c r="K300" s="4"/>
      <c r="L300" s="4"/>
      <c r="M300" s="4"/>
      <c r="N300" s="6">
        <f ca="1">IFERROR(__xludf.DUMMYFUNCTION("""COMPUTED_VALUE"""),38)</f>
        <v>38</v>
      </c>
      <c r="O300" s="6">
        <f ca="1">IFERROR(__xludf.DUMMYFUNCTION("""COMPUTED_VALUE"""),39)</f>
        <v>39</v>
      </c>
      <c r="P300" s="4" t="str">
        <f ca="1">IFERROR(__xludf.DUMMYFUNCTION("""COMPUTED_VALUE"""),"")</f>
        <v/>
      </c>
      <c r="Q300" s="6">
        <f ca="1">IFERROR(__xludf.DUMMYFUNCTION("""COMPUTED_VALUE"""),769)</f>
        <v>769</v>
      </c>
      <c r="R300" s="4" t="str">
        <f ca="1">IFERROR(__xludf.DUMMYFUNCTION("""COMPUTED_VALUE"""),"")</f>
        <v/>
      </c>
      <c r="S300" s="6">
        <f ca="1">IFERROR(__xludf.DUMMYFUNCTION("""COMPUTED_VALUE"""),1865)</f>
        <v>1865</v>
      </c>
      <c r="T300" s="4"/>
      <c r="U300" s="4"/>
      <c r="V300" s="4"/>
      <c r="W300" s="4"/>
      <c r="X300" s="4"/>
      <c r="Y300" s="4"/>
      <c r="Z300" s="4"/>
      <c r="AA300" s="4"/>
      <c r="AB300" s="4"/>
    </row>
    <row r="301" spans="1:28" x14ac:dyDescent="0.2">
      <c r="A301" s="4" t="str">
        <f t="shared" si="2"/>
        <v/>
      </c>
      <c r="B301" s="4" t="str">
        <f t="shared" si="3"/>
        <v/>
      </c>
      <c r="C301" s="4"/>
      <c r="D301" s="4"/>
      <c r="E301" s="4"/>
      <c r="F301" s="4"/>
      <c r="G301" s="4"/>
      <c r="H301" s="4"/>
      <c r="I301" s="4"/>
      <c r="J301" s="4"/>
      <c r="K301" s="4"/>
      <c r="L301" s="4"/>
      <c r="M301" s="4"/>
      <c r="N301" s="6">
        <f ca="1">IFERROR(__xludf.DUMMYFUNCTION("""COMPUTED_VALUE"""),38)</f>
        <v>38</v>
      </c>
      <c r="O301" s="6">
        <f ca="1">IFERROR(__xludf.DUMMYFUNCTION("""COMPUTED_VALUE"""),39)</f>
        <v>39</v>
      </c>
      <c r="P301" s="4" t="str">
        <f ca="1">IFERROR(__xludf.DUMMYFUNCTION("""COMPUTED_VALUE"""),"")</f>
        <v/>
      </c>
      <c r="Q301" s="6">
        <f ca="1">IFERROR(__xludf.DUMMYFUNCTION("""COMPUTED_VALUE"""),769)</f>
        <v>769</v>
      </c>
      <c r="R301" s="4" t="str">
        <f ca="1">IFERROR(__xludf.DUMMYFUNCTION("""COMPUTED_VALUE"""),"")</f>
        <v/>
      </c>
      <c r="S301" s="6">
        <f ca="1">IFERROR(__xludf.DUMMYFUNCTION("""COMPUTED_VALUE"""),1865)</f>
        <v>1865</v>
      </c>
      <c r="T301" s="4"/>
      <c r="U301" s="4"/>
      <c r="V301" s="4"/>
      <c r="W301" s="4"/>
      <c r="X301" s="4"/>
      <c r="Y301" s="4"/>
      <c r="Z301" s="4"/>
      <c r="AA301" s="4"/>
      <c r="AB301" s="4"/>
    </row>
    <row r="302" spans="1:28" x14ac:dyDescent="0.2">
      <c r="A302" s="4" t="str">
        <f t="shared" si="2"/>
        <v/>
      </c>
      <c r="B302" s="4" t="str">
        <f t="shared" si="3"/>
        <v/>
      </c>
      <c r="C302" s="4"/>
      <c r="D302" s="4"/>
      <c r="E302" s="4"/>
      <c r="F302" s="4"/>
      <c r="G302" s="4"/>
      <c r="H302" s="4"/>
      <c r="I302" s="4"/>
      <c r="J302" s="4"/>
      <c r="K302" s="4"/>
      <c r="L302" s="4"/>
      <c r="M302" s="4"/>
      <c r="N302" s="6">
        <f ca="1">IFERROR(__xludf.DUMMYFUNCTION("""COMPUTED_VALUE"""),38)</f>
        <v>38</v>
      </c>
      <c r="O302" s="6">
        <f ca="1">IFERROR(__xludf.DUMMYFUNCTION("""COMPUTED_VALUE"""),39)</f>
        <v>39</v>
      </c>
      <c r="P302" s="4" t="str">
        <f ca="1">IFERROR(__xludf.DUMMYFUNCTION("""COMPUTED_VALUE"""),"")</f>
        <v/>
      </c>
      <c r="Q302" s="6">
        <f ca="1">IFERROR(__xludf.DUMMYFUNCTION("""COMPUTED_VALUE"""),769)</f>
        <v>769</v>
      </c>
      <c r="R302" s="4" t="str">
        <f ca="1">IFERROR(__xludf.DUMMYFUNCTION("""COMPUTED_VALUE"""),"")</f>
        <v/>
      </c>
      <c r="S302" s="6">
        <f ca="1">IFERROR(__xludf.DUMMYFUNCTION("""COMPUTED_VALUE"""),1865)</f>
        <v>1865</v>
      </c>
      <c r="T302" s="4"/>
      <c r="U302" s="4"/>
      <c r="V302" s="4"/>
      <c r="W302" s="4"/>
      <c r="X302" s="4"/>
      <c r="Y302" s="4"/>
      <c r="Z302" s="4"/>
      <c r="AA302" s="4"/>
      <c r="AB302" s="4"/>
    </row>
    <row r="303" spans="1:28" x14ac:dyDescent="0.2">
      <c r="A303" s="4" t="str">
        <f t="shared" si="2"/>
        <v/>
      </c>
      <c r="B303" s="4" t="str">
        <f t="shared" si="3"/>
        <v/>
      </c>
      <c r="C303" s="4"/>
      <c r="D303" s="4"/>
      <c r="E303" s="4"/>
      <c r="F303" s="4"/>
      <c r="G303" s="4"/>
      <c r="H303" s="4"/>
      <c r="I303" s="4"/>
      <c r="J303" s="4"/>
      <c r="K303" s="4"/>
      <c r="L303" s="4"/>
      <c r="M303" s="4"/>
      <c r="N303" s="6">
        <f ca="1">IFERROR(__xludf.DUMMYFUNCTION("""COMPUTED_VALUE"""),38)</f>
        <v>38</v>
      </c>
      <c r="O303" s="6">
        <f ca="1">IFERROR(__xludf.DUMMYFUNCTION("""COMPUTED_VALUE"""),39)</f>
        <v>39</v>
      </c>
      <c r="P303" s="4" t="str">
        <f ca="1">IFERROR(__xludf.DUMMYFUNCTION("""COMPUTED_VALUE"""),"")</f>
        <v/>
      </c>
      <c r="Q303" s="6">
        <f ca="1">IFERROR(__xludf.DUMMYFUNCTION("""COMPUTED_VALUE"""),769)</f>
        <v>769</v>
      </c>
      <c r="R303" s="4" t="str">
        <f ca="1">IFERROR(__xludf.DUMMYFUNCTION("""COMPUTED_VALUE"""),"")</f>
        <v/>
      </c>
      <c r="S303" s="6">
        <f ca="1">IFERROR(__xludf.DUMMYFUNCTION("""COMPUTED_VALUE"""),1865)</f>
        <v>1865</v>
      </c>
      <c r="T303" s="4"/>
      <c r="U303" s="4"/>
      <c r="V303" s="4"/>
      <c r="W303" s="4"/>
      <c r="X303" s="4"/>
      <c r="Y303" s="4"/>
      <c r="Z303" s="4"/>
      <c r="AA303" s="4"/>
      <c r="AB303" s="4"/>
    </row>
    <row r="304" spans="1:28" x14ac:dyDescent="0.2">
      <c r="A304" s="4" t="str">
        <f t="shared" si="2"/>
        <v/>
      </c>
      <c r="B304" s="4" t="str">
        <f t="shared" si="3"/>
        <v/>
      </c>
      <c r="C304" s="4"/>
      <c r="D304" s="4"/>
      <c r="E304" s="4"/>
      <c r="F304" s="4"/>
      <c r="G304" s="4"/>
      <c r="H304" s="4"/>
      <c r="I304" s="4"/>
      <c r="J304" s="4"/>
      <c r="K304" s="4"/>
      <c r="L304" s="4"/>
      <c r="M304" s="4"/>
      <c r="N304" s="6">
        <f ca="1">IFERROR(__xludf.DUMMYFUNCTION("""COMPUTED_VALUE"""),38)</f>
        <v>38</v>
      </c>
      <c r="O304" s="6">
        <f ca="1">IFERROR(__xludf.DUMMYFUNCTION("""COMPUTED_VALUE"""),39)</f>
        <v>39</v>
      </c>
      <c r="P304" s="4" t="str">
        <f ca="1">IFERROR(__xludf.DUMMYFUNCTION("""COMPUTED_VALUE"""),"")</f>
        <v/>
      </c>
      <c r="Q304" s="6">
        <f ca="1">IFERROR(__xludf.DUMMYFUNCTION("""COMPUTED_VALUE"""),769)</f>
        <v>769</v>
      </c>
      <c r="R304" s="4" t="str">
        <f ca="1">IFERROR(__xludf.DUMMYFUNCTION("""COMPUTED_VALUE"""),"")</f>
        <v/>
      </c>
      <c r="S304" s="6">
        <f ca="1">IFERROR(__xludf.DUMMYFUNCTION("""COMPUTED_VALUE"""),1865)</f>
        <v>1865</v>
      </c>
      <c r="T304" s="4"/>
      <c r="U304" s="4"/>
      <c r="V304" s="4"/>
      <c r="W304" s="4"/>
      <c r="X304" s="4"/>
      <c r="Y304" s="4"/>
      <c r="Z304" s="4"/>
      <c r="AA304" s="4"/>
      <c r="AB304" s="4"/>
    </row>
    <row r="305" spans="1:28" x14ac:dyDescent="0.2">
      <c r="A305" s="4" t="str">
        <f t="shared" si="2"/>
        <v/>
      </c>
      <c r="B305" s="4" t="str">
        <f t="shared" si="3"/>
        <v/>
      </c>
      <c r="C305" s="4"/>
      <c r="D305" s="4"/>
      <c r="E305" s="4"/>
      <c r="F305" s="4"/>
      <c r="G305" s="4"/>
      <c r="H305" s="4"/>
      <c r="I305" s="4"/>
      <c r="J305" s="4"/>
      <c r="K305" s="4"/>
      <c r="L305" s="4"/>
      <c r="M305" s="4"/>
      <c r="N305" s="6">
        <f ca="1">IFERROR(__xludf.DUMMYFUNCTION("""COMPUTED_VALUE"""),38)</f>
        <v>38</v>
      </c>
      <c r="O305" s="6">
        <f ca="1">IFERROR(__xludf.DUMMYFUNCTION("""COMPUTED_VALUE"""),39)</f>
        <v>39</v>
      </c>
      <c r="P305" s="4" t="str">
        <f ca="1">IFERROR(__xludf.DUMMYFUNCTION("""COMPUTED_VALUE"""),"")</f>
        <v/>
      </c>
      <c r="Q305" s="6">
        <f ca="1">IFERROR(__xludf.DUMMYFUNCTION("""COMPUTED_VALUE"""),769)</f>
        <v>769</v>
      </c>
      <c r="R305" s="4" t="str">
        <f ca="1">IFERROR(__xludf.DUMMYFUNCTION("""COMPUTED_VALUE"""),"")</f>
        <v/>
      </c>
      <c r="S305" s="6">
        <f ca="1">IFERROR(__xludf.DUMMYFUNCTION("""COMPUTED_VALUE"""),1865)</f>
        <v>1865</v>
      </c>
      <c r="T305" s="4"/>
      <c r="U305" s="4"/>
      <c r="V305" s="4"/>
      <c r="W305" s="4"/>
      <c r="X305" s="4"/>
      <c r="Y305" s="4"/>
      <c r="Z305" s="4"/>
      <c r="AA305" s="4"/>
      <c r="AB305" s="4"/>
    </row>
    <row r="306" spans="1:28" x14ac:dyDescent="0.2">
      <c r="A306" s="4" t="str">
        <f t="shared" si="2"/>
        <v/>
      </c>
      <c r="B306" s="4" t="str">
        <f t="shared" si="3"/>
        <v/>
      </c>
      <c r="C306" s="4"/>
      <c r="D306" s="4"/>
      <c r="E306" s="4"/>
      <c r="F306" s="4"/>
      <c r="G306" s="4"/>
      <c r="H306" s="4"/>
      <c r="I306" s="4"/>
      <c r="J306" s="4"/>
      <c r="K306" s="4"/>
      <c r="L306" s="4"/>
      <c r="M306" s="4"/>
      <c r="N306" s="6">
        <f ca="1">IFERROR(__xludf.DUMMYFUNCTION("""COMPUTED_VALUE"""),38)</f>
        <v>38</v>
      </c>
      <c r="O306" s="6">
        <f ca="1">IFERROR(__xludf.DUMMYFUNCTION("""COMPUTED_VALUE"""),39)</f>
        <v>39</v>
      </c>
      <c r="P306" s="4" t="str">
        <f ca="1">IFERROR(__xludf.DUMMYFUNCTION("""COMPUTED_VALUE"""),"")</f>
        <v/>
      </c>
      <c r="Q306" s="6">
        <f ca="1">IFERROR(__xludf.DUMMYFUNCTION("""COMPUTED_VALUE"""),769)</f>
        <v>769</v>
      </c>
      <c r="R306" s="4" t="str">
        <f ca="1">IFERROR(__xludf.DUMMYFUNCTION("""COMPUTED_VALUE"""),"")</f>
        <v/>
      </c>
      <c r="S306" s="6">
        <f ca="1">IFERROR(__xludf.DUMMYFUNCTION("""COMPUTED_VALUE"""),1865)</f>
        <v>1865</v>
      </c>
      <c r="T306" s="4"/>
      <c r="U306" s="4"/>
      <c r="V306" s="4"/>
      <c r="W306" s="4"/>
      <c r="X306" s="4"/>
      <c r="Y306" s="4"/>
      <c r="Z306" s="4"/>
      <c r="AA306" s="4"/>
      <c r="AB306" s="4"/>
    </row>
    <row r="307" spans="1:28" x14ac:dyDescent="0.2">
      <c r="A307" s="4" t="str">
        <f t="shared" si="2"/>
        <v/>
      </c>
      <c r="B307" s="4" t="str">
        <f t="shared" si="3"/>
        <v/>
      </c>
      <c r="C307" s="4"/>
      <c r="D307" s="4"/>
      <c r="E307" s="4"/>
      <c r="F307" s="4"/>
      <c r="G307" s="4"/>
      <c r="H307" s="4"/>
      <c r="I307" s="4"/>
      <c r="J307" s="4"/>
      <c r="K307" s="4"/>
      <c r="L307" s="4"/>
      <c r="M307" s="4"/>
      <c r="N307" s="6">
        <f ca="1">IFERROR(__xludf.DUMMYFUNCTION("""COMPUTED_VALUE"""),38)</f>
        <v>38</v>
      </c>
      <c r="O307" s="6">
        <f ca="1">IFERROR(__xludf.DUMMYFUNCTION("""COMPUTED_VALUE"""),39)</f>
        <v>39</v>
      </c>
      <c r="P307" s="4" t="str">
        <f ca="1">IFERROR(__xludf.DUMMYFUNCTION("""COMPUTED_VALUE"""),"")</f>
        <v/>
      </c>
      <c r="Q307" s="6">
        <f ca="1">IFERROR(__xludf.DUMMYFUNCTION("""COMPUTED_VALUE"""),769)</f>
        <v>769</v>
      </c>
      <c r="R307" s="4" t="str">
        <f ca="1">IFERROR(__xludf.DUMMYFUNCTION("""COMPUTED_VALUE"""),"")</f>
        <v/>
      </c>
      <c r="S307" s="6">
        <f ca="1">IFERROR(__xludf.DUMMYFUNCTION("""COMPUTED_VALUE"""),1865)</f>
        <v>1865</v>
      </c>
      <c r="T307" s="4"/>
      <c r="U307" s="4"/>
      <c r="V307" s="4"/>
      <c r="W307" s="4"/>
      <c r="X307" s="4"/>
      <c r="Y307" s="4"/>
      <c r="Z307" s="4"/>
      <c r="AA307" s="4"/>
      <c r="AB307" s="4"/>
    </row>
    <row r="308" spans="1:28" x14ac:dyDescent="0.2">
      <c r="A308" s="4" t="str">
        <f t="shared" si="2"/>
        <v/>
      </c>
      <c r="B308" s="4" t="str">
        <f t="shared" si="3"/>
        <v/>
      </c>
      <c r="C308" s="4"/>
      <c r="D308" s="4"/>
      <c r="E308" s="4"/>
      <c r="F308" s="4"/>
      <c r="G308" s="4"/>
      <c r="H308" s="4"/>
      <c r="I308" s="4"/>
      <c r="J308" s="4"/>
      <c r="K308" s="4"/>
      <c r="L308" s="4"/>
      <c r="M308" s="4"/>
      <c r="N308" s="6">
        <f ca="1">IFERROR(__xludf.DUMMYFUNCTION("""COMPUTED_VALUE"""),38)</f>
        <v>38</v>
      </c>
      <c r="O308" s="6">
        <f ca="1">IFERROR(__xludf.DUMMYFUNCTION("""COMPUTED_VALUE"""),39)</f>
        <v>39</v>
      </c>
      <c r="P308" s="4" t="str">
        <f ca="1">IFERROR(__xludf.DUMMYFUNCTION("""COMPUTED_VALUE"""),"")</f>
        <v/>
      </c>
      <c r="Q308" s="6">
        <f ca="1">IFERROR(__xludf.DUMMYFUNCTION("""COMPUTED_VALUE"""),769)</f>
        <v>769</v>
      </c>
      <c r="R308" s="4" t="str">
        <f ca="1">IFERROR(__xludf.DUMMYFUNCTION("""COMPUTED_VALUE"""),"")</f>
        <v/>
      </c>
      <c r="S308" s="6">
        <f ca="1">IFERROR(__xludf.DUMMYFUNCTION("""COMPUTED_VALUE"""),1865)</f>
        <v>1865</v>
      </c>
      <c r="T308" s="4"/>
      <c r="U308" s="4"/>
      <c r="V308" s="4"/>
      <c r="W308" s="4"/>
      <c r="X308" s="4"/>
      <c r="Y308" s="4"/>
      <c r="Z308" s="4"/>
      <c r="AA308" s="4"/>
      <c r="AB308" s="4"/>
    </row>
    <row r="309" spans="1:28" x14ac:dyDescent="0.2">
      <c r="A309" s="4" t="str">
        <f t="shared" si="2"/>
        <v/>
      </c>
      <c r="B309" s="4" t="str">
        <f t="shared" si="3"/>
        <v/>
      </c>
      <c r="C309" s="4"/>
      <c r="D309" s="4"/>
      <c r="E309" s="4"/>
      <c r="F309" s="4"/>
      <c r="G309" s="4"/>
      <c r="H309" s="4"/>
      <c r="I309" s="4"/>
      <c r="J309" s="4"/>
      <c r="K309" s="4"/>
      <c r="L309" s="4"/>
      <c r="M309" s="4"/>
      <c r="N309" s="6">
        <f ca="1">IFERROR(__xludf.DUMMYFUNCTION("""COMPUTED_VALUE"""),38)</f>
        <v>38</v>
      </c>
      <c r="O309" s="6">
        <f ca="1">IFERROR(__xludf.DUMMYFUNCTION("""COMPUTED_VALUE"""),39)</f>
        <v>39</v>
      </c>
      <c r="P309" s="4" t="str">
        <f ca="1">IFERROR(__xludf.DUMMYFUNCTION("""COMPUTED_VALUE"""),"")</f>
        <v/>
      </c>
      <c r="Q309" s="6">
        <f ca="1">IFERROR(__xludf.DUMMYFUNCTION("""COMPUTED_VALUE"""),769)</f>
        <v>769</v>
      </c>
      <c r="R309" s="4" t="str">
        <f ca="1">IFERROR(__xludf.DUMMYFUNCTION("""COMPUTED_VALUE"""),"")</f>
        <v/>
      </c>
      <c r="S309" s="6">
        <f ca="1">IFERROR(__xludf.DUMMYFUNCTION("""COMPUTED_VALUE"""),1865)</f>
        <v>1865</v>
      </c>
      <c r="T309" s="4"/>
      <c r="U309" s="4"/>
      <c r="V309" s="4"/>
      <c r="W309" s="4"/>
      <c r="X309" s="4"/>
      <c r="Y309" s="4"/>
      <c r="Z309" s="4"/>
      <c r="AA309" s="4"/>
      <c r="AB309" s="4"/>
    </row>
    <row r="310" spans="1:28" x14ac:dyDescent="0.2">
      <c r="A310" s="4" t="str">
        <f t="shared" si="2"/>
        <v/>
      </c>
      <c r="B310" s="4" t="str">
        <f t="shared" si="3"/>
        <v/>
      </c>
      <c r="C310" s="4"/>
      <c r="D310" s="4"/>
      <c r="E310" s="4"/>
      <c r="F310" s="4"/>
      <c r="G310" s="4"/>
      <c r="H310" s="4"/>
      <c r="I310" s="4"/>
      <c r="J310" s="4"/>
      <c r="K310" s="4"/>
      <c r="L310" s="4"/>
      <c r="M310" s="4"/>
      <c r="N310" s="6">
        <f ca="1">IFERROR(__xludf.DUMMYFUNCTION("""COMPUTED_VALUE"""),38)</f>
        <v>38</v>
      </c>
      <c r="O310" s="6">
        <f ca="1">IFERROR(__xludf.DUMMYFUNCTION("""COMPUTED_VALUE"""),39)</f>
        <v>39</v>
      </c>
      <c r="P310" s="4" t="str">
        <f ca="1">IFERROR(__xludf.DUMMYFUNCTION("""COMPUTED_VALUE"""),"")</f>
        <v/>
      </c>
      <c r="Q310" s="6">
        <f ca="1">IFERROR(__xludf.DUMMYFUNCTION("""COMPUTED_VALUE"""),769)</f>
        <v>769</v>
      </c>
      <c r="R310" s="4" t="str">
        <f ca="1">IFERROR(__xludf.DUMMYFUNCTION("""COMPUTED_VALUE"""),"")</f>
        <v/>
      </c>
      <c r="S310" s="6">
        <f ca="1">IFERROR(__xludf.DUMMYFUNCTION("""COMPUTED_VALUE"""),1865)</f>
        <v>1865</v>
      </c>
      <c r="T310" s="4"/>
      <c r="U310" s="4"/>
      <c r="V310" s="4"/>
      <c r="W310" s="4"/>
      <c r="X310" s="4"/>
      <c r="Y310" s="4"/>
      <c r="Z310" s="4"/>
      <c r="AA310" s="4"/>
      <c r="AB310" s="4"/>
    </row>
    <row r="311" spans="1:28" x14ac:dyDescent="0.2">
      <c r="A311" s="4" t="str">
        <f t="shared" si="2"/>
        <v/>
      </c>
      <c r="B311" s="4" t="str">
        <f t="shared" si="3"/>
        <v/>
      </c>
      <c r="C311" s="4"/>
      <c r="D311" s="4"/>
      <c r="E311" s="4"/>
      <c r="F311" s="4"/>
      <c r="G311" s="4"/>
      <c r="H311" s="4"/>
      <c r="I311" s="4"/>
      <c r="J311" s="4"/>
      <c r="K311" s="4"/>
      <c r="L311" s="4"/>
      <c r="M311" s="4"/>
      <c r="N311" s="6">
        <f ca="1">IFERROR(__xludf.DUMMYFUNCTION("""COMPUTED_VALUE"""),38)</f>
        <v>38</v>
      </c>
      <c r="O311" s="6">
        <f ca="1">IFERROR(__xludf.DUMMYFUNCTION("""COMPUTED_VALUE"""),39)</f>
        <v>39</v>
      </c>
      <c r="P311" s="4" t="str">
        <f ca="1">IFERROR(__xludf.DUMMYFUNCTION("""COMPUTED_VALUE"""),"")</f>
        <v/>
      </c>
      <c r="Q311" s="6">
        <f ca="1">IFERROR(__xludf.DUMMYFUNCTION("""COMPUTED_VALUE"""),769)</f>
        <v>769</v>
      </c>
      <c r="R311" s="4" t="str">
        <f ca="1">IFERROR(__xludf.DUMMYFUNCTION("""COMPUTED_VALUE"""),"")</f>
        <v/>
      </c>
      <c r="S311" s="6">
        <f ca="1">IFERROR(__xludf.DUMMYFUNCTION("""COMPUTED_VALUE"""),1865)</f>
        <v>1865</v>
      </c>
      <c r="T311" s="4"/>
      <c r="U311" s="4"/>
      <c r="V311" s="4"/>
      <c r="W311" s="4"/>
      <c r="X311" s="4"/>
      <c r="Y311" s="4"/>
      <c r="Z311" s="4"/>
      <c r="AA311" s="4"/>
      <c r="AB311" s="4"/>
    </row>
    <row r="312" spans="1:28" x14ac:dyDescent="0.2">
      <c r="A312" s="4" t="str">
        <f t="shared" si="2"/>
        <v/>
      </c>
      <c r="B312" s="4" t="str">
        <f t="shared" si="3"/>
        <v/>
      </c>
      <c r="C312" s="4"/>
      <c r="D312" s="4"/>
      <c r="E312" s="4"/>
      <c r="F312" s="4"/>
      <c r="G312" s="4"/>
      <c r="H312" s="4"/>
      <c r="I312" s="4"/>
      <c r="J312" s="4"/>
      <c r="K312" s="4"/>
      <c r="L312" s="4"/>
      <c r="M312" s="4"/>
      <c r="N312" s="6">
        <f ca="1">IFERROR(__xludf.DUMMYFUNCTION("""COMPUTED_VALUE"""),38)</f>
        <v>38</v>
      </c>
      <c r="O312" s="6">
        <f ca="1">IFERROR(__xludf.DUMMYFUNCTION("""COMPUTED_VALUE"""),39)</f>
        <v>39</v>
      </c>
      <c r="P312" s="4" t="str">
        <f ca="1">IFERROR(__xludf.DUMMYFUNCTION("""COMPUTED_VALUE"""),"")</f>
        <v/>
      </c>
      <c r="Q312" s="6">
        <f ca="1">IFERROR(__xludf.DUMMYFUNCTION("""COMPUTED_VALUE"""),769)</f>
        <v>769</v>
      </c>
      <c r="R312" s="4" t="str">
        <f ca="1">IFERROR(__xludf.DUMMYFUNCTION("""COMPUTED_VALUE"""),"")</f>
        <v/>
      </c>
      <c r="S312" s="6">
        <f ca="1">IFERROR(__xludf.DUMMYFUNCTION("""COMPUTED_VALUE"""),1865)</f>
        <v>1865</v>
      </c>
      <c r="T312" s="4"/>
      <c r="U312" s="4"/>
      <c r="V312" s="4"/>
      <c r="W312" s="4"/>
      <c r="X312" s="4"/>
      <c r="Y312" s="4"/>
      <c r="Z312" s="4"/>
      <c r="AA312" s="4"/>
      <c r="AB312" s="4"/>
    </row>
    <row r="313" spans="1:28" x14ac:dyDescent="0.2">
      <c r="A313" s="4" t="str">
        <f t="shared" si="2"/>
        <v/>
      </c>
      <c r="B313" s="4" t="str">
        <f t="shared" si="3"/>
        <v/>
      </c>
      <c r="C313" s="4"/>
      <c r="D313" s="4"/>
      <c r="E313" s="4"/>
      <c r="F313" s="4"/>
      <c r="G313" s="4"/>
      <c r="H313" s="4"/>
      <c r="I313" s="4"/>
      <c r="J313" s="4"/>
      <c r="K313" s="4"/>
      <c r="L313" s="4"/>
      <c r="M313" s="4"/>
      <c r="N313" s="6">
        <f ca="1">IFERROR(__xludf.DUMMYFUNCTION("""COMPUTED_VALUE"""),38)</f>
        <v>38</v>
      </c>
      <c r="O313" s="6">
        <f ca="1">IFERROR(__xludf.DUMMYFUNCTION("""COMPUTED_VALUE"""),39)</f>
        <v>39</v>
      </c>
      <c r="P313" s="4" t="str">
        <f ca="1">IFERROR(__xludf.DUMMYFUNCTION("""COMPUTED_VALUE"""),"")</f>
        <v/>
      </c>
      <c r="Q313" s="6">
        <f ca="1">IFERROR(__xludf.DUMMYFUNCTION("""COMPUTED_VALUE"""),769)</f>
        <v>769</v>
      </c>
      <c r="R313" s="4" t="str">
        <f ca="1">IFERROR(__xludf.DUMMYFUNCTION("""COMPUTED_VALUE"""),"")</f>
        <v/>
      </c>
      <c r="S313" s="6">
        <f ca="1">IFERROR(__xludf.DUMMYFUNCTION("""COMPUTED_VALUE"""),1865)</f>
        <v>1865</v>
      </c>
      <c r="T313" s="4"/>
      <c r="U313" s="4"/>
      <c r="V313" s="4"/>
      <c r="W313" s="4"/>
      <c r="X313" s="4"/>
      <c r="Y313" s="4"/>
      <c r="Z313" s="4"/>
      <c r="AA313" s="4"/>
      <c r="AB313" s="4"/>
    </row>
    <row r="314" spans="1:28" x14ac:dyDescent="0.2">
      <c r="A314" s="4" t="str">
        <f t="shared" si="2"/>
        <v/>
      </c>
      <c r="B314" s="4" t="str">
        <f t="shared" si="3"/>
        <v/>
      </c>
      <c r="C314" s="4"/>
      <c r="D314" s="4"/>
      <c r="E314" s="4"/>
      <c r="F314" s="4"/>
      <c r="G314" s="4"/>
      <c r="H314" s="4"/>
      <c r="I314" s="4"/>
      <c r="J314" s="4"/>
      <c r="K314" s="4"/>
      <c r="L314" s="4"/>
      <c r="M314" s="4"/>
      <c r="N314" s="6">
        <f ca="1">IFERROR(__xludf.DUMMYFUNCTION("""COMPUTED_VALUE"""),38)</f>
        <v>38</v>
      </c>
      <c r="O314" s="6">
        <f ca="1">IFERROR(__xludf.DUMMYFUNCTION("""COMPUTED_VALUE"""),39)</f>
        <v>39</v>
      </c>
      <c r="P314" s="4" t="str">
        <f ca="1">IFERROR(__xludf.DUMMYFUNCTION("""COMPUTED_VALUE"""),"")</f>
        <v/>
      </c>
      <c r="Q314" s="6">
        <f ca="1">IFERROR(__xludf.DUMMYFUNCTION("""COMPUTED_VALUE"""),769)</f>
        <v>769</v>
      </c>
      <c r="R314" s="4" t="str">
        <f ca="1">IFERROR(__xludf.DUMMYFUNCTION("""COMPUTED_VALUE"""),"")</f>
        <v/>
      </c>
      <c r="S314" s="6">
        <f ca="1">IFERROR(__xludf.DUMMYFUNCTION("""COMPUTED_VALUE"""),1865)</f>
        <v>1865</v>
      </c>
      <c r="T314" s="4"/>
      <c r="U314" s="4"/>
      <c r="V314" s="4"/>
      <c r="W314" s="4"/>
      <c r="X314" s="4"/>
      <c r="Y314" s="4"/>
      <c r="Z314" s="4"/>
      <c r="AA314" s="4"/>
      <c r="AB314" s="4"/>
    </row>
    <row r="315" spans="1:28" x14ac:dyDescent="0.2">
      <c r="A315" s="4" t="str">
        <f t="shared" si="2"/>
        <v/>
      </c>
      <c r="B315" s="4" t="str">
        <f t="shared" si="3"/>
        <v/>
      </c>
      <c r="C315" s="4"/>
      <c r="D315" s="4"/>
      <c r="E315" s="4"/>
      <c r="F315" s="4"/>
      <c r="G315" s="4"/>
      <c r="H315" s="4"/>
      <c r="I315" s="4"/>
      <c r="J315" s="4"/>
      <c r="K315" s="4"/>
      <c r="L315" s="4"/>
      <c r="M315" s="4"/>
      <c r="N315" s="6">
        <f ca="1">IFERROR(__xludf.DUMMYFUNCTION("""COMPUTED_VALUE"""),38)</f>
        <v>38</v>
      </c>
      <c r="O315" s="6">
        <f ca="1">IFERROR(__xludf.DUMMYFUNCTION("""COMPUTED_VALUE"""),39)</f>
        <v>39</v>
      </c>
      <c r="P315" s="4" t="str">
        <f ca="1">IFERROR(__xludf.DUMMYFUNCTION("""COMPUTED_VALUE"""),"")</f>
        <v/>
      </c>
      <c r="Q315" s="6">
        <f ca="1">IFERROR(__xludf.DUMMYFUNCTION("""COMPUTED_VALUE"""),769)</f>
        <v>769</v>
      </c>
      <c r="R315" s="4" t="str">
        <f ca="1">IFERROR(__xludf.DUMMYFUNCTION("""COMPUTED_VALUE"""),"")</f>
        <v/>
      </c>
      <c r="S315" s="6">
        <f ca="1">IFERROR(__xludf.DUMMYFUNCTION("""COMPUTED_VALUE"""),1865)</f>
        <v>1865</v>
      </c>
      <c r="T315" s="4"/>
      <c r="U315" s="4"/>
      <c r="V315" s="4"/>
      <c r="W315" s="4"/>
      <c r="X315" s="4"/>
      <c r="Y315" s="4"/>
      <c r="Z315" s="4"/>
      <c r="AA315" s="4"/>
      <c r="AB315" s="4"/>
    </row>
    <row r="316" spans="1:28" x14ac:dyDescent="0.2">
      <c r="A316" s="4" t="str">
        <f t="shared" si="2"/>
        <v/>
      </c>
      <c r="B316" s="4" t="str">
        <f t="shared" si="3"/>
        <v/>
      </c>
      <c r="C316" s="4"/>
      <c r="D316" s="4"/>
      <c r="E316" s="4"/>
      <c r="F316" s="4"/>
      <c r="G316" s="4"/>
      <c r="H316" s="4"/>
      <c r="I316" s="4"/>
      <c r="J316" s="4"/>
      <c r="K316" s="4"/>
      <c r="L316" s="4"/>
      <c r="M316" s="4"/>
      <c r="N316" s="6">
        <f ca="1">IFERROR(__xludf.DUMMYFUNCTION("""COMPUTED_VALUE"""),38)</f>
        <v>38</v>
      </c>
      <c r="O316" s="6">
        <f ca="1">IFERROR(__xludf.DUMMYFUNCTION("""COMPUTED_VALUE"""),39)</f>
        <v>39</v>
      </c>
      <c r="P316" s="4" t="str">
        <f ca="1">IFERROR(__xludf.DUMMYFUNCTION("""COMPUTED_VALUE"""),"")</f>
        <v/>
      </c>
      <c r="Q316" s="6">
        <f ca="1">IFERROR(__xludf.DUMMYFUNCTION("""COMPUTED_VALUE"""),769)</f>
        <v>769</v>
      </c>
      <c r="R316" s="4" t="str">
        <f ca="1">IFERROR(__xludf.DUMMYFUNCTION("""COMPUTED_VALUE"""),"")</f>
        <v/>
      </c>
      <c r="S316" s="6">
        <f ca="1">IFERROR(__xludf.DUMMYFUNCTION("""COMPUTED_VALUE"""),1865)</f>
        <v>1865</v>
      </c>
      <c r="T316" s="4"/>
      <c r="U316" s="4"/>
      <c r="V316" s="4"/>
      <c r="W316" s="4"/>
      <c r="X316" s="4"/>
      <c r="Y316" s="4"/>
      <c r="Z316" s="4"/>
      <c r="AA316" s="4"/>
      <c r="AB316" s="4"/>
    </row>
    <row r="317" spans="1:28" x14ac:dyDescent="0.2">
      <c r="A317" s="4" t="str">
        <f t="shared" si="2"/>
        <v/>
      </c>
      <c r="B317" s="4" t="str">
        <f t="shared" si="3"/>
        <v/>
      </c>
      <c r="C317" s="4"/>
      <c r="D317" s="4"/>
      <c r="E317" s="4"/>
      <c r="F317" s="4"/>
      <c r="G317" s="4"/>
      <c r="H317" s="4"/>
      <c r="I317" s="4"/>
      <c r="J317" s="4"/>
      <c r="K317" s="4"/>
      <c r="L317" s="4"/>
      <c r="M317" s="4"/>
      <c r="N317" s="6">
        <f ca="1">IFERROR(__xludf.DUMMYFUNCTION("""COMPUTED_VALUE"""),38)</f>
        <v>38</v>
      </c>
      <c r="O317" s="6">
        <f ca="1">IFERROR(__xludf.DUMMYFUNCTION("""COMPUTED_VALUE"""),39)</f>
        <v>39</v>
      </c>
      <c r="P317" s="4" t="str">
        <f ca="1">IFERROR(__xludf.DUMMYFUNCTION("""COMPUTED_VALUE"""),"")</f>
        <v/>
      </c>
      <c r="Q317" s="6">
        <f ca="1">IFERROR(__xludf.DUMMYFUNCTION("""COMPUTED_VALUE"""),769)</f>
        <v>769</v>
      </c>
      <c r="R317" s="4" t="str">
        <f ca="1">IFERROR(__xludf.DUMMYFUNCTION("""COMPUTED_VALUE"""),"")</f>
        <v/>
      </c>
      <c r="S317" s="6">
        <f ca="1">IFERROR(__xludf.DUMMYFUNCTION("""COMPUTED_VALUE"""),1865)</f>
        <v>1865</v>
      </c>
      <c r="T317" s="4"/>
      <c r="U317" s="4"/>
      <c r="V317" s="4"/>
      <c r="W317" s="4"/>
      <c r="X317" s="4"/>
      <c r="Y317" s="4"/>
      <c r="Z317" s="4"/>
      <c r="AA317" s="4"/>
      <c r="AB317" s="4"/>
    </row>
    <row r="318" spans="1:28" x14ac:dyDescent="0.2">
      <c r="A318" s="4" t="str">
        <f t="shared" si="2"/>
        <v/>
      </c>
      <c r="B318" s="4" t="str">
        <f t="shared" si="3"/>
        <v/>
      </c>
      <c r="C318" s="4"/>
      <c r="D318" s="4"/>
      <c r="E318" s="4"/>
      <c r="F318" s="4"/>
      <c r="G318" s="4"/>
      <c r="H318" s="4"/>
      <c r="I318" s="4"/>
      <c r="J318" s="4"/>
      <c r="K318" s="4"/>
      <c r="L318" s="4"/>
      <c r="M318" s="4"/>
      <c r="N318" s="6">
        <f ca="1">IFERROR(__xludf.DUMMYFUNCTION("""COMPUTED_VALUE"""),38)</f>
        <v>38</v>
      </c>
      <c r="O318" s="6">
        <f ca="1">IFERROR(__xludf.DUMMYFUNCTION("""COMPUTED_VALUE"""),39)</f>
        <v>39</v>
      </c>
      <c r="P318" s="4" t="str">
        <f ca="1">IFERROR(__xludf.DUMMYFUNCTION("""COMPUTED_VALUE"""),"")</f>
        <v/>
      </c>
      <c r="Q318" s="6">
        <f ca="1">IFERROR(__xludf.DUMMYFUNCTION("""COMPUTED_VALUE"""),769)</f>
        <v>769</v>
      </c>
      <c r="R318" s="4" t="str">
        <f ca="1">IFERROR(__xludf.DUMMYFUNCTION("""COMPUTED_VALUE"""),"")</f>
        <v/>
      </c>
      <c r="S318" s="6">
        <f ca="1">IFERROR(__xludf.DUMMYFUNCTION("""COMPUTED_VALUE"""),1865)</f>
        <v>1865</v>
      </c>
      <c r="T318" s="4"/>
      <c r="U318" s="4"/>
      <c r="V318" s="4"/>
      <c r="W318" s="4"/>
      <c r="X318" s="4"/>
      <c r="Y318" s="4"/>
      <c r="Z318" s="4"/>
      <c r="AA318" s="4"/>
      <c r="AB318" s="4"/>
    </row>
    <row r="319" spans="1:28" x14ac:dyDescent="0.2">
      <c r="A319" s="4" t="str">
        <f t="shared" si="2"/>
        <v/>
      </c>
      <c r="B319" s="4" t="str">
        <f t="shared" si="3"/>
        <v/>
      </c>
      <c r="C319" s="4"/>
      <c r="D319" s="4"/>
      <c r="E319" s="4"/>
      <c r="F319" s="4"/>
      <c r="G319" s="4"/>
      <c r="H319" s="4"/>
      <c r="I319" s="4"/>
      <c r="J319" s="4"/>
      <c r="K319" s="4"/>
      <c r="L319" s="4"/>
      <c r="M319" s="4"/>
      <c r="N319" s="6">
        <f ca="1">IFERROR(__xludf.DUMMYFUNCTION("""COMPUTED_VALUE"""),38)</f>
        <v>38</v>
      </c>
      <c r="O319" s="6">
        <f ca="1">IFERROR(__xludf.DUMMYFUNCTION("""COMPUTED_VALUE"""),39)</f>
        <v>39</v>
      </c>
      <c r="P319" s="4" t="str">
        <f ca="1">IFERROR(__xludf.DUMMYFUNCTION("""COMPUTED_VALUE"""),"")</f>
        <v/>
      </c>
      <c r="Q319" s="6">
        <f ca="1">IFERROR(__xludf.DUMMYFUNCTION("""COMPUTED_VALUE"""),769)</f>
        <v>769</v>
      </c>
      <c r="R319" s="4" t="str">
        <f ca="1">IFERROR(__xludf.DUMMYFUNCTION("""COMPUTED_VALUE"""),"")</f>
        <v/>
      </c>
      <c r="S319" s="6">
        <f ca="1">IFERROR(__xludf.DUMMYFUNCTION("""COMPUTED_VALUE"""),1865)</f>
        <v>1865</v>
      </c>
      <c r="T319" s="4"/>
      <c r="U319" s="4"/>
      <c r="V319" s="4"/>
      <c r="W319" s="4"/>
      <c r="X319" s="4"/>
      <c r="Y319" s="4"/>
      <c r="Z319" s="4"/>
      <c r="AA319" s="4"/>
      <c r="AB319" s="4"/>
    </row>
    <row r="320" spans="1:28" x14ac:dyDescent="0.2">
      <c r="A320" s="4" t="str">
        <f t="shared" si="2"/>
        <v/>
      </c>
      <c r="B320" s="4" t="str">
        <f t="shared" si="3"/>
        <v/>
      </c>
      <c r="C320" s="4"/>
      <c r="D320" s="4"/>
      <c r="E320" s="4"/>
      <c r="F320" s="4"/>
      <c r="G320" s="4"/>
      <c r="H320" s="4"/>
      <c r="I320" s="4"/>
      <c r="J320" s="4"/>
      <c r="K320" s="4"/>
      <c r="L320" s="4"/>
      <c r="M320" s="4"/>
      <c r="N320" s="6">
        <f ca="1">IFERROR(__xludf.DUMMYFUNCTION("""COMPUTED_VALUE"""),38)</f>
        <v>38</v>
      </c>
      <c r="O320" s="6">
        <f ca="1">IFERROR(__xludf.DUMMYFUNCTION("""COMPUTED_VALUE"""),39)</f>
        <v>39</v>
      </c>
      <c r="P320" s="4" t="str">
        <f ca="1">IFERROR(__xludf.DUMMYFUNCTION("""COMPUTED_VALUE"""),"")</f>
        <v/>
      </c>
      <c r="Q320" s="6">
        <f ca="1">IFERROR(__xludf.DUMMYFUNCTION("""COMPUTED_VALUE"""),769)</f>
        <v>769</v>
      </c>
      <c r="R320" s="4" t="str">
        <f ca="1">IFERROR(__xludf.DUMMYFUNCTION("""COMPUTED_VALUE"""),"")</f>
        <v/>
      </c>
      <c r="S320" s="6">
        <f ca="1">IFERROR(__xludf.DUMMYFUNCTION("""COMPUTED_VALUE"""),1865)</f>
        <v>1865</v>
      </c>
      <c r="T320" s="4"/>
      <c r="U320" s="4"/>
      <c r="V320" s="4"/>
      <c r="W320" s="4"/>
      <c r="X320" s="4"/>
      <c r="Y320" s="4"/>
      <c r="Z320" s="4"/>
      <c r="AA320" s="4"/>
      <c r="AB320" s="4"/>
    </row>
    <row r="321" spans="1:28" x14ac:dyDescent="0.2">
      <c r="A321" s="4" t="str">
        <f t="shared" si="2"/>
        <v/>
      </c>
      <c r="B321" s="4" t="str">
        <f t="shared" si="3"/>
        <v/>
      </c>
      <c r="C321" s="4"/>
      <c r="D321" s="4"/>
      <c r="E321" s="4"/>
      <c r="F321" s="4"/>
      <c r="G321" s="4"/>
      <c r="H321" s="4"/>
      <c r="I321" s="4"/>
      <c r="J321" s="4"/>
      <c r="K321" s="4"/>
      <c r="L321" s="4"/>
      <c r="M321" s="4"/>
      <c r="N321" s="6">
        <f ca="1">IFERROR(__xludf.DUMMYFUNCTION("""COMPUTED_VALUE"""),38)</f>
        <v>38</v>
      </c>
      <c r="O321" s="6">
        <f ca="1">IFERROR(__xludf.DUMMYFUNCTION("""COMPUTED_VALUE"""),39)</f>
        <v>39</v>
      </c>
      <c r="P321" s="4" t="str">
        <f ca="1">IFERROR(__xludf.DUMMYFUNCTION("""COMPUTED_VALUE"""),"")</f>
        <v/>
      </c>
      <c r="Q321" s="6">
        <f ca="1">IFERROR(__xludf.DUMMYFUNCTION("""COMPUTED_VALUE"""),769)</f>
        <v>769</v>
      </c>
      <c r="R321" s="4" t="str">
        <f ca="1">IFERROR(__xludf.DUMMYFUNCTION("""COMPUTED_VALUE"""),"")</f>
        <v/>
      </c>
      <c r="S321" s="6">
        <f ca="1">IFERROR(__xludf.DUMMYFUNCTION("""COMPUTED_VALUE"""),1865)</f>
        <v>1865</v>
      </c>
      <c r="T321" s="4"/>
      <c r="U321" s="4"/>
      <c r="V321" s="4"/>
      <c r="W321" s="4"/>
      <c r="X321" s="4"/>
      <c r="Y321" s="4"/>
      <c r="Z321" s="4"/>
      <c r="AA321" s="4"/>
      <c r="AB321" s="4"/>
    </row>
    <row r="322" spans="1:28" x14ac:dyDescent="0.2">
      <c r="A322" s="4" t="str">
        <f t="shared" si="2"/>
        <v/>
      </c>
      <c r="B322" s="4" t="str">
        <f t="shared" si="3"/>
        <v/>
      </c>
      <c r="C322" s="4"/>
      <c r="D322" s="4"/>
      <c r="E322" s="4"/>
      <c r="F322" s="4"/>
      <c r="G322" s="4"/>
      <c r="H322" s="4"/>
      <c r="I322" s="4"/>
      <c r="J322" s="4"/>
      <c r="K322" s="4"/>
      <c r="L322" s="4"/>
      <c r="M322" s="4"/>
      <c r="N322" s="6">
        <f ca="1">IFERROR(__xludf.DUMMYFUNCTION("""COMPUTED_VALUE"""),38)</f>
        <v>38</v>
      </c>
      <c r="O322" s="6">
        <f ca="1">IFERROR(__xludf.DUMMYFUNCTION("""COMPUTED_VALUE"""),39)</f>
        <v>39</v>
      </c>
      <c r="P322" s="4" t="str">
        <f ca="1">IFERROR(__xludf.DUMMYFUNCTION("""COMPUTED_VALUE"""),"")</f>
        <v/>
      </c>
      <c r="Q322" s="6">
        <f ca="1">IFERROR(__xludf.DUMMYFUNCTION("""COMPUTED_VALUE"""),769)</f>
        <v>769</v>
      </c>
      <c r="R322" s="4" t="str">
        <f ca="1">IFERROR(__xludf.DUMMYFUNCTION("""COMPUTED_VALUE"""),"")</f>
        <v/>
      </c>
      <c r="S322" s="6">
        <f ca="1">IFERROR(__xludf.DUMMYFUNCTION("""COMPUTED_VALUE"""),1865)</f>
        <v>1865</v>
      </c>
      <c r="T322" s="4"/>
      <c r="U322" s="4"/>
      <c r="V322" s="4"/>
      <c r="W322" s="4"/>
      <c r="X322" s="4"/>
      <c r="Y322" s="4"/>
      <c r="Z322" s="4"/>
      <c r="AA322" s="4"/>
      <c r="AB322" s="4"/>
    </row>
    <row r="323" spans="1:28" x14ac:dyDescent="0.2">
      <c r="A323" s="4" t="str">
        <f t="shared" si="2"/>
        <v/>
      </c>
      <c r="B323" s="4" t="str">
        <f t="shared" si="3"/>
        <v/>
      </c>
      <c r="C323" s="4"/>
      <c r="D323" s="4"/>
      <c r="E323" s="4"/>
      <c r="F323" s="4"/>
      <c r="G323" s="4"/>
      <c r="H323" s="4"/>
      <c r="I323" s="4"/>
      <c r="J323" s="4"/>
      <c r="K323" s="4"/>
      <c r="L323" s="4"/>
      <c r="M323" s="4"/>
      <c r="N323" s="6">
        <f ca="1">IFERROR(__xludf.DUMMYFUNCTION("""COMPUTED_VALUE"""),38)</f>
        <v>38</v>
      </c>
      <c r="O323" s="6">
        <f ca="1">IFERROR(__xludf.DUMMYFUNCTION("""COMPUTED_VALUE"""),39)</f>
        <v>39</v>
      </c>
      <c r="P323" s="4" t="str">
        <f ca="1">IFERROR(__xludf.DUMMYFUNCTION("""COMPUTED_VALUE"""),"")</f>
        <v/>
      </c>
      <c r="Q323" s="6">
        <f ca="1">IFERROR(__xludf.DUMMYFUNCTION("""COMPUTED_VALUE"""),769)</f>
        <v>769</v>
      </c>
      <c r="R323" s="4" t="str">
        <f ca="1">IFERROR(__xludf.DUMMYFUNCTION("""COMPUTED_VALUE"""),"")</f>
        <v/>
      </c>
      <c r="S323" s="6">
        <f ca="1">IFERROR(__xludf.DUMMYFUNCTION("""COMPUTED_VALUE"""),1865)</f>
        <v>1865</v>
      </c>
      <c r="T323" s="4"/>
      <c r="U323" s="4"/>
      <c r="V323" s="4"/>
      <c r="W323" s="4"/>
      <c r="X323" s="4"/>
      <c r="Y323" s="4"/>
      <c r="Z323" s="4"/>
      <c r="AA323" s="4"/>
      <c r="AB323" s="4"/>
    </row>
    <row r="324" spans="1:28" x14ac:dyDescent="0.2">
      <c r="A324" s="4" t="str">
        <f t="shared" si="2"/>
        <v/>
      </c>
      <c r="B324" s="4" t="str">
        <f t="shared" si="3"/>
        <v/>
      </c>
      <c r="C324" s="4"/>
      <c r="D324" s="4"/>
      <c r="E324" s="4"/>
      <c r="F324" s="4"/>
      <c r="G324" s="4"/>
      <c r="H324" s="4"/>
      <c r="I324" s="4"/>
      <c r="J324" s="4"/>
      <c r="K324" s="4"/>
      <c r="L324" s="4"/>
      <c r="M324" s="4"/>
      <c r="N324" s="6">
        <f ca="1">IFERROR(__xludf.DUMMYFUNCTION("""COMPUTED_VALUE"""),38)</f>
        <v>38</v>
      </c>
      <c r="O324" s="6">
        <f ca="1">IFERROR(__xludf.DUMMYFUNCTION("""COMPUTED_VALUE"""),39)</f>
        <v>39</v>
      </c>
      <c r="P324" s="4" t="str">
        <f ca="1">IFERROR(__xludf.DUMMYFUNCTION("""COMPUTED_VALUE"""),"")</f>
        <v/>
      </c>
      <c r="Q324" s="6">
        <f ca="1">IFERROR(__xludf.DUMMYFUNCTION("""COMPUTED_VALUE"""),769)</f>
        <v>769</v>
      </c>
      <c r="R324" s="4" t="str">
        <f ca="1">IFERROR(__xludf.DUMMYFUNCTION("""COMPUTED_VALUE"""),"")</f>
        <v/>
      </c>
      <c r="S324" s="6">
        <f ca="1">IFERROR(__xludf.DUMMYFUNCTION("""COMPUTED_VALUE"""),1865)</f>
        <v>1865</v>
      </c>
      <c r="T324" s="4"/>
      <c r="U324" s="4"/>
      <c r="V324" s="4"/>
      <c r="W324" s="4"/>
      <c r="X324" s="4"/>
      <c r="Y324" s="4"/>
      <c r="Z324" s="4"/>
      <c r="AA324" s="4"/>
      <c r="AB324" s="4"/>
    </row>
    <row r="325" spans="1:28" x14ac:dyDescent="0.2">
      <c r="A325" s="4" t="str">
        <f t="shared" si="2"/>
        <v/>
      </c>
      <c r="B325" s="4" t="str">
        <f t="shared" si="3"/>
        <v/>
      </c>
      <c r="C325" s="4"/>
      <c r="D325" s="4"/>
      <c r="E325" s="4"/>
      <c r="F325" s="4"/>
      <c r="G325" s="4"/>
      <c r="H325" s="4"/>
      <c r="I325" s="4"/>
      <c r="J325" s="4"/>
      <c r="K325" s="4"/>
      <c r="L325" s="4"/>
      <c r="M325" s="4"/>
      <c r="N325" s="6">
        <f ca="1">IFERROR(__xludf.DUMMYFUNCTION("""COMPUTED_VALUE"""),38)</f>
        <v>38</v>
      </c>
      <c r="O325" s="6">
        <f ca="1">IFERROR(__xludf.DUMMYFUNCTION("""COMPUTED_VALUE"""),39)</f>
        <v>39</v>
      </c>
      <c r="P325" s="4" t="str">
        <f ca="1">IFERROR(__xludf.DUMMYFUNCTION("""COMPUTED_VALUE"""),"")</f>
        <v/>
      </c>
      <c r="Q325" s="6">
        <f ca="1">IFERROR(__xludf.DUMMYFUNCTION("""COMPUTED_VALUE"""),769)</f>
        <v>769</v>
      </c>
      <c r="R325" s="4" t="str">
        <f ca="1">IFERROR(__xludf.DUMMYFUNCTION("""COMPUTED_VALUE"""),"")</f>
        <v/>
      </c>
      <c r="S325" s="6">
        <f ca="1">IFERROR(__xludf.DUMMYFUNCTION("""COMPUTED_VALUE"""),1865)</f>
        <v>1865</v>
      </c>
      <c r="T325" s="4"/>
      <c r="U325" s="4"/>
      <c r="V325" s="4"/>
      <c r="W325" s="4"/>
      <c r="X325" s="4"/>
      <c r="Y325" s="4"/>
      <c r="Z325" s="4"/>
      <c r="AA325" s="4"/>
      <c r="AB325" s="4"/>
    </row>
    <row r="326" spans="1:28" x14ac:dyDescent="0.2">
      <c r="A326" s="4" t="str">
        <f t="shared" si="2"/>
        <v/>
      </c>
      <c r="B326" s="4" t="str">
        <f t="shared" si="3"/>
        <v/>
      </c>
      <c r="C326" s="4"/>
      <c r="D326" s="4"/>
      <c r="E326" s="4"/>
      <c r="F326" s="4"/>
      <c r="G326" s="4"/>
      <c r="H326" s="4"/>
      <c r="I326" s="4"/>
      <c r="J326" s="4"/>
      <c r="K326" s="4"/>
      <c r="L326" s="4"/>
      <c r="M326" s="4"/>
      <c r="N326" s="6">
        <f ca="1">IFERROR(__xludf.DUMMYFUNCTION("""COMPUTED_VALUE"""),38)</f>
        <v>38</v>
      </c>
      <c r="O326" s="6">
        <f ca="1">IFERROR(__xludf.DUMMYFUNCTION("""COMPUTED_VALUE"""),39)</f>
        <v>39</v>
      </c>
      <c r="P326" s="4" t="str">
        <f ca="1">IFERROR(__xludf.DUMMYFUNCTION("""COMPUTED_VALUE"""),"")</f>
        <v/>
      </c>
      <c r="Q326" s="6">
        <f ca="1">IFERROR(__xludf.DUMMYFUNCTION("""COMPUTED_VALUE"""),769)</f>
        <v>769</v>
      </c>
      <c r="R326" s="4" t="str">
        <f ca="1">IFERROR(__xludf.DUMMYFUNCTION("""COMPUTED_VALUE"""),"")</f>
        <v/>
      </c>
      <c r="S326" s="6">
        <f ca="1">IFERROR(__xludf.DUMMYFUNCTION("""COMPUTED_VALUE"""),1865)</f>
        <v>1865</v>
      </c>
      <c r="T326" s="4"/>
      <c r="U326" s="4"/>
      <c r="V326" s="4"/>
      <c r="W326" s="4"/>
      <c r="X326" s="4"/>
      <c r="Y326" s="4"/>
      <c r="Z326" s="4"/>
      <c r="AA326" s="4"/>
      <c r="AB326" s="4"/>
    </row>
    <row r="327" spans="1:28" x14ac:dyDescent="0.2">
      <c r="A327" s="4" t="str">
        <f t="shared" si="2"/>
        <v/>
      </c>
      <c r="B327" s="4" t="str">
        <f t="shared" si="3"/>
        <v/>
      </c>
      <c r="C327" s="4"/>
      <c r="D327" s="4"/>
      <c r="E327" s="4"/>
      <c r="F327" s="4"/>
      <c r="G327" s="4"/>
      <c r="H327" s="4"/>
      <c r="I327" s="4"/>
      <c r="J327" s="4"/>
      <c r="K327" s="4"/>
      <c r="L327" s="4"/>
      <c r="M327" s="4"/>
      <c r="N327" s="6">
        <f ca="1">IFERROR(__xludf.DUMMYFUNCTION("""COMPUTED_VALUE"""),38)</f>
        <v>38</v>
      </c>
      <c r="O327" s="6">
        <f ca="1">IFERROR(__xludf.DUMMYFUNCTION("""COMPUTED_VALUE"""),39)</f>
        <v>39</v>
      </c>
      <c r="P327" s="4" t="str">
        <f ca="1">IFERROR(__xludf.DUMMYFUNCTION("""COMPUTED_VALUE"""),"")</f>
        <v/>
      </c>
      <c r="Q327" s="6">
        <f ca="1">IFERROR(__xludf.DUMMYFUNCTION("""COMPUTED_VALUE"""),769)</f>
        <v>769</v>
      </c>
      <c r="R327" s="4" t="str">
        <f ca="1">IFERROR(__xludf.DUMMYFUNCTION("""COMPUTED_VALUE"""),"")</f>
        <v/>
      </c>
      <c r="S327" s="6">
        <f ca="1">IFERROR(__xludf.DUMMYFUNCTION("""COMPUTED_VALUE"""),1865)</f>
        <v>1865</v>
      </c>
      <c r="T327" s="4"/>
      <c r="U327" s="4"/>
      <c r="V327" s="4"/>
      <c r="W327" s="4"/>
      <c r="X327" s="4"/>
      <c r="Y327" s="4"/>
      <c r="Z327" s="4"/>
      <c r="AA327" s="4"/>
      <c r="AB327" s="4"/>
    </row>
    <row r="328" spans="1:28" x14ac:dyDescent="0.2">
      <c r="A328" s="4" t="str">
        <f t="shared" si="2"/>
        <v/>
      </c>
      <c r="B328" s="4" t="str">
        <f t="shared" si="3"/>
        <v/>
      </c>
      <c r="C328" s="4"/>
      <c r="D328" s="4"/>
      <c r="E328" s="4"/>
      <c r="F328" s="4"/>
      <c r="G328" s="4"/>
      <c r="H328" s="4"/>
      <c r="I328" s="4"/>
      <c r="J328" s="4"/>
      <c r="K328" s="4"/>
      <c r="L328" s="4"/>
      <c r="M328" s="4"/>
      <c r="N328" s="6">
        <f ca="1">IFERROR(__xludf.DUMMYFUNCTION("""COMPUTED_VALUE"""),38)</f>
        <v>38</v>
      </c>
      <c r="O328" s="6">
        <f ca="1">IFERROR(__xludf.DUMMYFUNCTION("""COMPUTED_VALUE"""),39)</f>
        <v>39</v>
      </c>
      <c r="P328" s="4" t="str">
        <f ca="1">IFERROR(__xludf.DUMMYFUNCTION("""COMPUTED_VALUE"""),"")</f>
        <v/>
      </c>
      <c r="Q328" s="6">
        <f ca="1">IFERROR(__xludf.DUMMYFUNCTION("""COMPUTED_VALUE"""),769)</f>
        <v>769</v>
      </c>
      <c r="R328" s="4" t="str">
        <f ca="1">IFERROR(__xludf.DUMMYFUNCTION("""COMPUTED_VALUE"""),"")</f>
        <v/>
      </c>
      <c r="S328" s="6">
        <f ca="1">IFERROR(__xludf.DUMMYFUNCTION("""COMPUTED_VALUE"""),1865)</f>
        <v>1865</v>
      </c>
      <c r="T328" s="4"/>
      <c r="U328" s="4"/>
      <c r="V328" s="4"/>
      <c r="W328" s="4"/>
      <c r="X328" s="4"/>
      <c r="Y328" s="4"/>
      <c r="Z328" s="4"/>
      <c r="AA328" s="4"/>
      <c r="AB328" s="4"/>
    </row>
    <row r="329" spans="1:28" x14ac:dyDescent="0.2">
      <c r="A329" s="4" t="str">
        <f t="shared" si="2"/>
        <v/>
      </c>
      <c r="B329" s="4" t="str">
        <f t="shared" si="3"/>
        <v/>
      </c>
      <c r="C329" s="4"/>
      <c r="D329" s="4"/>
      <c r="E329" s="4"/>
      <c r="F329" s="4"/>
      <c r="G329" s="4"/>
      <c r="H329" s="4"/>
      <c r="I329" s="4"/>
      <c r="J329" s="4"/>
      <c r="K329" s="4"/>
      <c r="L329" s="4"/>
      <c r="M329" s="4"/>
      <c r="N329" s="6">
        <f ca="1">IFERROR(__xludf.DUMMYFUNCTION("""COMPUTED_VALUE"""),38)</f>
        <v>38</v>
      </c>
      <c r="O329" s="6">
        <f ca="1">IFERROR(__xludf.DUMMYFUNCTION("""COMPUTED_VALUE"""),39)</f>
        <v>39</v>
      </c>
      <c r="P329" s="4" t="str">
        <f ca="1">IFERROR(__xludf.DUMMYFUNCTION("""COMPUTED_VALUE"""),"")</f>
        <v/>
      </c>
      <c r="Q329" s="6">
        <f ca="1">IFERROR(__xludf.DUMMYFUNCTION("""COMPUTED_VALUE"""),769)</f>
        <v>769</v>
      </c>
      <c r="R329" s="4" t="str">
        <f ca="1">IFERROR(__xludf.DUMMYFUNCTION("""COMPUTED_VALUE"""),"")</f>
        <v/>
      </c>
      <c r="S329" s="6">
        <f ca="1">IFERROR(__xludf.DUMMYFUNCTION("""COMPUTED_VALUE"""),1865)</f>
        <v>1865</v>
      </c>
      <c r="T329" s="4"/>
      <c r="U329" s="4"/>
      <c r="V329" s="4"/>
      <c r="W329" s="4"/>
      <c r="X329" s="4"/>
      <c r="Y329" s="4"/>
      <c r="Z329" s="4"/>
      <c r="AA329" s="4"/>
      <c r="AB329" s="4"/>
    </row>
    <row r="330" spans="1:28" x14ac:dyDescent="0.2">
      <c r="A330" s="4" t="str">
        <f t="shared" si="2"/>
        <v/>
      </c>
      <c r="B330" s="4" t="str">
        <f t="shared" si="3"/>
        <v/>
      </c>
      <c r="C330" s="4"/>
      <c r="D330" s="4"/>
      <c r="E330" s="4"/>
      <c r="F330" s="4"/>
      <c r="G330" s="4"/>
      <c r="H330" s="4"/>
      <c r="I330" s="4"/>
      <c r="J330" s="4"/>
      <c r="K330" s="4"/>
      <c r="L330" s="4"/>
      <c r="M330" s="4"/>
      <c r="N330" s="6">
        <f ca="1">IFERROR(__xludf.DUMMYFUNCTION("""COMPUTED_VALUE"""),38)</f>
        <v>38</v>
      </c>
      <c r="O330" s="6">
        <f ca="1">IFERROR(__xludf.DUMMYFUNCTION("""COMPUTED_VALUE"""),39)</f>
        <v>39</v>
      </c>
      <c r="P330" s="4" t="str">
        <f ca="1">IFERROR(__xludf.DUMMYFUNCTION("""COMPUTED_VALUE"""),"")</f>
        <v/>
      </c>
      <c r="Q330" s="6">
        <f ca="1">IFERROR(__xludf.DUMMYFUNCTION("""COMPUTED_VALUE"""),769)</f>
        <v>769</v>
      </c>
      <c r="R330" s="4" t="str">
        <f ca="1">IFERROR(__xludf.DUMMYFUNCTION("""COMPUTED_VALUE"""),"")</f>
        <v/>
      </c>
      <c r="S330" s="6">
        <f ca="1">IFERROR(__xludf.DUMMYFUNCTION("""COMPUTED_VALUE"""),1865)</f>
        <v>1865</v>
      </c>
      <c r="T330" s="4"/>
      <c r="U330" s="4"/>
      <c r="V330" s="4"/>
      <c r="W330" s="4"/>
      <c r="X330" s="4"/>
      <c r="Y330" s="4"/>
      <c r="Z330" s="4"/>
      <c r="AA330" s="4"/>
      <c r="AB330" s="4"/>
    </row>
    <row r="331" spans="1:28" x14ac:dyDescent="0.2">
      <c r="A331" s="4" t="str">
        <f t="shared" si="2"/>
        <v/>
      </c>
      <c r="B331" s="4" t="str">
        <f t="shared" si="3"/>
        <v/>
      </c>
      <c r="C331" s="4"/>
      <c r="D331" s="4"/>
      <c r="E331" s="4"/>
      <c r="F331" s="4"/>
      <c r="G331" s="4"/>
      <c r="H331" s="4"/>
      <c r="I331" s="4"/>
      <c r="J331" s="4"/>
      <c r="K331" s="4"/>
      <c r="L331" s="4"/>
      <c r="M331" s="4"/>
      <c r="N331" s="6">
        <f ca="1">IFERROR(__xludf.DUMMYFUNCTION("""COMPUTED_VALUE"""),38)</f>
        <v>38</v>
      </c>
      <c r="O331" s="6">
        <f ca="1">IFERROR(__xludf.DUMMYFUNCTION("""COMPUTED_VALUE"""),39)</f>
        <v>39</v>
      </c>
      <c r="P331" s="4" t="str">
        <f ca="1">IFERROR(__xludf.DUMMYFUNCTION("""COMPUTED_VALUE"""),"")</f>
        <v/>
      </c>
      <c r="Q331" s="6">
        <f ca="1">IFERROR(__xludf.DUMMYFUNCTION("""COMPUTED_VALUE"""),769)</f>
        <v>769</v>
      </c>
      <c r="R331" s="4" t="str">
        <f ca="1">IFERROR(__xludf.DUMMYFUNCTION("""COMPUTED_VALUE"""),"")</f>
        <v/>
      </c>
      <c r="S331" s="6">
        <f ca="1">IFERROR(__xludf.DUMMYFUNCTION("""COMPUTED_VALUE"""),1865)</f>
        <v>1865</v>
      </c>
      <c r="T331" s="4"/>
      <c r="U331" s="4"/>
      <c r="V331" s="4"/>
      <c r="W331" s="4"/>
      <c r="X331" s="4"/>
      <c r="Y331" s="4"/>
      <c r="Z331" s="4"/>
      <c r="AA331" s="4"/>
      <c r="AB331" s="4"/>
    </row>
    <row r="332" spans="1:28" x14ac:dyDescent="0.2">
      <c r="A332" s="4" t="str">
        <f t="shared" si="2"/>
        <v/>
      </c>
      <c r="B332" s="4" t="str">
        <f t="shared" si="3"/>
        <v/>
      </c>
      <c r="C332" s="4"/>
      <c r="D332" s="4"/>
      <c r="E332" s="4"/>
      <c r="F332" s="4"/>
      <c r="G332" s="4"/>
      <c r="H332" s="4"/>
      <c r="I332" s="4"/>
      <c r="J332" s="4"/>
      <c r="K332" s="4"/>
      <c r="L332" s="4"/>
      <c r="M332" s="4"/>
      <c r="N332" s="6">
        <f ca="1">IFERROR(__xludf.DUMMYFUNCTION("""COMPUTED_VALUE"""),38)</f>
        <v>38</v>
      </c>
      <c r="O332" s="6">
        <f ca="1">IFERROR(__xludf.DUMMYFUNCTION("""COMPUTED_VALUE"""),39)</f>
        <v>39</v>
      </c>
      <c r="P332" s="4" t="str">
        <f ca="1">IFERROR(__xludf.DUMMYFUNCTION("""COMPUTED_VALUE"""),"")</f>
        <v/>
      </c>
      <c r="Q332" s="6">
        <f ca="1">IFERROR(__xludf.DUMMYFUNCTION("""COMPUTED_VALUE"""),769)</f>
        <v>769</v>
      </c>
      <c r="R332" s="4" t="str">
        <f ca="1">IFERROR(__xludf.DUMMYFUNCTION("""COMPUTED_VALUE"""),"")</f>
        <v/>
      </c>
      <c r="S332" s="6">
        <f ca="1">IFERROR(__xludf.DUMMYFUNCTION("""COMPUTED_VALUE"""),1865)</f>
        <v>1865</v>
      </c>
      <c r="T332" s="4"/>
      <c r="U332" s="4"/>
      <c r="V332" s="4"/>
      <c r="W332" s="4"/>
      <c r="X332" s="4"/>
      <c r="Y332" s="4"/>
      <c r="Z332" s="4"/>
      <c r="AA332" s="4"/>
      <c r="AB332" s="4"/>
    </row>
    <row r="333" spans="1:28" x14ac:dyDescent="0.2">
      <c r="A333" s="4" t="str">
        <f t="shared" si="2"/>
        <v/>
      </c>
      <c r="B333" s="4" t="str">
        <f t="shared" si="3"/>
        <v/>
      </c>
      <c r="C333" s="4"/>
      <c r="D333" s="4"/>
      <c r="E333" s="4"/>
      <c r="F333" s="4"/>
      <c r="G333" s="4"/>
      <c r="H333" s="4"/>
      <c r="I333" s="4"/>
      <c r="J333" s="4"/>
      <c r="K333" s="4"/>
      <c r="L333" s="4"/>
      <c r="M333" s="4"/>
      <c r="N333" s="6">
        <f ca="1">IFERROR(__xludf.DUMMYFUNCTION("""COMPUTED_VALUE"""),38)</f>
        <v>38</v>
      </c>
      <c r="O333" s="6">
        <f ca="1">IFERROR(__xludf.DUMMYFUNCTION("""COMPUTED_VALUE"""),39)</f>
        <v>39</v>
      </c>
      <c r="P333" s="4" t="str">
        <f ca="1">IFERROR(__xludf.DUMMYFUNCTION("""COMPUTED_VALUE"""),"")</f>
        <v/>
      </c>
      <c r="Q333" s="6">
        <f ca="1">IFERROR(__xludf.DUMMYFUNCTION("""COMPUTED_VALUE"""),769)</f>
        <v>769</v>
      </c>
      <c r="R333" s="4" t="str">
        <f ca="1">IFERROR(__xludf.DUMMYFUNCTION("""COMPUTED_VALUE"""),"")</f>
        <v/>
      </c>
      <c r="S333" s="6">
        <f ca="1">IFERROR(__xludf.DUMMYFUNCTION("""COMPUTED_VALUE"""),1865)</f>
        <v>1865</v>
      </c>
      <c r="T333" s="4"/>
      <c r="U333" s="4"/>
      <c r="V333" s="4"/>
      <c r="W333" s="4"/>
      <c r="X333" s="4"/>
      <c r="Y333" s="4"/>
      <c r="Z333" s="4"/>
      <c r="AA333" s="4"/>
      <c r="AB333" s="4"/>
    </row>
    <row r="334" spans="1:28" x14ac:dyDescent="0.2">
      <c r="A334" s="4" t="str">
        <f t="shared" si="2"/>
        <v/>
      </c>
      <c r="B334" s="4" t="str">
        <f t="shared" si="3"/>
        <v/>
      </c>
      <c r="C334" s="4"/>
      <c r="D334" s="4"/>
      <c r="E334" s="4"/>
      <c r="F334" s="4"/>
      <c r="G334" s="4"/>
      <c r="H334" s="4"/>
      <c r="I334" s="4"/>
      <c r="J334" s="4"/>
      <c r="K334" s="4"/>
      <c r="L334" s="4"/>
      <c r="M334" s="4"/>
      <c r="N334" s="6">
        <f ca="1">IFERROR(__xludf.DUMMYFUNCTION("""COMPUTED_VALUE"""),38)</f>
        <v>38</v>
      </c>
      <c r="O334" s="6">
        <f ca="1">IFERROR(__xludf.DUMMYFUNCTION("""COMPUTED_VALUE"""),39)</f>
        <v>39</v>
      </c>
      <c r="P334" s="4" t="str">
        <f ca="1">IFERROR(__xludf.DUMMYFUNCTION("""COMPUTED_VALUE"""),"")</f>
        <v/>
      </c>
      <c r="Q334" s="6">
        <f ca="1">IFERROR(__xludf.DUMMYFUNCTION("""COMPUTED_VALUE"""),769)</f>
        <v>769</v>
      </c>
      <c r="R334" s="4" t="str">
        <f ca="1">IFERROR(__xludf.DUMMYFUNCTION("""COMPUTED_VALUE"""),"")</f>
        <v/>
      </c>
      <c r="S334" s="6">
        <f ca="1">IFERROR(__xludf.DUMMYFUNCTION("""COMPUTED_VALUE"""),1865)</f>
        <v>1865</v>
      </c>
      <c r="T334" s="4"/>
      <c r="U334" s="4"/>
      <c r="V334" s="4"/>
      <c r="W334" s="4"/>
      <c r="X334" s="4"/>
      <c r="Y334" s="4"/>
      <c r="Z334" s="4"/>
      <c r="AA334" s="4"/>
      <c r="AB334" s="4"/>
    </row>
    <row r="335" spans="1:28" x14ac:dyDescent="0.2">
      <c r="A335" s="4" t="str">
        <f t="shared" si="2"/>
        <v/>
      </c>
      <c r="B335" s="4" t="str">
        <f t="shared" si="3"/>
        <v/>
      </c>
      <c r="C335" s="4"/>
      <c r="D335" s="4"/>
      <c r="E335" s="4"/>
      <c r="F335" s="4"/>
      <c r="G335" s="4"/>
      <c r="H335" s="4"/>
      <c r="I335" s="4"/>
      <c r="J335" s="4"/>
      <c r="K335" s="4"/>
      <c r="L335" s="4"/>
      <c r="M335" s="4"/>
      <c r="N335" s="6">
        <f ca="1">IFERROR(__xludf.DUMMYFUNCTION("""COMPUTED_VALUE"""),38)</f>
        <v>38</v>
      </c>
      <c r="O335" s="6">
        <f ca="1">IFERROR(__xludf.DUMMYFUNCTION("""COMPUTED_VALUE"""),39)</f>
        <v>39</v>
      </c>
      <c r="P335" s="4" t="str">
        <f ca="1">IFERROR(__xludf.DUMMYFUNCTION("""COMPUTED_VALUE"""),"")</f>
        <v/>
      </c>
      <c r="Q335" s="6">
        <f ca="1">IFERROR(__xludf.DUMMYFUNCTION("""COMPUTED_VALUE"""),769)</f>
        <v>769</v>
      </c>
      <c r="R335" s="4" t="str">
        <f ca="1">IFERROR(__xludf.DUMMYFUNCTION("""COMPUTED_VALUE"""),"")</f>
        <v/>
      </c>
      <c r="S335" s="6">
        <f ca="1">IFERROR(__xludf.DUMMYFUNCTION("""COMPUTED_VALUE"""),1865)</f>
        <v>1865</v>
      </c>
      <c r="T335" s="4"/>
      <c r="U335" s="4"/>
      <c r="V335" s="4"/>
      <c r="W335" s="4"/>
      <c r="X335" s="4"/>
      <c r="Y335" s="4"/>
      <c r="Z335" s="4"/>
      <c r="AA335" s="4"/>
      <c r="AB335" s="4"/>
    </row>
    <row r="336" spans="1:28" x14ac:dyDescent="0.2">
      <c r="A336" s="4" t="str">
        <f t="shared" si="2"/>
        <v/>
      </c>
      <c r="B336" s="4" t="str">
        <f t="shared" si="3"/>
        <v/>
      </c>
      <c r="C336" s="4"/>
      <c r="D336" s="4"/>
      <c r="E336" s="4"/>
      <c r="F336" s="4"/>
      <c r="G336" s="4"/>
      <c r="H336" s="4"/>
      <c r="I336" s="4"/>
      <c r="J336" s="4"/>
      <c r="K336" s="4"/>
      <c r="L336" s="4"/>
      <c r="M336" s="4"/>
      <c r="N336" s="6">
        <f ca="1">IFERROR(__xludf.DUMMYFUNCTION("""COMPUTED_VALUE"""),38)</f>
        <v>38</v>
      </c>
      <c r="O336" s="6">
        <f ca="1">IFERROR(__xludf.DUMMYFUNCTION("""COMPUTED_VALUE"""),39)</f>
        <v>39</v>
      </c>
      <c r="P336" s="4" t="str">
        <f ca="1">IFERROR(__xludf.DUMMYFUNCTION("""COMPUTED_VALUE"""),"")</f>
        <v/>
      </c>
      <c r="Q336" s="6">
        <f ca="1">IFERROR(__xludf.DUMMYFUNCTION("""COMPUTED_VALUE"""),769)</f>
        <v>769</v>
      </c>
      <c r="R336" s="4" t="str">
        <f ca="1">IFERROR(__xludf.DUMMYFUNCTION("""COMPUTED_VALUE"""),"")</f>
        <v/>
      </c>
      <c r="S336" s="6">
        <f ca="1">IFERROR(__xludf.DUMMYFUNCTION("""COMPUTED_VALUE"""),1865)</f>
        <v>1865</v>
      </c>
      <c r="T336" s="4"/>
      <c r="U336" s="4"/>
      <c r="V336" s="4"/>
      <c r="W336" s="4"/>
      <c r="X336" s="4"/>
      <c r="Y336" s="4"/>
      <c r="Z336" s="4"/>
      <c r="AA336" s="4"/>
      <c r="AB336" s="4"/>
    </row>
    <row r="337" spans="1:28" x14ac:dyDescent="0.2">
      <c r="A337" s="4" t="str">
        <f t="shared" si="2"/>
        <v/>
      </c>
      <c r="B337" s="4" t="str">
        <f t="shared" si="3"/>
        <v/>
      </c>
      <c r="C337" s="4"/>
      <c r="D337" s="4"/>
      <c r="E337" s="4"/>
      <c r="F337" s="4"/>
      <c r="G337" s="4"/>
      <c r="H337" s="4"/>
      <c r="I337" s="4"/>
      <c r="J337" s="4"/>
      <c r="K337" s="4"/>
      <c r="L337" s="4"/>
      <c r="M337" s="4"/>
      <c r="N337" s="6">
        <f ca="1">IFERROR(__xludf.DUMMYFUNCTION("""COMPUTED_VALUE"""),38)</f>
        <v>38</v>
      </c>
      <c r="O337" s="6">
        <f ca="1">IFERROR(__xludf.DUMMYFUNCTION("""COMPUTED_VALUE"""),39)</f>
        <v>39</v>
      </c>
      <c r="P337" s="4" t="str">
        <f ca="1">IFERROR(__xludf.DUMMYFUNCTION("""COMPUTED_VALUE"""),"")</f>
        <v/>
      </c>
      <c r="Q337" s="6">
        <f ca="1">IFERROR(__xludf.DUMMYFUNCTION("""COMPUTED_VALUE"""),769)</f>
        <v>769</v>
      </c>
      <c r="R337" s="4" t="str">
        <f ca="1">IFERROR(__xludf.DUMMYFUNCTION("""COMPUTED_VALUE"""),"")</f>
        <v/>
      </c>
      <c r="S337" s="6">
        <f ca="1">IFERROR(__xludf.DUMMYFUNCTION("""COMPUTED_VALUE"""),1865)</f>
        <v>1865</v>
      </c>
      <c r="T337" s="4"/>
      <c r="U337" s="4"/>
      <c r="V337" s="4"/>
      <c r="W337" s="4"/>
      <c r="X337" s="4"/>
      <c r="Y337" s="4"/>
      <c r="Z337" s="4"/>
      <c r="AA337" s="4"/>
      <c r="AB337" s="4"/>
    </row>
    <row r="338" spans="1:28" x14ac:dyDescent="0.2">
      <c r="A338" s="4" t="str">
        <f t="shared" si="2"/>
        <v/>
      </c>
      <c r="B338" s="4" t="str">
        <f t="shared" si="3"/>
        <v/>
      </c>
      <c r="C338" s="4"/>
      <c r="D338" s="4"/>
      <c r="E338" s="4"/>
      <c r="F338" s="4"/>
      <c r="G338" s="4"/>
      <c r="H338" s="4"/>
      <c r="I338" s="4"/>
      <c r="J338" s="4"/>
      <c r="K338" s="4"/>
      <c r="L338" s="4"/>
      <c r="M338" s="4"/>
      <c r="N338" s="6">
        <f ca="1">IFERROR(__xludf.DUMMYFUNCTION("""COMPUTED_VALUE"""),38)</f>
        <v>38</v>
      </c>
      <c r="O338" s="6">
        <f ca="1">IFERROR(__xludf.DUMMYFUNCTION("""COMPUTED_VALUE"""),39)</f>
        <v>39</v>
      </c>
      <c r="P338" s="4" t="str">
        <f ca="1">IFERROR(__xludf.DUMMYFUNCTION("""COMPUTED_VALUE"""),"")</f>
        <v/>
      </c>
      <c r="Q338" s="6">
        <f ca="1">IFERROR(__xludf.DUMMYFUNCTION("""COMPUTED_VALUE"""),769)</f>
        <v>769</v>
      </c>
      <c r="R338" s="4" t="str">
        <f ca="1">IFERROR(__xludf.DUMMYFUNCTION("""COMPUTED_VALUE"""),"")</f>
        <v/>
      </c>
      <c r="S338" s="6">
        <f ca="1">IFERROR(__xludf.DUMMYFUNCTION("""COMPUTED_VALUE"""),1865)</f>
        <v>1865</v>
      </c>
      <c r="T338" s="4"/>
      <c r="U338" s="4"/>
      <c r="V338" s="4"/>
      <c r="W338" s="4"/>
      <c r="X338" s="4"/>
      <c r="Y338" s="4"/>
      <c r="Z338" s="4"/>
      <c r="AA338" s="4"/>
      <c r="AB338" s="4"/>
    </row>
    <row r="339" spans="1:28" x14ac:dyDescent="0.2">
      <c r="A339" s="4" t="str">
        <f t="shared" si="2"/>
        <v/>
      </c>
      <c r="B339" s="4" t="str">
        <f t="shared" si="3"/>
        <v/>
      </c>
      <c r="C339" s="4"/>
      <c r="D339" s="4"/>
      <c r="E339" s="4"/>
      <c r="F339" s="4"/>
      <c r="G339" s="4"/>
      <c r="H339" s="4"/>
      <c r="I339" s="4"/>
      <c r="J339" s="4"/>
      <c r="K339" s="4"/>
      <c r="L339" s="4"/>
      <c r="M339" s="4"/>
      <c r="N339" s="6">
        <f ca="1">IFERROR(__xludf.DUMMYFUNCTION("""COMPUTED_VALUE"""),38)</f>
        <v>38</v>
      </c>
      <c r="O339" s="6">
        <f ca="1">IFERROR(__xludf.DUMMYFUNCTION("""COMPUTED_VALUE"""),39)</f>
        <v>39</v>
      </c>
      <c r="P339" s="4" t="str">
        <f ca="1">IFERROR(__xludf.DUMMYFUNCTION("""COMPUTED_VALUE"""),"")</f>
        <v/>
      </c>
      <c r="Q339" s="6">
        <f ca="1">IFERROR(__xludf.DUMMYFUNCTION("""COMPUTED_VALUE"""),769)</f>
        <v>769</v>
      </c>
      <c r="R339" s="4" t="str">
        <f ca="1">IFERROR(__xludf.DUMMYFUNCTION("""COMPUTED_VALUE"""),"")</f>
        <v/>
      </c>
      <c r="S339" s="6">
        <f ca="1">IFERROR(__xludf.DUMMYFUNCTION("""COMPUTED_VALUE"""),1865)</f>
        <v>1865</v>
      </c>
      <c r="T339" s="4"/>
      <c r="U339" s="4"/>
      <c r="V339" s="4"/>
      <c r="W339" s="4"/>
      <c r="X339" s="4"/>
      <c r="Y339" s="4"/>
      <c r="Z339" s="4"/>
      <c r="AA339" s="4"/>
      <c r="AB339" s="4"/>
    </row>
    <row r="340" spans="1:28" x14ac:dyDescent="0.2">
      <c r="A340" s="4" t="str">
        <f t="shared" si="2"/>
        <v/>
      </c>
      <c r="B340" s="4" t="str">
        <f t="shared" si="3"/>
        <v/>
      </c>
      <c r="C340" s="4"/>
      <c r="D340" s="4"/>
      <c r="E340" s="4"/>
      <c r="F340" s="4"/>
      <c r="G340" s="4"/>
      <c r="H340" s="4"/>
      <c r="I340" s="4"/>
      <c r="J340" s="4"/>
      <c r="K340" s="4"/>
      <c r="L340" s="4"/>
      <c r="M340" s="4"/>
      <c r="N340" s="6">
        <f ca="1">IFERROR(__xludf.DUMMYFUNCTION("""COMPUTED_VALUE"""),38)</f>
        <v>38</v>
      </c>
      <c r="O340" s="6">
        <f ca="1">IFERROR(__xludf.DUMMYFUNCTION("""COMPUTED_VALUE"""),39)</f>
        <v>39</v>
      </c>
      <c r="P340" s="4" t="str">
        <f ca="1">IFERROR(__xludf.DUMMYFUNCTION("""COMPUTED_VALUE"""),"")</f>
        <v/>
      </c>
      <c r="Q340" s="6">
        <f ca="1">IFERROR(__xludf.DUMMYFUNCTION("""COMPUTED_VALUE"""),769)</f>
        <v>769</v>
      </c>
      <c r="R340" s="4" t="str">
        <f ca="1">IFERROR(__xludf.DUMMYFUNCTION("""COMPUTED_VALUE"""),"")</f>
        <v/>
      </c>
      <c r="S340" s="6">
        <f ca="1">IFERROR(__xludf.DUMMYFUNCTION("""COMPUTED_VALUE"""),1865)</f>
        <v>1865</v>
      </c>
      <c r="T340" s="4"/>
      <c r="U340" s="4"/>
      <c r="V340" s="4"/>
      <c r="W340" s="4"/>
      <c r="X340" s="4"/>
      <c r="Y340" s="4"/>
      <c r="Z340" s="4"/>
      <c r="AA340" s="4"/>
      <c r="AB340" s="4"/>
    </row>
    <row r="341" spans="1:28" x14ac:dyDescent="0.2">
      <c r="A341" s="4" t="str">
        <f t="shared" si="2"/>
        <v/>
      </c>
      <c r="B341" s="4" t="str">
        <f t="shared" si="3"/>
        <v/>
      </c>
      <c r="C341" s="4"/>
      <c r="D341" s="4"/>
      <c r="E341" s="4"/>
      <c r="F341" s="4"/>
      <c r="G341" s="4"/>
      <c r="H341" s="4"/>
      <c r="I341" s="4"/>
      <c r="J341" s="4"/>
      <c r="K341" s="4"/>
      <c r="L341" s="4"/>
      <c r="M341" s="4"/>
      <c r="N341" s="6">
        <f ca="1">IFERROR(__xludf.DUMMYFUNCTION("""COMPUTED_VALUE"""),38)</f>
        <v>38</v>
      </c>
      <c r="O341" s="6">
        <f ca="1">IFERROR(__xludf.DUMMYFUNCTION("""COMPUTED_VALUE"""),39)</f>
        <v>39</v>
      </c>
      <c r="P341" s="4" t="str">
        <f ca="1">IFERROR(__xludf.DUMMYFUNCTION("""COMPUTED_VALUE"""),"")</f>
        <v/>
      </c>
      <c r="Q341" s="6">
        <f ca="1">IFERROR(__xludf.DUMMYFUNCTION("""COMPUTED_VALUE"""),769)</f>
        <v>769</v>
      </c>
      <c r="R341" s="4" t="str">
        <f ca="1">IFERROR(__xludf.DUMMYFUNCTION("""COMPUTED_VALUE"""),"")</f>
        <v/>
      </c>
      <c r="S341" s="6">
        <f ca="1">IFERROR(__xludf.DUMMYFUNCTION("""COMPUTED_VALUE"""),1865)</f>
        <v>1865</v>
      </c>
      <c r="T341" s="4"/>
      <c r="U341" s="4"/>
      <c r="V341" s="4"/>
      <c r="W341" s="4"/>
      <c r="X341" s="4"/>
      <c r="Y341" s="4"/>
      <c r="Z341" s="4"/>
      <c r="AA341" s="4"/>
      <c r="AB341" s="4"/>
    </row>
    <row r="342" spans="1:28" x14ac:dyDescent="0.2">
      <c r="A342" s="4" t="str">
        <f t="shared" si="2"/>
        <v/>
      </c>
      <c r="B342" s="4" t="str">
        <f t="shared" si="3"/>
        <v/>
      </c>
      <c r="C342" s="4"/>
      <c r="D342" s="4"/>
      <c r="E342" s="4"/>
      <c r="F342" s="4"/>
      <c r="G342" s="4"/>
      <c r="H342" s="4"/>
      <c r="I342" s="4"/>
      <c r="J342" s="4"/>
      <c r="K342" s="4"/>
      <c r="L342" s="4"/>
      <c r="M342" s="4"/>
      <c r="N342" s="6">
        <f ca="1">IFERROR(__xludf.DUMMYFUNCTION("""COMPUTED_VALUE"""),38)</f>
        <v>38</v>
      </c>
      <c r="O342" s="6">
        <f ca="1">IFERROR(__xludf.DUMMYFUNCTION("""COMPUTED_VALUE"""),39)</f>
        <v>39</v>
      </c>
      <c r="P342" s="4" t="str">
        <f ca="1">IFERROR(__xludf.DUMMYFUNCTION("""COMPUTED_VALUE"""),"")</f>
        <v/>
      </c>
      <c r="Q342" s="6">
        <f ca="1">IFERROR(__xludf.DUMMYFUNCTION("""COMPUTED_VALUE"""),769)</f>
        <v>769</v>
      </c>
      <c r="R342" s="4" t="str">
        <f ca="1">IFERROR(__xludf.DUMMYFUNCTION("""COMPUTED_VALUE"""),"")</f>
        <v/>
      </c>
      <c r="S342" s="6">
        <f ca="1">IFERROR(__xludf.DUMMYFUNCTION("""COMPUTED_VALUE"""),1865)</f>
        <v>1865</v>
      </c>
      <c r="T342" s="4"/>
      <c r="U342" s="4"/>
      <c r="V342" s="4"/>
      <c r="W342" s="4"/>
      <c r="X342" s="4"/>
      <c r="Y342" s="4"/>
      <c r="Z342" s="4"/>
      <c r="AA342" s="4"/>
      <c r="AB342" s="4"/>
    </row>
    <row r="343" spans="1:28" x14ac:dyDescent="0.2">
      <c r="A343" s="4" t="str">
        <f t="shared" si="2"/>
        <v/>
      </c>
      <c r="B343" s="4" t="str">
        <f t="shared" si="3"/>
        <v/>
      </c>
      <c r="C343" s="4"/>
      <c r="D343" s="4"/>
      <c r="E343" s="4"/>
      <c r="F343" s="4"/>
      <c r="G343" s="4"/>
      <c r="H343" s="4"/>
      <c r="I343" s="4"/>
      <c r="J343" s="4"/>
      <c r="K343" s="4"/>
      <c r="L343" s="4"/>
      <c r="M343" s="4"/>
      <c r="N343" s="6">
        <f ca="1">IFERROR(__xludf.DUMMYFUNCTION("""COMPUTED_VALUE"""),38)</f>
        <v>38</v>
      </c>
      <c r="O343" s="6">
        <f ca="1">IFERROR(__xludf.DUMMYFUNCTION("""COMPUTED_VALUE"""),39)</f>
        <v>39</v>
      </c>
      <c r="P343" s="4" t="str">
        <f ca="1">IFERROR(__xludf.DUMMYFUNCTION("""COMPUTED_VALUE"""),"")</f>
        <v/>
      </c>
      <c r="Q343" s="6">
        <f ca="1">IFERROR(__xludf.DUMMYFUNCTION("""COMPUTED_VALUE"""),769)</f>
        <v>769</v>
      </c>
      <c r="R343" s="4" t="str">
        <f ca="1">IFERROR(__xludf.DUMMYFUNCTION("""COMPUTED_VALUE"""),"")</f>
        <v/>
      </c>
      <c r="S343" s="6">
        <f ca="1">IFERROR(__xludf.DUMMYFUNCTION("""COMPUTED_VALUE"""),1865)</f>
        <v>1865</v>
      </c>
      <c r="T343" s="4"/>
      <c r="U343" s="4"/>
      <c r="V343" s="4"/>
      <c r="W343" s="4"/>
      <c r="X343" s="4"/>
      <c r="Y343" s="4"/>
      <c r="Z343" s="4"/>
      <c r="AA343" s="4"/>
      <c r="AB343" s="4"/>
    </row>
    <row r="344" spans="1:28" x14ac:dyDescent="0.2">
      <c r="A344" s="4" t="str">
        <f t="shared" si="2"/>
        <v/>
      </c>
      <c r="B344" s="4" t="str">
        <f t="shared" si="3"/>
        <v/>
      </c>
      <c r="C344" s="4"/>
      <c r="D344" s="4"/>
      <c r="E344" s="4"/>
      <c r="F344" s="4"/>
      <c r="G344" s="4"/>
      <c r="H344" s="4"/>
      <c r="I344" s="4"/>
      <c r="J344" s="4"/>
      <c r="K344" s="4"/>
      <c r="L344" s="4"/>
      <c r="M344" s="4"/>
      <c r="N344" s="6">
        <f ca="1">IFERROR(__xludf.DUMMYFUNCTION("""COMPUTED_VALUE"""),38)</f>
        <v>38</v>
      </c>
      <c r="O344" s="6">
        <f ca="1">IFERROR(__xludf.DUMMYFUNCTION("""COMPUTED_VALUE"""),39)</f>
        <v>39</v>
      </c>
      <c r="P344" s="4" t="str">
        <f ca="1">IFERROR(__xludf.DUMMYFUNCTION("""COMPUTED_VALUE"""),"")</f>
        <v/>
      </c>
      <c r="Q344" s="6">
        <f ca="1">IFERROR(__xludf.DUMMYFUNCTION("""COMPUTED_VALUE"""),769)</f>
        <v>769</v>
      </c>
      <c r="R344" s="4" t="str">
        <f ca="1">IFERROR(__xludf.DUMMYFUNCTION("""COMPUTED_VALUE"""),"")</f>
        <v/>
      </c>
      <c r="S344" s="6">
        <f ca="1">IFERROR(__xludf.DUMMYFUNCTION("""COMPUTED_VALUE"""),1865)</f>
        <v>1865</v>
      </c>
      <c r="T344" s="4"/>
      <c r="U344" s="4"/>
      <c r="V344" s="4"/>
      <c r="W344" s="4"/>
      <c r="X344" s="4"/>
      <c r="Y344" s="4"/>
      <c r="Z344" s="4"/>
      <c r="AA344" s="4"/>
      <c r="AB344" s="4"/>
    </row>
    <row r="345" spans="1:28" x14ac:dyDescent="0.2">
      <c r="A345" s="4" t="str">
        <f t="shared" si="2"/>
        <v/>
      </c>
      <c r="B345" s="4" t="str">
        <f t="shared" si="3"/>
        <v/>
      </c>
      <c r="C345" s="4"/>
      <c r="D345" s="4"/>
      <c r="E345" s="4"/>
      <c r="F345" s="4"/>
      <c r="G345" s="4"/>
      <c r="H345" s="4"/>
      <c r="I345" s="4"/>
      <c r="J345" s="4"/>
      <c r="K345" s="4"/>
      <c r="L345" s="4"/>
      <c r="M345" s="4"/>
      <c r="N345" s="6">
        <f ca="1">IFERROR(__xludf.DUMMYFUNCTION("""COMPUTED_VALUE"""),38)</f>
        <v>38</v>
      </c>
      <c r="O345" s="6">
        <f ca="1">IFERROR(__xludf.DUMMYFUNCTION("""COMPUTED_VALUE"""),39)</f>
        <v>39</v>
      </c>
      <c r="P345" s="4" t="str">
        <f ca="1">IFERROR(__xludf.DUMMYFUNCTION("""COMPUTED_VALUE"""),"")</f>
        <v/>
      </c>
      <c r="Q345" s="6">
        <f ca="1">IFERROR(__xludf.DUMMYFUNCTION("""COMPUTED_VALUE"""),769)</f>
        <v>769</v>
      </c>
      <c r="R345" s="4" t="str">
        <f ca="1">IFERROR(__xludf.DUMMYFUNCTION("""COMPUTED_VALUE"""),"")</f>
        <v/>
      </c>
      <c r="S345" s="6">
        <f ca="1">IFERROR(__xludf.DUMMYFUNCTION("""COMPUTED_VALUE"""),1865)</f>
        <v>1865</v>
      </c>
      <c r="T345" s="4"/>
      <c r="U345" s="4"/>
      <c r="V345" s="4"/>
      <c r="W345" s="4"/>
      <c r="X345" s="4"/>
      <c r="Y345" s="4"/>
      <c r="Z345" s="4"/>
      <c r="AA345" s="4"/>
      <c r="AB345" s="4"/>
    </row>
    <row r="346" spans="1:28" x14ac:dyDescent="0.2">
      <c r="A346" s="4" t="str">
        <f t="shared" si="2"/>
        <v/>
      </c>
      <c r="B346" s="4" t="str">
        <f t="shared" si="3"/>
        <v/>
      </c>
      <c r="C346" s="4"/>
      <c r="D346" s="4"/>
      <c r="E346" s="4"/>
      <c r="F346" s="4"/>
      <c r="G346" s="4"/>
      <c r="H346" s="4"/>
      <c r="I346" s="4"/>
      <c r="J346" s="4"/>
      <c r="K346" s="4"/>
      <c r="L346" s="4"/>
      <c r="M346" s="4"/>
      <c r="N346" s="6">
        <f ca="1">IFERROR(__xludf.DUMMYFUNCTION("""COMPUTED_VALUE"""),38)</f>
        <v>38</v>
      </c>
      <c r="O346" s="6">
        <f ca="1">IFERROR(__xludf.DUMMYFUNCTION("""COMPUTED_VALUE"""),39)</f>
        <v>39</v>
      </c>
      <c r="P346" s="4" t="str">
        <f ca="1">IFERROR(__xludf.DUMMYFUNCTION("""COMPUTED_VALUE"""),"")</f>
        <v/>
      </c>
      <c r="Q346" s="6">
        <f ca="1">IFERROR(__xludf.DUMMYFUNCTION("""COMPUTED_VALUE"""),769)</f>
        <v>769</v>
      </c>
      <c r="R346" s="4" t="str">
        <f ca="1">IFERROR(__xludf.DUMMYFUNCTION("""COMPUTED_VALUE"""),"")</f>
        <v/>
      </c>
      <c r="S346" s="6">
        <f ca="1">IFERROR(__xludf.DUMMYFUNCTION("""COMPUTED_VALUE"""),1865)</f>
        <v>1865</v>
      </c>
      <c r="T346" s="4"/>
      <c r="U346" s="4"/>
      <c r="V346" s="4"/>
      <c r="W346" s="4"/>
      <c r="X346" s="4"/>
      <c r="Y346" s="4"/>
      <c r="Z346" s="4"/>
      <c r="AA346" s="4"/>
      <c r="AB346" s="4"/>
    </row>
    <row r="347" spans="1:28" x14ac:dyDescent="0.2">
      <c r="A347" s="4" t="str">
        <f t="shared" si="2"/>
        <v/>
      </c>
      <c r="B347" s="4" t="str">
        <f t="shared" si="3"/>
        <v/>
      </c>
      <c r="C347" s="4"/>
      <c r="D347" s="4"/>
      <c r="E347" s="4"/>
      <c r="F347" s="4"/>
      <c r="G347" s="4"/>
      <c r="H347" s="4"/>
      <c r="I347" s="4"/>
      <c r="J347" s="4"/>
      <c r="K347" s="4"/>
      <c r="L347" s="4"/>
      <c r="M347" s="4"/>
      <c r="N347" s="6">
        <f ca="1">IFERROR(__xludf.DUMMYFUNCTION("""COMPUTED_VALUE"""),38)</f>
        <v>38</v>
      </c>
      <c r="O347" s="6">
        <f ca="1">IFERROR(__xludf.DUMMYFUNCTION("""COMPUTED_VALUE"""),39)</f>
        <v>39</v>
      </c>
      <c r="P347" s="4" t="str">
        <f ca="1">IFERROR(__xludf.DUMMYFUNCTION("""COMPUTED_VALUE"""),"")</f>
        <v/>
      </c>
      <c r="Q347" s="6">
        <f ca="1">IFERROR(__xludf.DUMMYFUNCTION("""COMPUTED_VALUE"""),769)</f>
        <v>769</v>
      </c>
      <c r="R347" s="4" t="str">
        <f ca="1">IFERROR(__xludf.DUMMYFUNCTION("""COMPUTED_VALUE"""),"")</f>
        <v/>
      </c>
      <c r="S347" s="6">
        <f ca="1">IFERROR(__xludf.DUMMYFUNCTION("""COMPUTED_VALUE"""),1865)</f>
        <v>1865</v>
      </c>
      <c r="T347" s="4"/>
      <c r="U347" s="4"/>
      <c r="V347" s="4"/>
      <c r="W347" s="4"/>
      <c r="X347" s="4"/>
      <c r="Y347" s="4"/>
      <c r="Z347" s="4"/>
      <c r="AA347" s="4"/>
      <c r="AB347" s="4"/>
    </row>
    <row r="348" spans="1:28" x14ac:dyDescent="0.2">
      <c r="A348" s="4" t="str">
        <f t="shared" si="2"/>
        <v/>
      </c>
      <c r="B348" s="4" t="str">
        <f t="shared" si="3"/>
        <v/>
      </c>
      <c r="C348" s="4"/>
      <c r="D348" s="4"/>
      <c r="E348" s="4"/>
      <c r="F348" s="4"/>
      <c r="G348" s="4"/>
      <c r="H348" s="4"/>
      <c r="I348" s="4"/>
      <c r="J348" s="4"/>
      <c r="K348" s="4"/>
      <c r="L348" s="4"/>
      <c r="M348" s="4"/>
      <c r="N348" s="6">
        <f ca="1">IFERROR(__xludf.DUMMYFUNCTION("""COMPUTED_VALUE"""),38)</f>
        <v>38</v>
      </c>
      <c r="O348" s="6">
        <f ca="1">IFERROR(__xludf.DUMMYFUNCTION("""COMPUTED_VALUE"""),39)</f>
        <v>39</v>
      </c>
      <c r="P348" s="4" t="str">
        <f ca="1">IFERROR(__xludf.DUMMYFUNCTION("""COMPUTED_VALUE"""),"")</f>
        <v/>
      </c>
      <c r="Q348" s="6">
        <f ca="1">IFERROR(__xludf.DUMMYFUNCTION("""COMPUTED_VALUE"""),769)</f>
        <v>769</v>
      </c>
      <c r="R348" s="4" t="str">
        <f ca="1">IFERROR(__xludf.DUMMYFUNCTION("""COMPUTED_VALUE"""),"")</f>
        <v/>
      </c>
      <c r="S348" s="6">
        <f ca="1">IFERROR(__xludf.DUMMYFUNCTION("""COMPUTED_VALUE"""),1865)</f>
        <v>1865</v>
      </c>
      <c r="T348" s="4"/>
      <c r="U348" s="4"/>
      <c r="V348" s="4"/>
      <c r="W348" s="4"/>
      <c r="X348" s="4"/>
      <c r="Y348" s="4"/>
      <c r="Z348" s="4"/>
      <c r="AA348" s="4"/>
      <c r="AB348" s="4"/>
    </row>
    <row r="349" spans="1:28" x14ac:dyDescent="0.2">
      <c r="A349" s="4" t="str">
        <f t="shared" si="2"/>
        <v/>
      </c>
      <c r="B349" s="4" t="str">
        <f t="shared" si="3"/>
        <v/>
      </c>
      <c r="C349" s="4"/>
      <c r="D349" s="4"/>
      <c r="E349" s="4"/>
      <c r="F349" s="4"/>
      <c r="G349" s="4"/>
      <c r="H349" s="4"/>
      <c r="I349" s="4"/>
      <c r="J349" s="4"/>
      <c r="K349" s="4"/>
      <c r="L349" s="4"/>
      <c r="M349" s="4"/>
      <c r="N349" s="6">
        <f ca="1">IFERROR(__xludf.DUMMYFUNCTION("""COMPUTED_VALUE"""),38)</f>
        <v>38</v>
      </c>
      <c r="O349" s="6">
        <f ca="1">IFERROR(__xludf.DUMMYFUNCTION("""COMPUTED_VALUE"""),39)</f>
        <v>39</v>
      </c>
      <c r="P349" s="4" t="str">
        <f ca="1">IFERROR(__xludf.DUMMYFUNCTION("""COMPUTED_VALUE"""),"")</f>
        <v/>
      </c>
      <c r="Q349" s="6">
        <f ca="1">IFERROR(__xludf.DUMMYFUNCTION("""COMPUTED_VALUE"""),769)</f>
        <v>769</v>
      </c>
      <c r="R349" s="4" t="str">
        <f ca="1">IFERROR(__xludf.DUMMYFUNCTION("""COMPUTED_VALUE"""),"")</f>
        <v/>
      </c>
      <c r="S349" s="6">
        <f ca="1">IFERROR(__xludf.DUMMYFUNCTION("""COMPUTED_VALUE"""),1865)</f>
        <v>1865</v>
      </c>
      <c r="T349" s="4"/>
      <c r="U349" s="4"/>
      <c r="V349" s="4"/>
      <c r="W349" s="4"/>
      <c r="X349" s="4"/>
      <c r="Y349" s="4"/>
      <c r="Z349" s="4"/>
      <c r="AA349" s="4"/>
      <c r="AB349" s="4"/>
    </row>
    <row r="350" spans="1:28" x14ac:dyDescent="0.2">
      <c r="A350" s="4" t="str">
        <f t="shared" si="2"/>
        <v/>
      </c>
      <c r="B350" s="4" t="str">
        <f t="shared" si="3"/>
        <v/>
      </c>
      <c r="C350" s="4"/>
      <c r="D350" s="4"/>
      <c r="E350" s="4"/>
      <c r="F350" s="4"/>
      <c r="G350" s="4"/>
      <c r="H350" s="4"/>
      <c r="I350" s="4"/>
      <c r="J350" s="4"/>
      <c r="K350" s="4"/>
      <c r="L350" s="4"/>
      <c r="M350" s="4"/>
      <c r="N350" s="6">
        <f ca="1">IFERROR(__xludf.DUMMYFUNCTION("""COMPUTED_VALUE"""),38)</f>
        <v>38</v>
      </c>
      <c r="O350" s="6">
        <f ca="1">IFERROR(__xludf.DUMMYFUNCTION("""COMPUTED_VALUE"""),39)</f>
        <v>39</v>
      </c>
      <c r="P350" s="4" t="str">
        <f ca="1">IFERROR(__xludf.DUMMYFUNCTION("""COMPUTED_VALUE"""),"")</f>
        <v/>
      </c>
      <c r="Q350" s="6">
        <f ca="1">IFERROR(__xludf.DUMMYFUNCTION("""COMPUTED_VALUE"""),769)</f>
        <v>769</v>
      </c>
      <c r="R350" s="4" t="str">
        <f ca="1">IFERROR(__xludf.DUMMYFUNCTION("""COMPUTED_VALUE"""),"")</f>
        <v/>
      </c>
      <c r="S350" s="6">
        <f ca="1">IFERROR(__xludf.DUMMYFUNCTION("""COMPUTED_VALUE"""),1865)</f>
        <v>1865</v>
      </c>
      <c r="T350" s="4"/>
      <c r="U350" s="4"/>
      <c r="V350" s="4"/>
      <c r="W350" s="4"/>
      <c r="X350" s="4"/>
      <c r="Y350" s="4"/>
      <c r="Z350" s="4"/>
      <c r="AA350" s="4"/>
      <c r="AB350" s="4"/>
    </row>
    <row r="351" spans="1:28" x14ac:dyDescent="0.2">
      <c r="A351" s="4" t="str">
        <f t="shared" si="2"/>
        <v/>
      </c>
      <c r="B351" s="4" t="str">
        <f t="shared" si="3"/>
        <v/>
      </c>
      <c r="C351" s="4"/>
      <c r="D351" s="4"/>
      <c r="E351" s="4"/>
      <c r="F351" s="4"/>
      <c r="G351" s="4"/>
      <c r="H351" s="4"/>
      <c r="I351" s="4"/>
      <c r="J351" s="4"/>
      <c r="K351" s="4"/>
      <c r="L351" s="4"/>
      <c r="M351" s="4"/>
      <c r="N351" s="6">
        <f ca="1">IFERROR(__xludf.DUMMYFUNCTION("""COMPUTED_VALUE"""),38)</f>
        <v>38</v>
      </c>
      <c r="O351" s="6">
        <f ca="1">IFERROR(__xludf.DUMMYFUNCTION("""COMPUTED_VALUE"""),39)</f>
        <v>39</v>
      </c>
      <c r="P351" s="4" t="str">
        <f ca="1">IFERROR(__xludf.DUMMYFUNCTION("""COMPUTED_VALUE"""),"")</f>
        <v/>
      </c>
      <c r="Q351" s="6">
        <f ca="1">IFERROR(__xludf.DUMMYFUNCTION("""COMPUTED_VALUE"""),769)</f>
        <v>769</v>
      </c>
      <c r="R351" s="4" t="str">
        <f ca="1">IFERROR(__xludf.DUMMYFUNCTION("""COMPUTED_VALUE"""),"")</f>
        <v/>
      </c>
      <c r="S351" s="6">
        <f ca="1">IFERROR(__xludf.DUMMYFUNCTION("""COMPUTED_VALUE"""),1865)</f>
        <v>1865</v>
      </c>
      <c r="T351" s="4"/>
      <c r="U351" s="4"/>
      <c r="V351" s="4"/>
      <c r="W351" s="4"/>
      <c r="X351" s="4"/>
      <c r="Y351" s="4"/>
      <c r="Z351" s="4"/>
      <c r="AA351" s="4"/>
      <c r="AB351" s="4"/>
    </row>
    <row r="352" spans="1:28" x14ac:dyDescent="0.2">
      <c r="A352" s="4" t="str">
        <f t="shared" si="2"/>
        <v/>
      </c>
      <c r="B352" s="4" t="str">
        <f t="shared" si="3"/>
        <v/>
      </c>
      <c r="C352" s="4"/>
      <c r="D352" s="4"/>
      <c r="E352" s="4"/>
      <c r="F352" s="4"/>
      <c r="G352" s="4"/>
      <c r="H352" s="4"/>
      <c r="I352" s="4"/>
      <c r="J352" s="4"/>
      <c r="K352" s="4"/>
      <c r="L352" s="4"/>
      <c r="M352" s="4"/>
      <c r="N352" s="6">
        <f ca="1">IFERROR(__xludf.DUMMYFUNCTION("""COMPUTED_VALUE"""),38)</f>
        <v>38</v>
      </c>
      <c r="O352" s="6">
        <f ca="1">IFERROR(__xludf.DUMMYFUNCTION("""COMPUTED_VALUE"""),39)</f>
        <v>39</v>
      </c>
      <c r="P352" s="4" t="str">
        <f ca="1">IFERROR(__xludf.DUMMYFUNCTION("""COMPUTED_VALUE"""),"")</f>
        <v/>
      </c>
      <c r="Q352" s="6">
        <f ca="1">IFERROR(__xludf.DUMMYFUNCTION("""COMPUTED_VALUE"""),769)</f>
        <v>769</v>
      </c>
      <c r="R352" s="4" t="str">
        <f ca="1">IFERROR(__xludf.DUMMYFUNCTION("""COMPUTED_VALUE"""),"")</f>
        <v/>
      </c>
      <c r="S352" s="6">
        <f ca="1">IFERROR(__xludf.DUMMYFUNCTION("""COMPUTED_VALUE"""),1865)</f>
        <v>1865</v>
      </c>
      <c r="T352" s="4"/>
      <c r="U352" s="4"/>
      <c r="V352" s="4"/>
      <c r="W352" s="4"/>
      <c r="X352" s="4"/>
      <c r="Y352" s="4"/>
      <c r="Z352" s="4"/>
      <c r="AA352" s="4"/>
      <c r="AB352" s="4"/>
    </row>
    <row r="353" spans="1:28" x14ac:dyDescent="0.2">
      <c r="A353" s="4" t="str">
        <f t="shared" si="2"/>
        <v/>
      </c>
      <c r="B353" s="4" t="str">
        <f t="shared" si="3"/>
        <v/>
      </c>
      <c r="C353" s="4"/>
      <c r="D353" s="4"/>
      <c r="E353" s="4"/>
      <c r="F353" s="4"/>
      <c r="G353" s="4"/>
      <c r="H353" s="4"/>
      <c r="I353" s="4"/>
      <c r="J353" s="4"/>
      <c r="K353" s="4"/>
      <c r="L353" s="4"/>
      <c r="M353" s="4"/>
      <c r="N353" s="6">
        <f ca="1">IFERROR(__xludf.DUMMYFUNCTION("""COMPUTED_VALUE"""),38)</f>
        <v>38</v>
      </c>
      <c r="O353" s="6">
        <f ca="1">IFERROR(__xludf.DUMMYFUNCTION("""COMPUTED_VALUE"""),39)</f>
        <v>39</v>
      </c>
      <c r="P353" s="4" t="str">
        <f ca="1">IFERROR(__xludf.DUMMYFUNCTION("""COMPUTED_VALUE"""),"")</f>
        <v/>
      </c>
      <c r="Q353" s="6">
        <f ca="1">IFERROR(__xludf.DUMMYFUNCTION("""COMPUTED_VALUE"""),769)</f>
        <v>769</v>
      </c>
      <c r="R353" s="4" t="str">
        <f ca="1">IFERROR(__xludf.DUMMYFUNCTION("""COMPUTED_VALUE"""),"")</f>
        <v/>
      </c>
      <c r="S353" s="6">
        <f ca="1">IFERROR(__xludf.DUMMYFUNCTION("""COMPUTED_VALUE"""),1865)</f>
        <v>1865</v>
      </c>
      <c r="T353" s="4"/>
      <c r="U353" s="4"/>
      <c r="V353" s="4"/>
      <c r="W353" s="4"/>
      <c r="X353" s="4"/>
      <c r="Y353" s="4"/>
      <c r="Z353" s="4"/>
      <c r="AA353" s="4"/>
      <c r="AB353" s="4"/>
    </row>
    <row r="354" spans="1:28" x14ac:dyDescent="0.2">
      <c r="A354" s="4" t="str">
        <f t="shared" si="2"/>
        <v/>
      </c>
      <c r="B354" s="4" t="str">
        <f t="shared" si="3"/>
        <v/>
      </c>
      <c r="C354" s="4"/>
      <c r="D354" s="4"/>
      <c r="E354" s="4"/>
      <c r="F354" s="4"/>
      <c r="G354" s="4"/>
      <c r="H354" s="4"/>
      <c r="I354" s="4"/>
      <c r="J354" s="4"/>
      <c r="K354" s="4"/>
      <c r="L354" s="4"/>
      <c r="M354" s="4"/>
      <c r="N354" s="6">
        <f ca="1">IFERROR(__xludf.DUMMYFUNCTION("""COMPUTED_VALUE"""),38)</f>
        <v>38</v>
      </c>
      <c r="O354" s="6">
        <f ca="1">IFERROR(__xludf.DUMMYFUNCTION("""COMPUTED_VALUE"""),39)</f>
        <v>39</v>
      </c>
      <c r="P354" s="4" t="str">
        <f ca="1">IFERROR(__xludf.DUMMYFUNCTION("""COMPUTED_VALUE"""),"")</f>
        <v/>
      </c>
      <c r="Q354" s="6">
        <f ca="1">IFERROR(__xludf.DUMMYFUNCTION("""COMPUTED_VALUE"""),769)</f>
        <v>769</v>
      </c>
      <c r="R354" s="4" t="str">
        <f ca="1">IFERROR(__xludf.DUMMYFUNCTION("""COMPUTED_VALUE"""),"")</f>
        <v/>
      </c>
      <c r="S354" s="6">
        <f ca="1">IFERROR(__xludf.DUMMYFUNCTION("""COMPUTED_VALUE"""),1865)</f>
        <v>1865</v>
      </c>
      <c r="T354" s="4"/>
      <c r="U354" s="4"/>
      <c r="V354" s="4"/>
      <c r="W354" s="4"/>
      <c r="X354" s="4"/>
      <c r="Y354" s="4"/>
      <c r="Z354" s="4"/>
      <c r="AA354" s="4"/>
      <c r="AB354" s="4"/>
    </row>
    <row r="355" spans="1:28" x14ac:dyDescent="0.2">
      <c r="A355" s="4" t="str">
        <f t="shared" si="2"/>
        <v/>
      </c>
      <c r="B355" s="4" t="str">
        <f t="shared" si="3"/>
        <v/>
      </c>
      <c r="C355" s="4"/>
      <c r="D355" s="4"/>
      <c r="E355" s="4"/>
      <c r="F355" s="4"/>
      <c r="G355" s="4"/>
      <c r="H355" s="4"/>
      <c r="I355" s="4"/>
      <c r="J355" s="4"/>
      <c r="K355" s="4"/>
      <c r="L355" s="4"/>
      <c r="M355" s="4"/>
      <c r="N355" s="6">
        <f ca="1">IFERROR(__xludf.DUMMYFUNCTION("""COMPUTED_VALUE"""),38)</f>
        <v>38</v>
      </c>
      <c r="O355" s="6">
        <f ca="1">IFERROR(__xludf.DUMMYFUNCTION("""COMPUTED_VALUE"""),39)</f>
        <v>39</v>
      </c>
      <c r="P355" s="4" t="str">
        <f ca="1">IFERROR(__xludf.DUMMYFUNCTION("""COMPUTED_VALUE"""),"")</f>
        <v/>
      </c>
      <c r="Q355" s="6">
        <f ca="1">IFERROR(__xludf.DUMMYFUNCTION("""COMPUTED_VALUE"""),769)</f>
        <v>769</v>
      </c>
      <c r="R355" s="4" t="str">
        <f ca="1">IFERROR(__xludf.DUMMYFUNCTION("""COMPUTED_VALUE"""),"")</f>
        <v/>
      </c>
      <c r="S355" s="6">
        <f ca="1">IFERROR(__xludf.DUMMYFUNCTION("""COMPUTED_VALUE"""),1865)</f>
        <v>1865</v>
      </c>
      <c r="T355" s="4"/>
      <c r="U355" s="4"/>
      <c r="V355" s="4"/>
      <c r="W355" s="4"/>
      <c r="X355" s="4"/>
      <c r="Y355" s="4"/>
      <c r="Z355" s="4"/>
      <c r="AA355" s="4"/>
      <c r="AB355" s="4"/>
    </row>
    <row r="356" spans="1:28" x14ac:dyDescent="0.2">
      <c r="A356" s="4" t="str">
        <f t="shared" si="2"/>
        <v/>
      </c>
      <c r="B356" s="4" t="str">
        <f t="shared" si="3"/>
        <v/>
      </c>
      <c r="C356" s="4"/>
      <c r="D356" s="4"/>
      <c r="E356" s="4"/>
      <c r="F356" s="4"/>
      <c r="G356" s="4"/>
      <c r="H356" s="4"/>
      <c r="I356" s="4"/>
      <c r="J356" s="4"/>
      <c r="K356" s="4"/>
      <c r="L356" s="4"/>
      <c r="M356" s="4"/>
      <c r="N356" s="6">
        <f ca="1">IFERROR(__xludf.DUMMYFUNCTION("""COMPUTED_VALUE"""),38)</f>
        <v>38</v>
      </c>
      <c r="O356" s="6">
        <f ca="1">IFERROR(__xludf.DUMMYFUNCTION("""COMPUTED_VALUE"""),39)</f>
        <v>39</v>
      </c>
      <c r="P356" s="4" t="str">
        <f ca="1">IFERROR(__xludf.DUMMYFUNCTION("""COMPUTED_VALUE"""),"")</f>
        <v/>
      </c>
      <c r="Q356" s="6">
        <f ca="1">IFERROR(__xludf.DUMMYFUNCTION("""COMPUTED_VALUE"""),769)</f>
        <v>769</v>
      </c>
      <c r="R356" s="4" t="str">
        <f ca="1">IFERROR(__xludf.DUMMYFUNCTION("""COMPUTED_VALUE"""),"")</f>
        <v/>
      </c>
      <c r="S356" s="6">
        <f ca="1">IFERROR(__xludf.DUMMYFUNCTION("""COMPUTED_VALUE"""),1865)</f>
        <v>1865</v>
      </c>
      <c r="T356" s="4"/>
      <c r="U356" s="4"/>
      <c r="V356" s="4"/>
      <c r="W356" s="4"/>
      <c r="X356" s="4"/>
      <c r="Y356" s="4"/>
      <c r="Z356" s="4"/>
      <c r="AA356" s="4"/>
      <c r="AB356" s="4"/>
    </row>
    <row r="357" spans="1:28" x14ac:dyDescent="0.2">
      <c r="A357" s="4" t="str">
        <f t="shared" si="2"/>
        <v/>
      </c>
      <c r="B357" s="4" t="str">
        <f t="shared" si="3"/>
        <v/>
      </c>
      <c r="C357" s="4"/>
      <c r="D357" s="4"/>
      <c r="E357" s="4"/>
      <c r="F357" s="4"/>
      <c r="G357" s="4"/>
      <c r="H357" s="4"/>
      <c r="I357" s="4"/>
      <c r="J357" s="4"/>
      <c r="K357" s="4"/>
      <c r="L357" s="4"/>
      <c r="M357" s="4"/>
      <c r="N357" s="6">
        <f ca="1">IFERROR(__xludf.DUMMYFUNCTION("""COMPUTED_VALUE"""),38)</f>
        <v>38</v>
      </c>
      <c r="O357" s="6">
        <f ca="1">IFERROR(__xludf.DUMMYFUNCTION("""COMPUTED_VALUE"""),39)</f>
        <v>39</v>
      </c>
      <c r="P357" s="4" t="str">
        <f ca="1">IFERROR(__xludf.DUMMYFUNCTION("""COMPUTED_VALUE"""),"")</f>
        <v/>
      </c>
      <c r="Q357" s="6">
        <f ca="1">IFERROR(__xludf.DUMMYFUNCTION("""COMPUTED_VALUE"""),769)</f>
        <v>769</v>
      </c>
      <c r="R357" s="4" t="str">
        <f ca="1">IFERROR(__xludf.DUMMYFUNCTION("""COMPUTED_VALUE"""),"")</f>
        <v/>
      </c>
      <c r="S357" s="6">
        <f ca="1">IFERROR(__xludf.DUMMYFUNCTION("""COMPUTED_VALUE"""),1865)</f>
        <v>1865</v>
      </c>
      <c r="T357" s="4"/>
      <c r="U357" s="4"/>
      <c r="V357" s="4"/>
      <c r="W357" s="4"/>
      <c r="X357" s="4"/>
      <c r="Y357" s="4"/>
      <c r="Z357" s="4"/>
      <c r="AA357" s="4"/>
      <c r="AB357" s="4"/>
    </row>
    <row r="358" spans="1:28" x14ac:dyDescent="0.2">
      <c r="A358" s="4" t="str">
        <f t="shared" si="2"/>
        <v/>
      </c>
      <c r="B358" s="4" t="str">
        <f t="shared" si="3"/>
        <v/>
      </c>
      <c r="C358" s="4"/>
      <c r="D358" s="4"/>
      <c r="E358" s="4"/>
      <c r="F358" s="4"/>
      <c r="G358" s="4"/>
      <c r="H358" s="4"/>
      <c r="I358" s="4"/>
      <c r="J358" s="4"/>
      <c r="K358" s="4"/>
      <c r="L358" s="4"/>
      <c r="M358" s="4"/>
      <c r="N358" s="6">
        <f ca="1">IFERROR(__xludf.DUMMYFUNCTION("""COMPUTED_VALUE"""),38)</f>
        <v>38</v>
      </c>
      <c r="O358" s="6">
        <f ca="1">IFERROR(__xludf.DUMMYFUNCTION("""COMPUTED_VALUE"""),39)</f>
        <v>39</v>
      </c>
      <c r="P358" s="4" t="str">
        <f ca="1">IFERROR(__xludf.DUMMYFUNCTION("""COMPUTED_VALUE"""),"")</f>
        <v/>
      </c>
      <c r="Q358" s="6">
        <f ca="1">IFERROR(__xludf.DUMMYFUNCTION("""COMPUTED_VALUE"""),769)</f>
        <v>769</v>
      </c>
      <c r="R358" s="4" t="str">
        <f ca="1">IFERROR(__xludf.DUMMYFUNCTION("""COMPUTED_VALUE"""),"")</f>
        <v/>
      </c>
      <c r="S358" s="6">
        <f ca="1">IFERROR(__xludf.DUMMYFUNCTION("""COMPUTED_VALUE"""),1865)</f>
        <v>1865</v>
      </c>
      <c r="T358" s="4"/>
      <c r="U358" s="4"/>
      <c r="V358" s="4"/>
      <c r="W358" s="4"/>
      <c r="X358" s="4"/>
      <c r="Y358" s="4"/>
      <c r="Z358" s="4"/>
      <c r="AA358" s="4"/>
      <c r="AB358" s="4"/>
    </row>
    <row r="359" spans="1:28" x14ac:dyDescent="0.2">
      <c r="A359" s="4" t="str">
        <f t="shared" si="2"/>
        <v/>
      </c>
      <c r="B359" s="4" t="str">
        <f t="shared" si="3"/>
        <v/>
      </c>
      <c r="C359" s="4"/>
      <c r="D359" s="4"/>
      <c r="E359" s="4"/>
      <c r="F359" s="4"/>
      <c r="G359" s="4"/>
      <c r="H359" s="4"/>
      <c r="I359" s="4"/>
      <c r="J359" s="4"/>
      <c r="K359" s="4"/>
      <c r="L359" s="4"/>
      <c r="M359" s="4"/>
      <c r="N359" s="6">
        <f ca="1">IFERROR(__xludf.DUMMYFUNCTION("""COMPUTED_VALUE"""),38)</f>
        <v>38</v>
      </c>
      <c r="O359" s="6">
        <f ca="1">IFERROR(__xludf.DUMMYFUNCTION("""COMPUTED_VALUE"""),39)</f>
        <v>39</v>
      </c>
      <c r="P359" s="4" t="str">
        <f ca="1">IFERROR(__xludf.DUMMYFUNCTION("""COMPUTED_VALUE"""),"")</f>
        <v/>
      </c>
      <c r="Q359" s="6">
        <f ca="1">IFERROR(__xludf.DUMMYFUNCTION("""COMPUTED_VALUE"""),769)</f>
        <v>769</v>
      </c>
      <c r="R359" s="4" t="str">
        <f ca="1">IFERROR(__xludf.DUMMYFUNCTION("""COMPUTED_VALUE"""),"")</f>
        <v/>
      </c>
      <c r="S359" s="6">
        <f ca="1">IFERROR(__xludf.DUMMYFUNCTION("""COMPUTED_VALUE"""),1865)</f>
        <v>1865</v>
      </c>
      <c r="T359" s="4"/>
      <c r="U359" s="4"/>
      <c r="V359" s="4"/>
      <c r="W359" s="4"/>
      <c r="X359" s="4"/>
      <c r="Y359" s="4"/>
      <c r="Z359" s="4"/>
      <c r="AA359" s="4"/>
      <c r="AB359" s="4"/>
    </row>
    <row r="360" spans="1:28" x14ac:dyDescent="0.2">
      <c r="A360" s="4" t="str">
        <f t="shared" si="2"/>
        <v/>
      </c>
      <c r="B360" s="4" t="str">
        <f t="shared" si="3"/>
        <v/>
      </c>
      <c r="C360" s="4"/>
      <c r="D360" s="4"/>
      <c r="E360" s="4"/>
      <c r="F360" s="4"/>
      <c r="G360" s="4"/>
      <c r="H360" s="4"/>
      <c r="I360" s="4"/>
      <c r="J360" s="4"/>
      <c r="K360" s="4"/>
      <c r="L360" s="4"/>
      <c r="M360" s="4"/>
      <c r="N360" s="6">
        <f ca="1">IFERROR(__xludf.DUMMYFUNCTION("""COMPUTED_VALUE"""),38)</f>
        <v>38</v>
      </c>
      <c r="O360" s="6">
        <f ca="1">IFERROR(__xludf.DUMMYFUNCTION("""COMPUTED_VALUE"""),39)</f>
        <v>39</v>
      </c>
      <c r="P360" s="4" t="str">
        <f ca="1">IFERROR(__xludf.DUMMYFUNCTION("""COMPUTED_VALUE"""),"")</f>
        <v/>
      </c>
      <c r="Q360" s="6">
        <f ca="1">IFERROR(__xludf.DUMMYFUNCTION("""COMPUTED_VALUE"""),769)</f>
        <v>769</v>
      </c>
      <c r="R360" s="4" t="str">
        <f ca="1">IFERROR(__xludf.DUMMYFUNCTION("""COMPUTED_VALUE"""),"")</f>
        <v/>
      </c>
      <c r="S360" s="6">
        <f ca="1">IFERROR(__xludf.DUMMYFUNCTION("""COMPUTED_VALUE"""),1865)</f>
        <v>1865</v>
      </c>
      <c r="T360" s="4"/>
      <c r="U360" s="4"/>
      <c r="V360" s="4"/>
      <c r="W360" s="4"/>
      <c r="X360" s="4"/>
      <c r="Y360" s="4"/>
      <c r="Z360" s="4"/>
      <c r="AA360" s="4"/>
      <c r="AB360" s="4"/>
    </row>
    <row r="361" spans="1:28" x14ac:dyDescent="0.2">
      <c r="A361" s="4" t="str">
        <f t="shared" si="2"/>
        <v/>
      </c>
      <c r="B361" s="4" t="str">
        <f t="shared" si="3"/>
        <v/>
      </c>
      <c r="C361" s="4"/>
      <c r="D361" s="4"/>
      <c r="E361" s="4"/>
      <c r="F361" s="4"/>
      <c r="G361" s="4"/>
      <c r="H361" s="4"/>
      <c r="I361" s="4"/>
      <c r="J361" s="4"/>
      <c r="K361" s="4"/>
      <c r="L361" s="4"/>
      <c r="M361" s="4"/>
      <c r="N361" s="6">
        <f ca="1">IFERROR(__xludf.DUMMYFUNCTION("""COMPUTED_VALUE"""),38)</f>
        <v>38</v>
      </c>
      <c r="O361" s="6">
        <f ca="1">IFERROR(__xludf.DUMMYFUNCTION("""COMPUTED_VALUE"""),39)</f>
        <v>39</v>
      </c>
      <c r="P361" s="4" t="str">
        <f ca="1">IFERROR(__xludf.DUMMYFUNCTION("""COMPUTED_VALUE"""),"")</f>
        <v/>
      </c>
      <c r="Q361" s="6">
        <f ca="1">IFERROR(__xludf.DUMMYFUNCTION("""COMPUTED_VALUE"""),769)</f>
        <v>769</v>
      </c>
      <c r="R361" s="4" t="str">
        <f ca="1">IFERROR(__xludf.DUMMYFUNCTION("""COMPUTED_VALUE"""),"")</f>
        <v/>
      </c>
      <c r="S361" s="6">
        <f ca="1">IFERROR(__xludf.DUMMYFUNCTION("""COMPUTED_VALUE"""),1865)</f>
        <v>1865</v>
      </c>
      <c r="T361" s="4"/>
      <c r="U361" s="4"/>
      <c r="V361" s="4"/>
      <c r="W361" s="4"/>
      <c r="X361" s="4"/>
      <c r="Y361" s="4"/>
      <c r="Z361" s="4"/>
      <c r="AA361" s="4"/>
      <c r="AB361" s="4"/>
    </row>
    <row r="362" spans="1:28" x14ac:dyDescent="0.2">
      <c r="A362" s="4" t="str">
        <f t="shared" si="2"/>
        <v/>
      </c>
      <c r="B362" s="4" t="str">
        <f t="shared" si="3"/>
        <v/>
      </c>
      <c r="C362" s="4"/>
      <c r="D362" s="4"/>
      <c r="E362" s="4"/>
      <c r="F362" s="4"/>
      <c r="G362" s="4"/>
      <c r="H362" s="4"/>
      <c r="I362" s="4"/>
      <c r="J362" s="4"/>
      <c r="K362" s="4"/>
      <c r="L362" s="4"/>
      <c r="M362" s="4"/>
      <c r="N362" s="6">
        <f ca="1">IFERROR(__xludf.DUMMYFUNCTION("""COMPUTED_VALUE"""),38)</f>
        <v>38</v>
      </c>
      <c r="O362" s="6">
        <f ca="1">IFERROR(__xludf.DUMMYFUNCTION("""COMPUTED_VALUE"""),39)</f>
        <v>39</v>
      </c>
      <c r="P362" s="4" t="str">
        <f ca="1">IFERROR(__xludf.DUMMYFUNCTION("""COMPUTED_VALUE"""),"")</f>
        <v/>
      </c>
      <c r="Q362" s="6">
        <f ca="1">IFERROR(__xludf.DUMMYFUNCTION("""COMPUTED_VALUE"""),769)</f>
        <v>769</v>
      </c>
      <c r="R362" s="4" t="str">
        <f ca="1">IFERROR(__xludf.DUMMYFUNCTION("""COMPUTED_VALUE"""),"")</f>
        <v/>
      </c>
      <c r="S362" s="6">
        <f ca="1">IFERROR(__xludf.DUMMYFUNCTION("""COMPUTED_VALUE"""),1865)</f>
        <v>1865</v>
      </c>
      <c r="T362" s="4"/>
      <c r="U362" s="4"/>
      <c r="V362" s="4"/>
      <c r="W362" s="4"/>
      <c r="X362" s="4"/>
      <c r="Y362" s="4"/>
      <c r="Z362" s="4"/>
      <c r="AA362" s="4"/>
      <c r="AB362" s="4"/>
    </row>
    <row r="363" spans="1:28" x14ac:dyDescent="0.2">
      <c r="A363" s="4" t="str">
        <f t="shared" si="2"/>
        <v/>
      </c>
      <c r="B363" s="4" t="str">
        <f t="shared" si="3"/>
        <v/>
      </c>
      <c r="C363" s="4"/>
      <c r="D363" s="4"/>
      <c r="E363" s="4"/>
      <c r="F363" s="4"/>
      <c r="G363" s="4"/>
      <c r="H363" s="4"/>
      <c r="I363" s="4"/>
      <c r="J363" s="4"/>
      <c r="K363" s="4"/>
      <c r="L363" s="4"/>
      <c r="M363" s="4"/>
      <c r="N363" s="6">
        <f ca="1">IFERROR(__xludf.DUMMYFUNCTION("""COMPUTED_VALUE"""),38)</f>
        <v>38</v>
      </c>
      <c r="O363" s="6">
        <f ca="1">IFERROR(__xludf.DUMMYFUNCTION("""COMPUTED_VALUE"""),39)</f>
        <v>39</v>
      </c>
      <c r="P363" s="4" t="str">
        <f ca="1">IFERROR(__xludf.DUMMYFUNCTION("""COMPUTED_VALUE"""),"")</f>
        <v/>
      </c>
      <c r="Q363" s="6">
        <f ca="1">IFERROR(__xludf.DUMMYFUNCTION("""COMPUTED_VALUE"""),769)</f>
        <v>769</v>
      </c>
      <c r="R363" s="4" t="str">
        <f ca="1">IFERROR(__xludf.DUMMYFUNCTION("""COMPUTED_VALUE"""),"")</f>
        <v/>
      </c>
      <c r="S363" s="6">
        <f ca="1">IFERROR(__xludf.DUMMYFUNCTION("""COMPUTED_VALUE"""),1865)</f>
        <v>1865</v>
      </c>
      <c r="T363" s="4"/>
      <c r="U363" s="4"/>
      <c r="V363" s="4"/>
      <c r="W363" s="4"/>
      <c r="X363" s="4"/>
      <c r="Y363" s="4"/>
      <c r="Z363" s="4"/>
      <c r="AA363" s="4"/>
      <c r="AB363" s="4"/>
    </row>
    <row r="364" spans="1:28" x14ac:dyDescent="0.2">
      <c r="A364" s="4" t="str">
        <f t="shared" si="2"/>
        <v/>
      </c>
      <c r="B364" s="4" t="str">
        <f t="shared" si="3"/>
        <v/>
      </c>
      <c r="C364" s="4"/>
      <c r="D364" s="4"/>
      <c r="E364" s="4"/>
      <c r="F364" s="4"/>
      <c r="G364" s="4"/>
      <c r="H364" s="4"/>
      <c r="I364" s="4"/>
      <c r="J364" s="4"/>
      <c r="K364" s="4"/>
      <c r="L364" s="4"/>
      <c r="M364" s="4"/>
      <c r="N364" s="6">
        <f ca="1">IFERROR(__xludf.DUMMYFUNCTION("""COMPUTED_VALUE"""),38)</f>
        <v>38</v>
      </c>
      <c r="O364" s="6">
        <f ca="1">IFERROR(__xludf.DUMMYFUNCTION("""COMPUTED_VALUE"""),39)</f>
        <v>39</v>
      </c>
      <c r="P364" s="4" t="str">
        <f ca="1">IFERROR(__xludf.DUMMYFUNCTION("""COMPUTED_VALUE"""),"")</f>
        <v/>
      </c>
      <c r="Q364" s="6">
        <f ca="1">IFERROR(__xludf.DUMMYFUNCTION("""COMPUTED_VALUE"""),769)</f>
        <v>769</v>
      </c>
      <c r="R364" s="4" t="str">
        <f ca="1">IFERROR(__xludf.DUMMYFUNCTION("""COMPUTED_VALUE"""),"")</f>
        <v/>
      </c>
      <c r="S364" s="6">
        <f ca="1">IFERROR(__xludf.DUMMYFUNCTION("""COMPUTED_VALUE"""),1865)</f>
        <v>1865</v>
      </c>
      <c r="T364" s="4"/>
      <c r="U364" s="4"/>
      <c r="V364" s="4"/>
      <c r="W364" s="4"/>
      <c r="X364" s="4"/>
      <c r="Y364" s="4"/>
      <c r="Z364" s="4"/>
      <c r="AA364" s="4"/>
      <c r="AB364" s="4"/>
    </row>
    <row r="365" spans="1:28" x14ac:dyDescent="0.2">
      <c r="A365" s="4" t="str">
        <f t="shared" si="2"/>
        <v/>
      </c>
      <c r="B365" s="4" t="str">
        <f t="shared" si="3"/>
        <v/>
      </c>
      <c r="C365" s="4"/>
      <c r="D365" s="4"/>
      <c r="E365" s="4"/>
      <c r="F365" s="4"/>
      <c r="G365" s="4"/>
      <c r="H365" s="4"/>
      <c r="I365" s="4"/>
      <c r="J365" s="4"/>
      <c r="K365" s="4"/>
      <c r="L365" s="4"/>
      <c r="M365" s="4"/>
      <c r="N365" s="6">
        <f ca="1">IFERROR(__xludf.DUMMYFUNCTION("""COMPUTED_VALUE"""),38)</f>
        <v>38</v>
      </c>
      <c r="O365" s="6">
        <f ca="1">IFERROR(__xludf.DUMMYFUNCTION("""COMPUTED_VALUE"""),39)</f>
        <v>39</v>
      </c>
      <c r="P365" s="4" t="str">
        <f ca="1">IFERROR(__xludf.DUMMYFUNCTION("""COMPUTED_VALUE"""),"")</f>
        <v/>
      </c>
      <c r="Q365" s="6">
        <f ca="1">IFERROR(__xludf.DUMMYFUNCTION("""COMPUTED_VALUE"""),769)</f>
        <v>769</v>
      </c>
      <c r="R365" s="4" t="str">
        <f ca="1">IFERROR(__xludf.DUMMYFUNCTION("""COMPUTED_VALUE"""),"")</f>
        <v/>
      </c>
      <c r="S365" s="6">
        <f ca="1">IFERROR(__xludf.DUMMYFUNCTION("""COMPUTED_VALUE"""),1865)</f>
        <v>1865</v>
      </c>
      <c r="T365" s="4"/>
      <c r="U365" s="4"/>
      <c r="V365" s="4"/>
      <c r="W365" s="4"/>
      <c r="X365" s="4"/>
      <c r="Y365" s="4"/>
      <c r="Z365" s="4"/>
      <c r="AA365" s="4"/>
      <c r="AB365" s="4"/>
    </row>
    <row r="366" spans="1:28" x14ac:dyDescent="0.2">
      <c r="A366" s="4" t="str">
        <f t="shared" si="2"/>
        <v/>
      </c>
      <c r="B366" s="4" t="str">
        <f t="shared" si="3"/>
        <v/>
      </c>
      <c r="C366" s="4"/>
      <c r="D366" s="4"/>
      <c r="E366" s="4"/>
      <c r="F366" s="4"/>
      <c r="G366" s="4"/>
      <c r="H366" s="4"/>
      <c r="I366" s="4"/>
      <c r="J366" s="4"/>
      <c r="K366" s="4"/>
      <c r="L366" s="4"/>
      <c r="M366" s="4"/>
      <c r="N366" s="6">
        <f ca="1">IFERROR(__xludf.DUMMYFUNCTION("""COMPUTED_VALUE"""),38)</f>
        <v>38</v>
      </c>
      <c r="O366" s="6">
        <f ca="1">IFERROR(__xludf.DUMMYFUNCTION("""COMPUTED_VALUE"""),39)</f>
        <v>39</v>
      </c>
      <c r="P366" s="4" t="str">
        <f ca="1">IFERROR(__xludf.DUMMYFUNCTION("""COMPUTED_VALUE"""),"")</f>
        <v/>
      </c>
      <c r="Q366" s="6">
        <f ca="1">IFERROR(__xludf.DUMMYFUNCTION("""COMPUTED_VALUE"""),769)</f>
        <v>769</v>
      </c>
      <c r="R366" s="4" t="str">
        <f ca="1">IFERROR(__xludf.DUMMYFUNCTION("""COMPUTED_VALUE"""),"")</f>
        <v/>
      </c>
      <c r="S366" s="6">
        <f ca="1">IFERROR(__xludf.DUMMYFUNCTION("""COMPUTED_VALUE"""),1865)</f>
        <v>1865</v>
      </c>
      <c r="T366" s="4"/>
      <c r="U366" s="4"/>
      <c r="V366" s="4"/>
      <c r="W366" s="4"/>
      <c r="X366" s="4"/>
      <c r="Y366" s="4"/>
      <c r="Z366" s="4"/>
      <c r="AA366" s="4"/>
      <c r="AB366" s="4"/>
    </row>
    <row r="367" spans="1:28" x14ac:dyDescent="0.2">
      <c r="A367" s="4" t="str">
        <f t="shared" si="2"/>
        <v/>
      </c>
      <c r="B367" s="4" t="str">
        <f t="shared" si="3"/>
        <v/>
      </c>
      <c r="C367" s="4"/>
      <c r="D367" s="4"/>
      <c r="E367" s="4"/>
      <c r="F367" s="4"/>
      <c r="G367" s="4"/>
      <c r="H367" s="4"/>
      <c r="I367" s="4"/>
      <c r="J367" s="4"/>
      <c r="K367" s="4"/>
      <c r="L367" s="4"/>
      <c r="M367" s="4"/>
      <c r="N367" s="6">
        <f ca="1">IFERROR(__xludf.DUMMYFUNCTION("""COMPUTED_VALUE"""),38)</f>
        <v>38</v>
      </c>
      <c r="O367" s="6">
        <f ca="1">IFERROR(__xludf.DUMMYFUNCTION("""COMPUTED_VALUE"""),39)</f>
        <v>39</v>
      </c>
      <c r="P367" s="4" t="str">
        <f ca="1">IFERROR(__xludf.DUMMYFUNCTION("""COMPUTED_VALUE"""),"")</f>
        <v/>
      </c>
      <c r="Q367" s="6">
        <f ca="1">IFERROR(__xludf.DUMMYFUNCTION("""COMPUTED_VALUE"""),769)</f>
        <v>769</v>
      </c>
      <c r="R367" s="4" t="str">
        <f ca="1">IFERROR(__xludf.DUMMYFUNCTION("""COMPUTED_VALUE"""),"")</f>
        <v/>
      </c>
      <c r="S367" s="6">
        <f ca="1">IFERROR(__xludf.DUMMYFUNCTION("""COMPUTED_VALUE"""),1865)</f>
        <v>1865</v>
      </c>
      <c r="T367" s="4"/>
      <c r="U367" s="4"/>
      <c r="V367" s="4"/>
      <c r="W367" s="4"/>
      <c r="X367" s="4"/>
      <c r="Y367" s="4"/>
      <c r="Z367" s="4"/>
      <c r="AA367" s="4"/>
      <c r="AB367" s="4"/>
    </row>
    <row r="368" spans="1:28" x14ac:dyDescent="0.2">
      <c r="A368" s="4" t="str">
        <f t="shared" si="2"/>
        <v/>
      </c>
      <c r="B368" s="4" t="str">
        <f t="shared" si="3"/>
        <v/>
      </c>
      <c r="C368" s="4"/>
      <c r="D368" s="4"/>
      <c r="E368" s="4"/>
      <c r="F368" s="4"/>
      <c r="G368" s="4"/>
      <c r="H368" s="4"/>
      <c r="I368" s="4"/>
      <c r="J368" s="4"/>
      <c r="K368" s="4"/>
      <c r="L368" s="4"/>
      <c r="M368" s="4"/>
      <c r="N368" s="6">
        <f ca="1">IFERROR(__xludf.DUMMYFUNCTION("""COMPUTED_VALUE"""),38)</f>
        <v>38</v>
      </c>
      <c r="O368" s="6">
        <f ca="1">IFERROR(__xludf.DUMMYFUNCTION("""COMPUTED_VALUE"""),39)</f>
        <v>39</v>
      </c>
      <c r="P368" s="4" t="str">
        <f ca="1">IFERROR(__xludf.DUMMYFUNCTION("""COMPUTED_VALUE"""),"")</f>
        <v/>
      </c>
      <c r="Q368" s="6">
        <f ca="1">IFERROR(__xludf.DUMMYFUNCTION("""COMPUTED_VALUE"""),769)</f>
        <v>769</v>
      </c>
      <c r="R368" s="4" t="str">
        <f ca="1">IFERROR(__xludf.DUMMYFUNCTION("""COMPUTED_VALUE"""),"")</f>
        <v/>
      </c>
      <c r="S368" s="6">
        <f ca="1">IFERROR(__xludf.DUMMYFUNCTION("""COMPUTED_VALUE"""),1865)</f>
        <v>1865</v>
      </c>
      <c r="T368" s="4"/>
      <c r="U368" s="4"/>
      <c r="V368" s="4"/>
      <c r="W368" s="4"/>
      <c r="X368" s="4"/>
      <c r="Y368" s="4"/>
      <c r="Z368" s="4"/>
      <c r="AA368" s="4"/>
      <c r="AB368" s="4"/>
    </row>
    <row r="369" spans="1:28" x14ac:dyDescent="0.2">
      <c r="A369" s="4" t="str">
        <f t="shared" si="2"/>
        <v/>
      </c>
      <c r="B369" s="4" t="str">
        <f t="shared" si="3"/>
        <v/>
      </c>
      <c r="C369" s="4"/>
      <c r="D369" s="4"/>
      <c r="E369" s="4"/>
      <c r="F369" s="4"/>
      <c r="G369" s="4"/>
      <c r="H369" s="4"/>
      <c r="I369" s="4"/>
      <c r="J369" s="4"/>
      <c r="K369" s="4"/>
      <c r="L369" s="4"/>
      <c r="M369" s="4"/>
      <c r="N369" s="6">
        <f ca="1">IFERROR(__xludf.DUMMYFUNCTION("""COMPUTED_VALUE"""),38)</f>
        <v>38</v>
      </c>
      <c r="O369" s="6">
        <f ca="1">IFERROR(__xludf.DUMMYFUNCTION("""COMPUTED_VALUE"""),39)</f>
        <v>39</v>
      </c>
      <c r="P369" s="4" t="str">
        <f ca="1">IFERROR(__xludf.DUMMYFUNCTION("""COMPUTED_VALUE"""),"")</f>
        <v/>
      </c>
      <c r="Q369" s="6">
        <f ca="1">IFERROR(__xludf.DUMMYFUNCTION("""COMPUTED_VALUE"""),769)</f>
        <v>769</v>
      </c>
      <c r="R369" s="4" t="str">
        <f ca="1">IFERROR(__xludf.DUMMYFUNCTION("""COMPUTED_VALUE"""),"")</f>
        <v/>
      </c>
      <c r="S369" s="6">
        <f ca="1">IFERROR(__xludf.DUMMYFUNCTION("""COMPUTED_VALUE"""),1865)</f>
        <v>1865</v>
      </c>
      <c r="T369" s="4"/>
      <c r="U369" s="4"/>
      <c r="V369" s="4"/>
      <c r="W369" s="4"/>
      <c r="X369" s="4"/>
      <c r="Y369" s="4"/>
      <c r="Z369" s="4"/>
      <c r="AA369" s="4"/>
      <c r="AB369" s="4"/>
    </row>
    <row r="370" spans="1:28" x14ac:dyDescent="0.2">
      <c r="A370" s="4" t="str">
        <f t="shared" si="2"/>
        <v/>
      </c>
      <c r="B370" s="4" t="str">
        <f t="shared" si="3"/>
        <v/>
      </c>
      <c r="C370" s="4"/>
      <c r="D370" s="4"/>
      <c r="E370" s="4"/>
      <c r="F370" s="4"/>
      <c r="G370" s="4"/>
      <c r="H370" s="4"/>
      <c r="I370" s="4"/>
      <c r="J370" s="4"/>
      <c r="K370" s="4"/>
      <c r="L370" s="4"/>
      <c r="M370" s="4"/>
      <c r="N370" s="6">
        <f ca="1">IFERROR(__xludf.DUMMYFUNCTION("""COMPUTED_VALUE"""),38)</f>
        <v>38</v>
      </c>
      <c r="O370" s="6">
        <f ca="1">IFERROR(__xludf.DUMMYFUNCTION("""COMPUTED_VALUE"""),39)</f>
        <v>39</v>
      </c>
      <c r="P370" s="4" t="str">
        <f ca="1">IFERROR(__xludf.DUMMYFUNCTION("""COMPUTED_VALUE"""),"")</f>
        <v/>
      </c>
      <c r="Q370" s="6">
        <f ca="1">IFERROR(__xludf.DUMMYFUNCTION("""COMPUTED_VALUE"""),769)</f>
        <v>769</v>
      </c>
      <c r="R370" s="4" t="str">
        <f ca="1">IFERROR(__xludf.DUMMYFUNCTION("""COMPUTED_VALUE"""),"")</f>
        <v/>
      </c>
      <c r="S370" s="6">
        <f ca="1">IFERROR(__xludf.DUMMYFUNCTION("""COMPUTED_VALUE"""),1865)</f>
        <v>1865</v>
      </c>
      <c r="T370" s="4"/>
      <c r="U370" s="4"/>
      <c r="V370" s="4"/>
      <c r="W370" s="4"/>
      <c r="X370" s="4"/>
      <c r="Y370" s="4"/>
      <c r="Z370" s="4"/>
      <c r="AA370" s="4"/>
      <c r="AB370" s="4"/>
    </row>
    <row r="371" spans="1:28" x14ac:dyDescent="0.2">
      <c r="A371" s="4" t="str">
        <f t="shared" si="2"/>
        <v/>
      </c>
      <c r="B371" s="4" t="str">
        <f t="shared" si="3"/>
        <v/>
      </c>
      <c r="C371" s="4"/>
      <c r="D371" s="4"/>
      <c r="E371" s="4"/>
      <c r="F371" s="4"/>
      <c r="G371" s="4"/>
      <c r="H371" s="4"/>
      <c r="I371" s="4"/>
      <c r="J371" s="4"/>
      <c r="K371" s="4"/>
      <c r="L371" s="4"/>
      <c r="M371" s="4"/>
      <c r="N371" s="6">
        <f ca="1">IFERROR(__xludf.DUMMYFUNCTION("""COMPUTED_VALUE"""),38)</f>
        <v>38</v>
      </c>
      <c r="O371" s="6">
        <f ca="1">IFERROR(__xludf.DUMMYFUNCTION("""COMPUTED_VALUE"""),39)</f>
        <v>39</v>
      </c>
      <c r="P371" s="4" t="str">
        <f ca="1">IFERROR(__xludf.DUMMYFUNCTION("""COMPUTED_VALUE"""),"")</f>
        <v/>
      </c>
      <c r="Q371" s="6">
        <f ca="1">IFERROR(__xludf.DUMMYFUNCTION("""COMPUTED_VALUE"""),769)</f>
        <v>769</v>
      </c>
      <c r="R371" s="4" t="str">
        <f ca="1">IFERROR(__xludf.DUMMYFUNCTION("""COMPUTED_VALUE"""),"")</f>
        <v/>
      </c>
      <c r="S371" s="6">
        <f ca="1">IFERROR(__xludf.DUMMYFUNCTION("""COMPUTED_VALUE"""),1865)</f>
        <v>1865</v>
      </c>
      <c r="T371" s="4"/>
      <c r="U371" s="4"/>
      <c r="V371" s="4"/>
      <c r="W371" s="4"/>
      <c r="X371" s="4"/>
      <c r="Y371" s="4"/>
      <c r="Z371" s="4"/>
      <c r="AA371" s="4"/>
      <c r="AB371" s="4"/>
    </row>
    <row r="372" spans="1:28" x14ac:dyDescent="0.2">
      <c r="A372" s="4" t="str">
        <f t="shared" si="2"/>
        <v/>
      </c>
      <c r="B372" s="4" t="str">
        <f t="shared" si="3"/>
        <v/>
      </c>
      <c r="C372" s="4"/>
      <c r="D372" s="4"/>
      <c r="E372" s="4"/>
      <c r="F372" s="4"/>
      <c r="G372" s="4"/>
      <c r="H372" s="4"/>
      <c r="I372" s="4"/>
      <c r="J372" s="4"/>
      <c r="K372" s="4"/>
      <c r="L372" s="4"/>
      <c r="M372" s="4"/>
      <c r="N372" s="6">
        <f ca="1">IFERROR(__xludf.DUMMYFUNCTION("""COMPUTED_VALUE"""),38)</f>
        <v>38</v>
      </c>
      <c r="O372" s="6">
        <f ca="1">IFERROR(__xludf.DUMMYFUNCTION("""COMPUTED_VALUE"""),39)</f>
        <v>39</v>
      </c>
      <c r="P372" s="4" t="str">
        <f ca="1">IFERROR(__xludf.DUMMYFUNCTION("""COMPUTED_VALUE"""),"")</f>
        <v/>
      </c>
      <c r="Q372" s="6">
        <f ca="1">IFERROR(__xludf.DUMMYFUNCTION("""COMPUTED_VALUE"""),769)</f>
        <v>769</v>
      </c>
      <c r="R372" s="4" t="str">
        <f ca="1">IFERROR(__xludf.DUMMYFUNCTION("""COMPUTED_VALUE"""),"")</f>
        <v/>
      </c>
      <c r="S372" s="6">
        <f ca="1">IFERROR(__xludf.DUMMYFUNCTION("""COMPUTED_VALUE"""),1865)</f>
        <v>1865</v>
      </c>
      <c r="T372" s="4"/>
      <c r="U372" s="4"/>
      <c r="V372" s="4"/>
      <c r="W372" s="4"/>
      <c r="X372" s="4"/>
      <c r="Y372" s="4"/>
      <c r="Z372" s="4"/>
      <c r="AA372" s="4"/>
      <c r="AB372" s="4"/>
    </row>
    <row r="373" spans="1:28" x14ac:dyDescent="0.2">
      <c r="A373" s="4" t="str">
        <f t="shared" si="2"/>
        <v/>
      </c>
      <c r="B373" s="4" t="str">
        <f t="shared" si="3"/>
        <v/>
      </c>
      <c r="C373" s="4"/>
      <c r="D373" s="4"/>
      <c r="E373" s="4"/>
      <c r="F373" s="4"/>
      <c r="G373" s="4"/>
      <c r="H373" s="4"/>
      <c r="I373" s="4"/>
      <c r="J373" s="4"/>
      <c r="K373" s="4"/>
      <c r="L373" s="4"/>
      <c r="M373" s="4"/>
      <c r="N373" s="6">
        <f ca="1">IFERROR(__xludf.DUMMYFUNCTION("""COMPUTED_VALUE"""),38)</f>
        <v>38</v>
      </c>
      <c r="O373" s="6">
        <f ca="1">IFERROR(__xludf.DUMMYFUNCTION("""COMPUTED_VALUE"""),39)</f>
        <v>39</v>
      </c>
      <c r="P373" s="4" t="str">
        <f ca="1">IFERROR(__xludf.DUMMYFUNCTION("""COMPUTED_VALUE"""),"")</f>
        <v/>
      </c>
      <c r="Q373" s="6">
        <f ca="1">IFERROR(__xludf.DUMMYFUNCTION("""COMPUTED_VALUE"""),769)</f>
        <v>769</v>
      </c>
      <c r="R373" s="4" t="str">
        <f ca="1">IFERROR(__xludf.DUMMYFUNCTION("""COMPUTED_VALUE"""),"")</f>
        <v/>
      </c>
      <c r="S373" s="6">
        <f ca="1">IFERROR(__xludf.DUMMYFUNCTION("""COMPUTED_VALUE"""),1865)</f>
        <v>1865</v>
      </c>
      <c r="T373" s="4"/>
      <c r="U373" s="4"/>
      <c r="V373" s="4"/>
      <c r="W373" s="4"/>
      <c r="X373" s="4"/>
      <c r="Y373" s="4"/>
      <c r="Z373" s="4"/>
      <c r="AA373" s="4"/>
      <c r="AB373" s="4"/>
    </row>
    <row r="374" spans="1:28" x14ac:dyDescent="0.2">
      <c r="A374" s="4" t="str">
        <f t="shared" si="2"/>
        <v/>
      </c>
      <c r="B374" s="4" t="str">
        <f t="shared" si="3"/>
        <v/>
      </c>
      <c r="C374" s="4"/>
      <c r="D374" s="4"/>
      <c r="E374" s="4"/>
      <c r="F374" s="4"/>
      <c r="G374" s="4"/>
      <c r="H374" s="4"/>
      <c r="I374" s="4"/>
      <c r="J374" s="4"/>
      <c r="K374" s="4"/>
      <c r="L374" s="4"/>
      <c r="M374" s="4"/>
      <c r="N374" s="6">
        <f ca="1">IFERROR(__xludf.DUMMYFUNCTION("""COMPUTED_VALUE"""),38)</f>
        <v>38</v>
      </c>
      <c r="O374" s="6">
        <f ca="1">IFERROR(__xludf.DUMMYFUNCTION("""COMPUTED_VALUE"""),39)</f>
        <v>39</v>
      </c>
      <c r="P374" s="4" t="str">
        <f ca="1">IFERROR(__xludf.DUMMYFUNCTION("""COMPUTED_VALUE"""),"")</f>
        <v/>
      </c>
      <c r="Q374" s="6">
        <f ca="1">IFERROR(__xludf.DUMMYFUNCTION("""COMPUTED_VALUE"""),769)</f>
        <v>769</v>
      </c>
      <c r="R374" s="4" t="str">
        <f ca="1">IFERROR(__xludf.DUMMYFUNCTION("""COMPUTED_VALUE"""),"")</f>
        <v/>
      </c>
      <c r="S374" s="6">
        <f ca="1">IFERROR(__xludf.DUMMYFUNCTION("""COMPUTED_VALUE"""),1865)</f>
        <v>1865</v>
      </c>
      <c r="T374" s="4"/>
      <c r="U374" s="4"/>
      <c r="V374" s="4"/>
      <c r="W374" s="4"/>
      <c r="X374" s="4"/>
      <c r="Y374" s="4"/>
      <c r="Z374" s="4"/>
      <c r="AA374" s="4"/>
      <c r="AB374" s="4"/>
    </row>
    <row r="375" spans="1:28" x14ac:dyDescent="0.2">
      <c r="A375" s="4" t="str">
        <f t="shared" si="2"/>
        <v/>
      </c>
      <c r="B375" s="4" t="str">
        <f t="shared" si="3"/>
        <v/>
      </c>
      <c r="C375" s="4"/>
      <c r="D375" s="4"/>
      <c r="E375" s="4"/>
      <c r="F375" s="4"/>
      <c r="G375" s="4"/>
      <c r="H375" s="4"/>
      <c r="I375" s="4"/>
      <c r="J375" s="4"/>
      <c r="K375" s="4"/>
      <c r="L375" s="4"/>
      <c r="M375" s="4"/>
      <c r="N375" s="6">
        <f ca="1">IFERROR(__xludf.DUMMYFUNCTION("""COMPUTED_VALUE"""),38)</f>
        <v>38</v>
      </c>
      <c r="O375" s="6">
        <f ca="1">IFERROR(__xludf.DUMMYFUNCTION("""COMPUTED_VALUE"""),39)</f>
        <v>39</v>
      </c>
      <c r="P375" s="4" t="str">
        <f ca="1">IFERROR(__xludf.DUMMYFUNCTION("""COMPUTED_VALUE"""),"")</f>
        <v/>
      </c>
      <c r="Q375" s="6">
        <f ca="1">IFERROR(__xludf.DUMMYFUNCTION("""COMPUTED_VALUE"""),769)</f>
        <v>769</v>
      </c>
      <c r="R375" s="4" t="str">
        <f ca="1">IFERROR(__xludf.DUMMYFUNCTION("""COMPUTED_VALUE"""),"")</f>
        <v/>
      </c>
      <c r="S375" s="6">
        <f ca="1">IFERROR(__xludf.DUMMYFUNCTION("""COMPUTED_VALUE"""),1865)</f>
        <v>1865</v>
      </c>
      <c r="T375" s="4"/>
      <c r="U375" s="4"/>
      <c r="V375" s="4"/>
      <c r="W375" s="4"/>
      <c r="X375" s="4"/>
      <c r="Y375" s="4"/>
      <c r="Z375" s="4"/>
      <c r="AA375" s="4"/>
      <c r="AB375" s="4"/>
    </row>
    <row r="376" spans="1:28" x14ac:dyDescent="0.2">
      <c r="A376" s="4" t="str">
        <f t="shared" si="2"/>
        <v/>
      </c>
      <c r="B376" s="4" t="str">
        <f t="shared" si="3"/>
        <v/>
      </c>
      <c r="C376" s="4"/>
      <c r="D376" s="4"/>
      <c r="E376" s="4"/>
      <c r="F376" s="4"/>
      <c r="G376" s="4"/>
      <c r="H376" s="4"/>
      <c r="I376" s="4"/>
      <c r="J376" s="4"/>
      <c r="K376" s="4"/>
      <c r="L376" s="4"/>
      <c r="M376" s="4"/>
      <c r="N376" s="6">
        <f ca="1">IFERROR(__xludf.DUMMYFUNCTION("""COMPUTED_VALUE"""),38)</f>
        <v>38</v>
      </c>
      <c r="O376" s="6">
        <f ca="1">IFERROR(__xludf.DUMMYFUNCTION("""COMPUTED_VALUE"""),39)</f>
        <v>39</v>
      </c>
      <c r="P376" s="4" t="str">
        <f ca="1">IFERROR(__xludf.DUMMYFUNCTION("""COMPUTED_VALUE"""),"")</f>
        <v/>
      </c>
      <c r="Q376" s="6">
        <f ca="1">IFERROR(__xludf.DUMMYFUNCTION("""COMPUTED_VALUE"""),769)</f>
        <v>769</v>
      </c>
      <c r="R376" s="4" t="str">
        <f ca="1">IFERROR(__xludf.DUMMYFUNCTION("""COMPUTED_VALUE"""),"")</f>
        <v/>
      </c>
      <c r="S376" s="6">
        <f ca="1">IFERROR(__xludf.DUMMYFUNCTION("""COMPUTED_VALUE"""),1865)</f>
        <v>1865</v>
      </c>
      <c r="T376" s="4"/>
      <c r="U376" s="4"/>
      <c r="V376" s="4"/>
      <c r="W376" s="4"/>
      <c r="X376" s="4"/>
      <c r="Y376" s="4"/>
      <c r="Z376" s="4"/>
      <c r="AA376" s="4"/>
      <c r="AB376" s="4"/>
    </row>
    <row r="377" spans="1:28" x14ac:dyDescent="0.2">
      <c r="A377" s="4" t="str">
        <f t="shared" si="2"/>
        <v/>
      </c>
      <c r="B377" s="4" t="str">
        <f t="shared" si="3"/>
        <v/>
      </c>
      <c r="C377" s="4"/>
      <c r="D377" s="4"/>
      <c r="E377" s="4"/>
      <c r="F377" s="4"/>
      <c r="G377" s="4"/>
      <c r="H377" s="4"/>
      <c r="I377" s="4"/>
      <c r="J377" s="4"/>
      <c r="K377" s="4"/>
      <c r="L377" s="4"/>
      <c r="M377" s="4"/>
      <c r="N377" s="6">
        <f ca="1">IFERROR(__xludf.DUMMYFUNCTION("""COMPUTED_VALUE"""),38)</f>
        <v>38</v>
      </c>
      <c r="O377" s="6">
        <f ca="1">IFERROR(__xludf.DUMMYFUNCTION("""COMPUTED_VALUE"""),39)</f>
        <v>39</v>
      </c>
      <c r="P377" s="4" t="str">
        <f ca="1">IFERROR(__xludf.DUMMYFUNCTION("""COMPUTED_VALUE"""),"")</f>
        <v/>
      </c>
      <c r="Q377" s="6">
        <f ca="1">IFERROR(__xludf.DUMMYFUNCTION("""COMPUTED_VALUE"""),769)</f>
        <v>769</v>
      </c>
      <c r="R377" s="4" t="str">
        <f ca="1">IFERROR(__xludf.DUMMYFUNCTION("""COMPUTED_VALUE"""),"")</f>
        <v/>
      </c>
      <c r="S377" s="6">
        <f ca="1">IFERROR(__xludf.DUMMYFUNCTION("""COMPUTED_VALUE"""),1865)</f>
        <v>1865</v>
      </c>
      <c r="T377" s="4"/>
      <c r="U377" s="4"/>
      <c r="V377" s="4"/>
      <c r="W377" s="4"/>
      <c r="X377" s="4"/>
      <c r="Y377" s="4"/>
      <c r="Z377" s="4"/>
      <c r="AA377" s="4"/>
      <c r="AB377" s="4"/>
    </row>
    <row r="378" spans="1:28" x14ac:dyDescent="0.2">
      <c r="A378" s="4" t="str">
        <f t="shared" si="2"/>
        <v/>
      </c>
      <c r="B378" s="4" t="str">
        <f t="shared" si="3"/>
        <v/>
      </c>
      <c r="C378" s="4"/>
      <c r="D378" s="4"/>
      <c r="E378" s="4"/>
      <c r="F378" s="4"/>
      <c r="G378" s="4"/>
      <c r="H378" s="4"/>
      <c r="I378" s="4"/>
      <c r="J378" s="4"/>
      <c r="K378" s="4"/>
      <c r="L378" s="4"/>
      <c r="M378" s="4"/>
      <c r="N378" s="6">
        <f ca="1">IFERROR(__xludf.DUMMYFUNCTION("""COMPUTED_VALUE"""),38)</f>
        <v>38</v>
      </c>
      <c r="O378" s="6">
        <f ca="1">IFERROR(__xludf.DUMMYFUNCTION("""COMPUTED_VALUE"""),39)</f>
        <v>39</v>
      </c>
      <c r="P378" s="4" t="str">
        <f ca="1">IFERROR(__xludf.DUMMYFUNCTION("""COMPUTED_VALUE"""),"")</f>
        <v/>
      </c>
      <c r="Q378" s="6">
        <f ca="1">IFERROR(__xludf.DUMMYFUNCTION("""COMPUTED_VALUE"""),769)</f>
        <v>769</v>
      </c>
      <c r="R378" s="4" t="str">
        <f ca="1">IFERROR(__xludf.DUMMYFUNCTION("""COMPUTED_VALUE"""),"")</f>
        <v/>
      </c>
      <c r="S378" s="6">
        <f ca="1">IFERROR(__xludf.DUMMYFUNCTION("""COMPUTED_VALUE"""),1865)</f>
        <v>1865</v>
      </c>
      <c r="T378" s="4"/>
      <c r="U378" s="4"/>
      <c r="V378" s="4"/>
      <c r="W378" s="4"/>
      <c r="X378" s="4"/>
      <c r="Y378" s="4"/>
      <c r="Z378" s="4"/>
      <c r="AA378" s="4"/>
      <c r="AB378" s="4"/>
    </row>
    <row r="379" spans="1:28" x14ac:dyDescent="0.2">
      <c r="A379" s="4" t="str">
        <f t="shared" si="2"/>
        <v/>
      </c>
      <c r="B379" s="4" t="str">
        <f t="shared" si="3"/>
        <v/>
      </c>
      <c r="C379" s="4"/>
      <c r="D379" s="4"/>
      <c r="E379" s="4"/>
      <c r="F379" s="4"/>
      <c r="G379" s="4"/>
      <c r="H379" s="4"/>
      <c r="I379" s="4"/>
      <c r="J379" s="4"/>
      <c r="K379" s="4"/>
      <c r="L379" s="4"/>
      <c r="M379" s="4"/>
      <c r="N379" s="6">
        <f ca="1">IFERROR(__xludf.DUMMYFUNCTION("""COMPUTED_VALUE"""),38)</f>
        <v>38</v>
      </c>
      <c r="O379" s="6">
        <f ca="1">IFERROR(__xludf.DUMMYFUNCTION("""COMPUTED_VALUE"""),39)</f>
        <v>39</v>
      </c>
      <c r="P379" s="4" t="str">
        <f ca="1">IFERROR(__xludf.DUMMYFUNCTION("""COMPUTED_VALUE"""),"")</f>
        <v/>
      </c>
      <c r="Q379" s="6">
        <f ca="1">IFERROR(__xludf.DUMMYFUNCTION("""COMPUTED_VALUE"""),769)</f>
        <v>769</v>
      </c>
      <c r="R379" s="4" t="str">
        <f ca="1">IFERROR(__xludf.DUMMYFUNCTION("""COMPUTED_VALUE"""),"")</f>
        <v/>
      </c>
      <c r="S379" s="6">
        <f ca="1">IFERROR(__xludf.DUMMYFUNCTION("""COMPUTED_VALUE"""),1865)</f>
        <v>1865</v>
      </c>
      <c r="T379" s="4"/>
      <c r="U379" s="4"/>
      <c r="V379" s="4"/>
      <c r="W379" s="4"/>
      <c r="X379" s="4"/>
      <c r="Y379" s="4"/>
      <c r="Z379" s="4"/>
      <c r="AA379" s="4"/>
      <c r="AB379" s="4"/>
    </row>
    <row r="380" spans="1:28" x14ac:dyDescent="0.2">
      <c r="A380" s="4" t="str">
        <f t="shared" si="2"/>
        <v/>
      </c>
      <c r="B380" s="4" t="str">
        <f t="shared" si="3"/>
        <v/>
      </c>
      <c r="C380" s="4"/>
      <c r="D380" s="4"/>
      <c r="E380" s="4"/>
      <c r="F380" s="4"/>
      <c r="G380" s="4"/>
      <c r="H380" s="4"/>
      <c r="I380" s="4"/>
      <c r="J380" s="4"/>
      <c r="K380" s="4"/>
      <c r="L380" s="4"/>
      <c r="M380" s="4"/>
      <c r="N380" s="6">
        <f ca="1">IFERROR(__xludf.DUMMYFUNCTION("""COMPUTED_VALUE"""),38)</f>
        <v>38</v>
      </c>
      <c r="O380" s="6">
        <f ca="1">IFERROR(__xludf.DUMMYFUNCTION("""COMPUTED_VALUE"""),39)</f>
        <v>39</v>
      </c>
      <c r="P380" s="4" t="str">
        <f ca="1">IFERROR(__xludf.DUMMYFUNCTION("""COMPUTED_VALUE"""),"")</f>
        <v/>
      </c>
      <c r="Q380" s="6">
        <f ca="1">IFERROR(__xludf.DUMMYFUNCTION("""COMPUTED_VALUE"""),769)</f>
        <v>769</v>
      </c>
      <c r="R380" s="4" t="str">
        <f ca="1">IFERROR(__xludf.DUMMYFUNCTION("""COMPUTED_VALUE"""),"")</f>
        <v/>
      </c>
      <c r="S380" s="6">
        <f ca="1">IFERROR(__xludf.DUMMYFUNCTION("""COMPUTED_VALUE"""),1865)</f>
        <v>1865</v>
      </c>
      <c r="T380" s="4"/>
      <c r="U380" s="4"/>
      <c r="V380" s="4"/>
      <c r="W380" s="4"/>
      <c r="X380" s="4"/>
      <c r="Y380" s="4"/>
      <c r="Z380" s="4"/>
      <c r="AA380" s="4"/>
      <c r="AB380" s="4"/>
    </row>
    <row r="381" spans="1:28" x14ac:dyDescent="0.2">
      <c r="A381" s="4" t="str">
        <f t="shared" si="2"/>
        <v/>
      </c>
      <c r="B381" s="4" t="str">
        <f t="shared" si="3"/>
        <v/>
      </c>
      <c r="C381" s="4"/>
      <c r="D381" s="4"/>
      <c r="E381" s="4"/>
      <c r="F381" s="4"/>
      <c r="G381" s="4"/>
      <c r="H381" s="4"/>
      <c r="I381" s="4"/>
      <c r="J381" s="4"/>
      <c r="K381" s="4"/>
      <c r="L381" s="4"/>
      <c r="M381" s="4"/>
      <c r="N381" s="6">
        <f ca="1">IFERROR(__xludf.DUMMYFUNCTION("""COMPUTED_VALUE"""),38)</f>
        <v>38</v>
      </c>
      <c r="O381" s="6">
        <f ca="1">IFERROR(__xludf.DUMMYFUNCTION("""COMPUTED_VALUE"""),39)</f>
        <v>39</v>
      </c>
      <c r="P381" s="4" t="str">
        <f ca="1">IFERROR(__xludf.DUMMYFUNCTION("""COMPUTED_VALUE"""),"")</f>
        <v/>
      </c>
      <c r="Q381" s="6">
        <f ca="1">IFERROR(__xludf.DUMMYFUNCTION("""COMPUTED_VALUE"""),769)</f>
        <v>769</v>
      </c>
      <c r="R381" s="4" t="str">
        <f ca="1">IFERROR(__xludf.DUMMYFUNCTION("""COMPUTED_VALUE"""),"")</f>
        <v/>
      </c>
      <c r="S381" s="6">
        <f ca="1">IFERROR(__xludf.DUMMYFUNCTION("""COMPUTED_VALUE"""),1865)</f>
        <v>1865</v>
      </c>
      <c r="T381" s="4"/>
      <c r="U381" s="4"/>
      <c r="V381" s="4"/>
      <c r="W381" s="4"/>
      <c r="X381" s="4"/>
      <c r="Y381" s="4"/>
      <c r="Z381" s="4"/>
      <c r="AA381" s="4"/>
      <c r="AB381" s="4"/>
    </row>
    <row r="382" spans="1:28" x14ac:dyDescent="0.2">
      <c r="A382" s="4" t="str">
        <f t="shared" si="2"/>
        <v/>
      </c>
      <c r="B382" s="4" t="str">
        <f t="shared" si="3"/>
        <v/>
      </c>
      <c r="C382" s="4"/>
      <c r="D382" s="4"/>
      <c r="E382" s="4"/>
      <c r="F382" s="4"/>
      <c r="G382" s="4"/>
      <c r="H382" s="4"/>
      <c r="I382" s="4"/>
      <c r="J382" s="4"/>
      <c r="K382" s="4"/>
      <c r="L382" s="4"/>
      <c r="M382" s="4"/>
      <c r="N382" s="6">
        <f ca="1">IFERROR(__xludf.DUMMYFUNCTION("""COMPUTED_VALUE"""),38)</f>
        <v>38</v>
      </c>
      <c r="O382" s="6">
        <f ca="1">IFERROR(__xludf.DUMMYFUNCTION("""COMPUTED_VALUE"""),39)</f>
        <v>39</v>
      </c>
      <c r="P382" s="4" t="str">
        <f ca="1">IFERROR(__xludf.DUMMYFUNCTION("""COMPUTED_VALUE"""),"")</f>
        <v/>
      </c>
      <c r="Q382" s="6">
        <f ca="1">IFERROR(__xludf.DUMMYFUNCTION("""COMPUTED_VALUE"""),769)</f>
        <v>769</v>
      </c>
      <c r="R382" s="4" t="str">
        <f ca="1">IFERROR(__xludf.DUMMYFUNCTION("""COMPUTED_VALUE"""),"")</f>
        <v/>
      </c>
      <c r="S382" s="6">
        <f ca="1">IFERROR(__xludf.DUMMYFUNCTION("""COMPUTED_VALUE"""),1865)</f>
        <v>1865</v>
      </c>
      <c r="T382" s="4"/>
      <c r="U382" s="4"/>
      <c r="V382" s="4"/>
      <c r="W382" s="4"/>
      <c r="X382" s="4"/>
      <c r="Y382" s="4"/>
      <c r="Z382" s="4"/>
      <c r="AA382" s="4"/>
      <c r="AB382" s="4"/>
    </row>
    <row r="383" spans="1:28" x14ac:dyDescent="0.2">
      <c r="A383" s="4" t="str">
        <f t="shared" si="2"/>
        <v/>
      </c>
      <c r="B383" s="4" t="str">
        <f t="shared" si="3"/>
        <v/>
      </c>
      <c r="C383" s="4"/>
      <c r="D383" s="4"/>
      <c r="E383" s="4"/>
      <c r="F383" s="4"/>
      <c r="G383" s="4"/>
      <c r="H383" s="4"/>
      <c r="I383" s="4"/>
      <c r="J383" s="4"/>
      <c r="K383" s="4"/>
      <c r="L383" s="4"/>
      <c r="M383" s="4"/>
      <c r="N383" s="6">
        <f ca="1">IFERROR(__xludf.DUMMYFUNCTION("""COMPUTED_VALUE"""),38)</f>
        <v>38</v>
      </c>
      <c r="O383" s="6">
        <f ca="1">IFERROR(__xludf.DUMMYFUNCTION("""COMPUTED_VALUE"""),39)</f>
        <v>39</v>
      </c>
      <c r="P383" s="4" t="str">
        <f ca="1">IFERROR(__xludf.DUMMYFUNCTION("""COMPUTED_VALUE"""),"")</f>
        <v/>
      </c>
      <c r="Q383" s="6">
        <f ca="1">IFERROR(__xludf.DUMMYFUNCTION("""COMPUTED_VALUE"""),769)</f>
        <v>769</v>
      </c>
      <c r="R383" s="4" t="str">
        <f ca="1">IFERROR(__xludf.DUMMYFUNCTION("""COMPUTED_VALUE"""),"")</f>
        <v/>
      </c>
      <c r="S383" s="6">
        <f ca="1">IFERROR(__xludf.DUMMYFUNCTION("""COMPUTED_VALUE"""),1865)</f>
        <v>1865</v>
      </c>
      <c r="T383" s="4"/>
      <c r="U383" s="4"/>
      <c r="V383" s="4"/>
      <c r="W383" s="4"/>
      <c r="X383" s="4"/>
      <c r="Y383" s="4"/>
      <c r="Z383" s="4"/>
      <c r="AA383" s="4"/>
      <c r="AB383" s="4"/>
    </row>
    <row r="384" spans="1:28" x14ac:dyDescent="0.2">
      <c r="A384" s="4" t="str">
        <f t="shared" si="2"/>
        <v/>
      </c>
      <c r="B384" s="4" t="str">
        <f t="shared" si="3"/>
        <v/>
      </c>
      <c r="C384" s="4"/>
      <c r="D384" s="4"/>
      <c r="E384" s="4"/>
      <c r="F384" s="4"/>
      <c r="G384" s="4"/>
      <c r="H384" s="4"/>
      <c r="I384" s="4"/>
      <c r="J384" s="4"/>
      <c r="K384" s="4"/>
      <c r="L384" s="4"/>
      <c r="M384" s="4"/>
      <c r="N384" s="6">
        <f ca="1">IFERROR(__xludf.DUMMYFUNCTION("""COMPUTED_VALUE"""),38)</f>
        <v>38</v>
      </c>
      <c r="O384" s="6">
        <f ca="1">IFERROR(__xludf.DUMMYFUNCTION("""COMPUTED_VALUE"""),39)</f>
        <v>39</v>
      </c>
      <c r="P384" s="4" t="str">
        <f ca="1">IFERROR(__xludf.DUMMYFUNCTION("""COMPUTED_VALUE"""),"")</f>
        <v/>
      </c>
      <c r="Q384" s="6">
        <f ca="1">IFERROR(__xludf.DUMMYFUNCTION("""COMPUTED_VALUE"""),769)</f>
        <v>769</v>
      </c>
      <c r="R384" s="4" t="str">
        <f ca="1">IFERROR(__xludf.DUMMYFUNCTION("""COMPUTED_VALUE"""),"")</f>
        <v/>
      </c>
      <c r="S384" s="6">
        <f ca="1">IFERROR(__xludf.DUMMYFUNCTION("""COMPUTED_VALUE"""),1865)</f>
        <v>1865</v>
      </c>
      <c r="T384" s="4"/>
      <c r="U384" s="4"/>
      <c r="V384" s="4"/>
      <c r="W384" s="4"/>
      <c r="X384" s="4"/>
      <c r="Y384" s="4"/>
      <c r="Z384" s="4"/>
      <c r="AA384" s="4"/>
      <c r="AB384" s="4"/>
    </row>
    <row r="385" spans="1:28" x14ac:dyDescent="0.2">
      <c r="A385" s="4" t="str">
        <f t="shared" si="2"/>
        <v/>
      </c>
      <c r="B385" s="4" t="str">
        <f t="shared" si="3"/>
        <v/>
      </c>
      <c r="C385" s="4"/>
      <c r="D385" s="4"/>
      <c r="E385" s="4"/>
      <c r="F385" s="4"/>
      <c r="G385" s="4"/>
      <c r="H385" s="4"/>
      <c r="I385" s="4"/>
      <c r="J385" s="4"/>
      <c r="K385" s="4"/>
      <c r="L385" s="4"/>
      <c r="M385" s="4"/>
      <c r="N385" s="6">
        <f ca="1">IFERROR(__xludf.DUMMYFUNCTION("""COMPUTED_VALUE"""),38)</f>
        <v>38</v>
      </c>
      <c r="O385" s="6">
        <f ca="1">IFERROR(__xludf.DUMMYFUNCTION("""COMPUTED_VALUE"""),39)</f>
        <v>39</v>
      </c>
      <c r="P385" s="4" t="str">
        <f ca="1">IFERROR(__xludf.DUMMYFUNCTION("""COMPUTED_VALUE"""),"")</f>
        <v/>
      </c>
      <c r="Q385" s="6">
        <f ca="1">IFERROR(__xludf.DUMMYFUNCTION("""COMPUTED_VALUE"""),769)</f>
        <v>769</v>
      </c>
      <c r="R385" s="4" t="str">
        <f ca="1">IFERROR(__xludf.DUMMYFUNCTION("""COMPUTED_VALUE"""),"")</f>
        <v/>
      </c>
      <c r="S385" s="6">
        <f ca="1">IFERROR(__xludf.DUMMYFUNCTION("""COMPUTED_VALUE"""),1865)</f>
        <v>1865</v>
      </c>
      <c r="T385" s="4"/>
      <c r="U385" s="4"/>
      <c r="V385" s="4"/>
      <c r="W385" s="4"/>
      <c r="X385" s="4"/>
      <c r="Y385" s="4"/>
      <c r="Z385" s="4"/>
      <c r="AA385" s="4"/>
      <c r="AB385" s="4"/>
    </row>
    <row r="386" spans="1:28" x14ac:dyDescent="0.2">
      <c r="A386" s="4" t="str">
        <f t="shared" si="2"/>
        <v/>
      </c>
      <c r="B386" s="4" t="str">
        <f t="shared" si="3"/>
        <v/>
      </c>
      <c r="C386" s="4"/>
      <c r="D386" s="4"/>
      <c r="E386" s="4"/>
      <c r="F386" s="4"/>
      <c r="G386" s="4"/>
      <c r="H386" s="4"/>
      <c r="I386" s="4"/>
      <c r="J386" s="4"/>
      <c r="K386" s="4"/>
      <c r="L386" s="4"/>
      <c r="M386" s="4"/>
      <c r="N386" s="6">
        <f ca="1">IFERROR(__xludf.DUMMYFUNCTION("""COMPUTED_VALUE"""),38)</f>
        <v>38</v>
      </c>
      <c r="O386" s="6">
        <f ca="1">IFERROR(__xludf.DUMMYFUNCTION("""COMPUTED_VALUE"""),39)</f>
        <v>39</v>
      </c>
      <c r="P386" s="4" t="str">
        <f ca="1">IFERROR(__xludf.DUMMYFUNCTION("""COMPUTED_VALUE"""),"")</f>
        <v/>
      </c>
      <c r="Q386" s="6">
        <f ca="1">IFERROR(__xludf.DUMMYFUNCTION("""COMPUTED_VALUE"""),769)</f>
        <v>769</v>
      </c>
      <c r="R386" s="4" t="str">
        <f ca="1">IFERROR(__xludf.DUMMYFUNCTION("""COMPUTED_VALUE"""),"")</f>
        <v/>
      </c>
      <c r="S386" s="6">
        <f ca="1">IFERROR(__xludf.DUMMYFUNCTION("""COMPUTED_VALUE"""),1865)</f>
        <v>1865</v>
      </c>
      <c r="T386" s="4"/>
      <c r="U386" s="4"/>
      <c r="V386" s="4"/>
      <c r="W386" s="4"/>
      <c r="X386" s="4"/>
      <c r="Y386" s="4"/>
      <c r="Z386" s="4"/>
      <c r="AA386" s="4"/>
      <c r="AB386" s="4"/>
    </row>
    <row r="387" spans="1:28" x14ac:dyDescent="0.2">
      <c r="A387" s="4" t="str">
        <f t="shared" si="2"/>
        <v/>
      </c>
      <c r="B387" s="4" t="str">
        <f t="shared" si="3"/>
        <v/>
      </c>
      <c r="C387" s="4"/>
      <c r="D387" s="4"/>
      <c r="E387" s="4"/>
      <c r="F387" s="4"/>
      <c r="G387" s="4"/>
      <c r="H387" s="4"/>
      <c r="I387" s="4"/>
      <c r="J387" s="4"/>
      <c r="K387" s="4"/>
      <c r="L387" s="4"/>
      <c r="M387" s="4"/>
      <c r="N387" s="6">
        <f ca="1">IFERROR(__xludf.DUMMYFUNCTION("""COMPUTED_VALUE"""),38)</f>
        <v>38</v>
      </c>
      <c r="O387" s="6">
        <f ca="1">IFERROR(__xludf.DUMMYFUNCTION("""COMPUTED_VALUE"""),39)</f>
        <v>39</v>
      </c>
      <c r="P387" s="4" t="str">
        <f ca="1">IFERROR(__xludf.DUMMYFUNCTION("""COMPUTED_VALUE"""),"")</f>
        <v/>
      </c>
      <c r="Q387" s="6">
        <f ca="1">IFERROR(__xludf.DUMMYFUNCTION("""COMPUTED_VALUE"""),769)</f>
        <v>769</v>
      </c>
      <c r="R387" s="4" t="str">
        <f ca="1">IFERROR(__xludf.DUMMYFUNCTION("""COMPUTED_VALUE"""),"")</f>
        <v/>
      </c>
      <c r="S387" s="6">
        <f ca="1">IFERROR(__xludf.DUMMYFUNCTION("""COMPUTED_VALUE"""),1865)</f>
        <v>1865</v>
      </c>
      <c r="T387" s="4"/>
      <c r="U387" s="4"/>
      <c r="V387" s="4"/>
      <c r="W387" s="4"/>
      <c r="X387" s="4"/>
      <c r="Y387" s="4"/>
      <c r="Z387" s="4"/>
      <c r="AA387" s="4"/>
      <c r="AB387" s="4"/>
    </row>
    <row r="388" spans="1:28" x14ac:dyDescent="0.2">
      <c r="A388" s="4" t="str">
        <f t="shared" si="2"/>
        <v/>
      </c>
      <c r="B388" s="4" t="str">
        <f t="shared" si="3"/>
        <v/>
      </c>
      <c r="C388" s="4"/>
      <c r="D388" s="4"/>
      <c r="E388" s="4"/>
      <c r="F388" s="4"/>
      <c r="G388" s="4"/>
      <c r="H388" s="4"/>
      <c r="I388" s="4"/>
      <c r="J388" s="4"/>
      <c r="K388" s="4"/>
      <c r="L388" s="4"/>
      <c r="M388" s="4"/>
      <c r="N388" s="6">
        <f ca="1">IFERROR(__xludf.DUMMYFUNCTION("""COMPUTED_VALUE"""),38)</f>
        <v>38</v>
      </c>
      <c r="O388" s="6">
        <f ca="1">IFERROR(__xludf.DUMMYFUNCTION("""COMPUTED_VALUE"""),39)</f>
        <v>39</v>
      </c>
      <c r="P388" s="4" t="str">
        <f ca="1">IFERROR(__xludf.DUMMYFUNCTION("""COMPUTED_VALUE"""),"")</f>
        <v/>
      </c>
      <c r="Q388" s="6">
        <f ca="1">IFERROR(__xludf.DUMMYFUNCTION("""COMPUTED_VALUE"""),769)</f>
        <v>769</v>
      </c>
      <c r="R388" s="4" t="str">
        <f ca="1">IFERROR(__xludf.DUMMYFUNCTION("""COMPUTED_VALUE"""),"")</f>
        <v/>
      </c>
      <c r="S388" s="6">
        <f ca="1">IFERROR(__xludf.DUMMYFUNCTION("""COMPUTED_VALUE"""),1865)</f>
        <v>1865</v>
      </c>
      <c r="T388" s="4"/>
      <c r="U388" s="4"/>
      <c r="V388" s="4"/>
      <c r="W388" s="4"/>
      <c r="X388" s="4"/>
      <c r="Y388" s="4"/>
      <c r="Z388" s="4"/>
      <c r="AA388" s="4"/>
      <c r="AB388" s="4"/>
    </row>
    <row r="389" spans="1:28" x14ac:dyDescent="0.2">
      <c r="A389" s="4" t="str">
        <f t="shared" si="2"/>
        <v/>
      </c>
      <c r="B389" s="4" t="str">
        <f t="shared" si="3"/>
        <v/>
      </c>
      <c r="C389" s="4"/>
      <c r="D389" s="4"/>
      <c r="E389" s="4"/>
      <c r="F389" s="4"/>
      <c r="G389" s="4"/>
      <c r="H389" s="4"/>
      <c r="I389" s="4"/>
      <c r="J389" s="4"/>
      <c r="K389" s="4"/>
      <c r="L389" s="4"/>
      <c r="M389" s="4"/>
      <c r="N389" s="6">
        <f ca="1">IFERROR(__xludf.DUMMYFUNCTION("""COMPUTED_VALUE"""),38)</f>
        <v>38</v>
      </c>
      <c r="O389" s="6">
        <f ca="1">IFERROR(__xludf.DUMMYFUNCTION("""COMPUTED_VALUE"""),39)</f>
        <v>39</v>
      </c>
      <c r="P389" s="4" t="str">
        <f ca="1">IFERROR(__xludf.DUMMYFUNCTION("""COMPUTED_VALUE"""),"")</f>
        <v/>
      </c>
      <c r="Q389" s="6">
        <f ca="1">IFERROR(__xludf.DUMMYFUNCTION("""COMPUTED_VALUE"""),769)</f>
        <v>769</v>
      </c>
      <c r="R389" s="4" t="str">
        <f ca="1">IFERROR(__xludf.DUMMYFUNCTION("""COMPUTED_VALUE"""),"")</f>
        <v/>
      </c>
      <c r="S389" s="6">
        <f ca="1">IFERROR(__xludf.DUMMYFUNCTION("""COMPUTED_VALUE"""),1865)</f>
        <v>1865</v>
      </c>
      <c r="T389" s="4"/>
      <c r="U389" s="4"/>
      <c r="V389" s="4"/>
      <c r="W389" s="4"/>
      <c r="X389" s="4"/>
      <c r="Y389" s="4"/>
      <c r="Z389" s="4"/>
      <c r="AA389" s="4"/>
      <c r="AB389" s="4"/>
    </row>
    <row r="390" spans="1:28" x14ac:dyDescent="0.2">
      <c r="A390" s="4" t="str">
        <f t="shared" si="2"/>
        <v/>
      </c>
      <c r="B390" s="4" t="str">
        <f t="shared" si="3"/>
        <v/>
      </c>
      <c r="C390" s="4"/>
      <c r="D390" s="4"/>
      <c r="E390" s="4"/>
      <c r="F390" s="4"/>
      <c r="G390" s="4"/>
      <c r="H390" s="4"/>
      <c r="I390" s="4"/>
      <c r="J390" s="4"/>
      <c r="K390" s="4"/>
      <c r="L390" s="4"/>
      <c r="M390" s="4"/>
      <c r="N390" s="6">
        <f ca="1">IFERROR(__xludf.DUMMYFUNCTION("""COMPUTED_VALUE"""),38)</f>
        <v>38</v>
      </c>
      <c r="O390" s="6">
        <f ca="1">IFERROR(__xludf.DUMMYFUNCTION("""COMPUTED_VALUE"""),39)</f>
        <v>39</v>
      </c>
      <c r="P390" s="4" t="str">
        <f ca="1">IFERROR(__xludf.DUMMYFUNCTION("""COMPUTED_VALUE"""),"")</f>
        <v/>
      </c>
      <c r="Q390" s="6">
        <f ca="1">IFERROR(__xludf.DUMMYFUNCTION("""COMPUTED_VALUE"""),769)</f>
        <v>769</v>
      </c>
      <c r="R390" s="4" t="str">
        <f ca="1">IFERROR(__xludf.DUMMYFUNCTION("""COMPUTED_VALUE"""),"")</f>
        <v/>
      </c>
      <c r="S390" s="6">
        <f ca="1">IFERROR(__xludf.DUMMYFUNCTION("""COMPUTED_VALUE"""),1865)</f>
        <v>1865</v>
      </c>
      <c r="T390" s="4"/>
      <c r="U390" s="4"/>
      <c r="V390" s="4"/>
      <c r="W390" s="4"/>
      <c r="X390" s="4"/>
      <c r="Y390" s="4"/>
      <c r="Z390" s="4"/>
      <c r="AA390" s="4"/>
      <c r="AB390" s="4"/>
    </row>
    <row r="391" spans="1:28" x14ac:dyDescent="0.2">
      <c r="A391" s="4" t="str">
        <f t="shared" si="2"/>
        <v/>
      </c>
      <c r="B391" s="4" t="str">
        <f t="shared" si="3"/>
        <v/>
      </c>
      <c r="C391" s="4"/>
      <c r="D391" s="4"/>
      <c r="E391" s="4"/>
      <c r="F391" s="4"/>
      <c r="G391" s="4"/>
      <c r="H391" s="4"/>
      <c r="I391" s="4"/>
      <c r="J391" s="4"/>
      <c r="K391" s="4"/>
      <c r="L391" s="4"/>
      <c r="M391" s="4"/>
      <c r="N391" s="6">
        <f ca="1">IFERROR(__xludf.DUMMYFUNCTION("""COMPUTED_VALUE"""),38)</f>
        <v>38</v>
      </c>
      <c r="O391" s="6">
        <f ca="1">IFERROR(__xludf.DUMMYFUNCTION("""COMPUTED_VALUE"""),39)</f>
        <v>39</v>
      </c>
      <c r="P391" s="4" t="str">
        <f ca="1">IFERROR(__xludf.DUMMYFUNCTION("""COMPUTED_VALUE"""),"")</f>
        <v/>
      </c>
      <c r="Q391" s="6">
        <f ca="1">IFERROR(__xludf.DUMMYFUNCTION("""COMPUTED_VALUE"""),769)</f>
        <v>769</v>
      </c>
      <c r="R391" s="4" t="str">
        <f ca="1">IFERROR(__xludf.DUMMYFUNCTION("""COMPUTED_VALUE"""),"")</f>
        <v/>
      </c>
      <c r="S391" s="6">
        <f ca="1">IFERROR(__xludf.DUMMYFUNCTION("""COMPUTED_VALUE"""),1865)</f>
        <v>1865</v>
      </c>
      <c r="T391" s="4"/>
      <c r="U391" s="4"/>
      <c r="V391" s="4"/>
      <c r="W391" s="4"/>
      <c r="X391" s="4"/>
      <c r="Y391" s="4"/>
      <c r="Z391" s="4"/>
      <c r="AA391" s="4"/>
      <c r="AB391" s="4"/>
    </row>
    <row r="392" spans="1:28" x14ac:dyDescent="0.2">
      <c r="A392" s="4" t="str">
        <f t="shared" si="2"/>
        <v/>
      </c>
      <c r="B392" s="4" t="str">
        <f t="shared" si="3"/>
        <v/>
      </c>
      <c r="C392" s="4"/>
      <c r="D392" s="4"/>
      <c r="E392" s="4"/>
      <c r="F392" s="4"/>
      <c r="G392" s="4"/>
      <c r="H392" s="4"/>
      <c r="I392" s="4"/>
      <c r="J392" s="4"/>
      <c r="K392" s="4"/>
      <c r="L392" s="4"/>
      <c r="M392" s="4"/>
      <c r="N392" s="6">
        <f ca="1">IFERROR(__xludf.DUMMYFUNCTION("""COMPUTED_VALUE"""),38)</f>
        <v>38</v>
      </c>
      <c r="O392" s="6">
        <f ca="1">IFERROR(__xludf.DUMMYFUNCTION("""COMPUTED_VALUE"""),39)</f>
        <v>39</v>
      </c>
      <c r="P392" s="4" t="str">
        <f ca="1">IFERROR(__xludf.DUMMYFUNCTION("""COMPUTED_VALUE"""),"")</f>
        <v/>
      </c>
      <c r="Q392" s="6">
        <f ca="1">IFERROR(__xludf.DUMMYFUNCTION("""COMPUTED_VALUE"""),769)</f>
        <v>769</v>
      </c>
      <c r="R392" s="4" t="str">
        <f ca="1">IFERROR(__xludf.DUMMYFUNCTION("""COMPUTED_VALUE"""),"")</f>
        <v/>
      </c>
      <c r="S392" s="6">
        <f ca="1">IFERROR(__xludf.DUMMYFUNCTION("""COMPUTED_VALUE"""),1865)</f>
        <v>1865</v>
      </c>
      <c r="T392" s="4"/>
      <c r="U392" s="4"/>
      <c r="V392" s="4"/>
      <c r="W392" s="4"/>
      <c r="X392" s="4"/>
      <c r="Y392" s="4"/>
      <c r="Z392" s="4"/>
      <c r="AA392" s="4"/>
      <c r="AB392" s="4"/>
    </row>
    <row r="393" spans="1:28" x14ac:dyDescent="0.2">
      <c r="A393" s="4" t="str">
        <f t="shared" si="2"/>
        <v/>
      </c>
      <c r="B393" s="4" t="str">
        <f t="shared" si="3"/>
        <v/>
      </c>
      <c r="C393" s="4"/>
      <c r="D393" s="4"/>
      <c r="E393" s="4"/>
      <c r="F393" s="4"/>
      <c r="G393" s="4"/>
      <c r="H393" s="4"/>
      <c r="I393" s="4"/>
      <c r="J393" s="4"/>
      <c r="K393" s="4"/>
      <c r="L393" s="4"/>
      <c r="M393" s="4"/>
      <c r="N393" s="6">
        <f ca="1">IFERROR(__xludf.DUMMYFUNCTION("""COMPUTED_VALUE"""),38)</f>
        <v>38</v>
      </c>
      <c r="O393" s="6">
        <f ca="1">IFERROR(__xludf.DUMMYFUNCTION("""COMPUTED_VALUE"""),39)</f>
        <v>39</v>
      </c>
      <c r="P393" s="4" t="str">
        <f ca="1">IFERROR(__xludf.DUMMYFUNCTION("""COMPUTED_VALUE"""),"")</f>
        <v/>
      </c>
      <c r="Q393" s="6">
        <f ca="1">IFERROR(__xludf.DUMMYFUNCTION("""COMPUTED_VALUE"""),769)</f>
        <v>769</v>
      </c>
      <c r="R393" s="4" t="str">
        <f ca="1">IFERROR(__xludf.DUMMYFUNCTION("""COMPUTED_VALUE"""),"")</f>
        <v/>
      </c>
      <c r="S393" s="6">
        <f ca="1">IFERROR(__xludf.DUMMYFUNCTION("""COMPUTED_VALUE"""),1865)</f>
        <v>1865</v>
      </c>
      <c r="T393" s="4"/>
      <c r="U393" s="4"/>
      <c r="V393" s="4"/>
      <c r="W393" s="4"/>
      <c r="X393" s="4"/>
      <c r="Y393" s="4"/>
      <c r="Z393" s="4"/>
      <c r="AA393" s="4"/>
      <c r="AB393" s="4"/>
    </row>
    <row r="394" spans="1:28" x14ac:dyDescent="0.2">
      <c r="A394" s="4" t="str">
        <f t="shared" si="2"/>
        <v/>
      </c>
      <c r="B394" s="4" t="str">
        <f t="shared" si="3"/>
        <v/>
      </c>
      <c r="C394" s="4"/>
      <c r="D394" s="4"/>
      <c r="E394" s="4"/>
      <c r="F394" s="4"/>
      <c r="G394" s="4"/>
      <c r="H394" s="4"/>
      <c r="I394" s="4"/>
      <c r="J394" s="4"/>
      <c r="K394" s="4"/>
      <c r="L394" s="4"/>
      <c r="M394" s="4"/>
      <c r="N394" s="6">
        <f ca="1">IFERROR(__xludf.DUMMYFUNCTION("""COMPUTED_VALUE"""),38)</f>
        <v>38</v>
      </c>
      <c r="O394" s="6">
        <f ca="1">IFERROR(__xludf.DUMMYFUNCTION("""COMPUTED_VALUE"""),39)</f>
        <v>39</v>
      </c>
      <c r="P394" s="4" t="str">
        <f ca="1">IFERROR(__xludf.DUMMYFUNCTION("""COMPUTED_VALUE"""),"")</f>
        <v/>
      </c>
      <c r="Q394" s="6">
        <f ca="1">IFERROR(__xludf.DUMMYFUNCTION("""COMPUTED_VALUE"""),769)</f>
        <v>769</v>
      </c>
      <c r="R394" s="4" t="str">
        <f ca="1">IFERROR(__xludf.DUMMYFUNCTION("""COMPUTED_VALUE"""),"")</f>
        <v/>
      </c>
      <c r="S394" s="6">
        <f ca="1">IFERROR(__xludf.DUMMYFUNCTION("""COMPUTED_VALUE"""),1865)</f>
        <v>1865</v>
      </c>
      <c r="T394" s="4"/>
      <c r="U394" s="4"/>
      <c r="V394" s="4"/>
      <c r="W394" s="4"/>
      <c r="X394" s="4"/>
      <c r="Y394" s="4"/>
      <c r="Z394" s="4"/>
      <c r="AA394" s="4"/>
      <c r="AB394" s="4"/>
    </row>
    <row r="395" spans="1:28" x14ac:dyDescent="0.2">
      <c r="A395" s="4" t="str">
        <f t="shared" si="2"/>
        <v/>
      </c>
      <c r="B395" s="4" t="str">
        <f t="shared" si="3"/>
        <v/>
      </c>
      <c r="C395" s="4"/>
      <c r="D395" s="4"/>
      <c r="E395" s="4"/>
      <c r="F395" s="4"/>
      <c r="G395" s="4"/>
      <c r="H395" s="4"/>
      <c r="I395" s="4"/>
      <c r="J395" s="4"/>
      <c r="K395" s="4"/>
      <c r="L395" s="4"/>
      <c r="M395" s="4"/>
      <c r="N395" s="6">
        <f ca="1">IFERROR(__xludf.DUMMYFUNCTION("""COMPUTED_VALUE"""),38)</f>
        <v>38</v>
      </c>
      <c r="O395" s="6">
        <f ca="1">IFERROR(__xludf.DUMMYFUNCTION("""COMPUTED_VALUE"""),39)</f>
        <v>39</v>
      </c>
      <c r="P395" s="4" t="str">
        <f ca="1">IFERROR(__xludf.DUMMYFUNCTION("""COMPUTED_VALUE"""),"")</f>
        <v/>
      </c>
      <c r="Q395" s="6">
        <f ca="1">IFERROR(__xludf.DUMMYFUNCTION("""COMPUTED_VALUE"""),769)</f>
        <v>769</v>
      </c>
      <c r="R395" s="4" t="str">
        <f ca="1">IFERROR(__xludf.DUMMYFUNCTION("""COMPUTED_VALUE"""),"")</f>
        <v/>
      </c>
      <c r="S395" s="6">
        <f ca="1">IFERROR(__xludf.DUMMYFUNCTION("""COMPUTED_VALUE"""),1865)</f>
        <v>1865</v>
      </c>
      <c r="T395" s="4"/>
      <c r="U395" s="4"/>
      <c r="V395" s="4"/>
      <c r="W395" s="4"/>
      <c r="X395" s="4"/>
      <c r="Y395" s="4"/>
      <c r="Z395" s="4"/>
      <c r="AA395" s="4"/>
      <c r="AB395" s="4"/>
    </row>
    <row r="396" spans="1:28" x14ac:dyDescent="0.2">
      <c r="A396" s="4" t="str">
        <f t="shared" si="2"/>
        <v/>
      </c>
      <c r="B396" s="4" t="str">
        <f t="shared" si="3"/>
        <v/>
      </c>
      <c r="C396" s="4"/>
      <c r="D396" s="4"/>
      <c r="E396" s="4"/>
      <c r="F396" s="4"/>
      <c r="G396" s="4"/>
      <c r="H396" s="4"/>
      <c r="I396" s="4"/>
      <c r="J396" s="4"/>
      <c r="K396" s="4"/>
      <c r="L396" s="4"/>
      <c r="M396" s="4"/>
      <c r="N396" s="6">
        <f ca="1">IFERROR(__xludf.DUMMYFUNCTION("""COMPUTED_VALUE"""),38)</f>
        <v>38</v>
      </c>
      <c r="O396" s="6">
        <f ca="1">IFERROR(__xludf.DUMMYFUNCTION("""COMPUTED_VALUE"""),39)</f>
        <v>39</v>
      </c>
      <c r="P396" s="4" t="str">
        <f ca="1">IFERROR(__xludf.DUMMYFUNCTION("""COMPUTED_VALUE"""),"")</f>
        <v/>
      </c>
      <c r="Q396" s="6">
        <f ca="1">IFERROR(__xludf.DUMMYFUNCTION("""COMPUTED_VALUE"""),769)</f>
        <v>769</v>
      </c>
      <c r="R396" s="4" t="str">
        <f ca="1">IFERROR(__xludf.DUMMYFUNCTION("""COMPUTED_VALUE"""),"")</f>
        <v/>
      </c>
      <c r="S396" s="6">
        <f ca="1">IFERROR(__xludf.DUMMYFUNCTION("""COMPUTED_VALUE"""),1865)</f>
        <v>1865</v>
      </c>
      <c r="T396" s="4"/>
      <c r="U396" s="4"/>
      <c r="V396" s="4"/>
      <c r="W396" s="4"/>
      <c r="X396" s="4"/>
      <c r="Y396" s="4"/>
      <c r="Z396" s="4"/>
      <c r="AA396" s="4"/>
      <c r="AB396" s="4"/>
    </row>
    <row r="397" spans="1:28" x14ac:dyDescent="0.2">
      <c r="A397" s="4" t="str">
        <f t="shared" si="2"/>
        <v/>
      </c>
      <c r="B397" s="4" t="str">
        <f t="shared" si="3"/>
        <v/>
      </c>
      <c r="C397" s="4"/>
      <c r="D397" s="4"/>
      <c r="E397" s="4"/>
      <c r="F397" s="4"/>
      <c r="G397" s="4"/>
      <c r="H397" s="4"/>
      <c r="I397" s="4"/>
      <c r="J397" s="4"/>
      <c r="K397" s="4"/>
      <c r="L397" s="4"/>
      <c r="M397" s="4"/>
      <c r="N397" s="6">
        <f ca="1">IFERROR(__xludf.DUMMYFUNCTION("""COMPUTED_VALUE"""),38)</f>
        <v>38</v>
      </c>
      <c r="O397" s="6">
        <f ca="1">IFERROR(__xludf.DUMMYFUNCTION("""COMPUTED_VALUE"""),39)</f>
        <v>39</v>
      </c>
      <c r="P397" s="4" t="str">
        <f ca="1">IFERROR(__xludf.DUMMYFUNCTION("""COMPUTED_VALUE"""),"")</f>
        <v/>
      </c>
      <c r="Q397" s="6">
        <f ca="1">IFERROR(__xludf.DUMMYFUNCTION("""COMPUTED_VALUE"""),769)</f>
        <v>769</v>
      </c>
      <c r="R397" s="4" t="str">
        <f ca="1">IFERROR(__xludf.DUMMYFUNCTION("""COMPUTED_VALUE"""),"")</f>
        <v/>
      </c>
      <c r="S397" s="6">
        <f ca="1">IFERROR(__xludf.DUMMYFUNCTION("""COMPUTED_VALUE"""),1865)</f>
        <v>1865</v>
      </c>
      <c r="T397" s="4"/>
      <c r="U397" s="4"/>
      <c r="V397" s="4"/>
      <c r="W397" s="4"/>
      <c r="X397" s="4"/>
      <c r="Y397" s="4"/>
      <c r="Z397" s="4"/>
      <c r="AA397" s="4"/>
      <c r="AB397" s="4"/>
    </row>
    <row r="398" spans="1:28" x14ac:dyDescent="0.2">
      <c r="A398" s="4" t="str">
        <f t="shared" si="2"/>
        <v/>
      </c>
      <c r="B398" s="4" t="str">
        <f t="shared" si="3"/>
        <v/>
      </c>
      <c r="C398" s="4"/>
      <c r="D398" s="4"/>
      <c r="E398" s="4"/>
      <c r="F398" s="4"/>
      <c r="G398" s="4"/>
      <c r="H398" s="4"/>
      <c r="I398" s="4"/>
      <c r="J398" s="4"/>
      <c r="K398" s="4"/>
      <c r="L398" s="4"/>
      <c r="M398" s="4"/>
      <c r="N398" s="6">
        <f ca="1">IFERROR(__xludf.DUMMYFUNCTION("""COMPUTED_VALUE"""),38)</f>
        <v>38</v>
      </c>
      <c r="O398" s="6">
        <f ca="1">IFERROR(__xludf.DUMMYFUNCTION("""COMPUTED_VALUE"""),39)</f>
        <v>39</v>
      </c>
      <c r="P398" s="4" t="str">
        <f ca="1">IFERROR(__xludf.DUMMYFUNCTION("""COMPUTED_VALUE"""),"")</f>
        <v/>
      </c>
      <c r="Q398" s="6">
        <f ca="1">IFERROR(__xludf.DUMMYFUNCTION("""COMPUTED_VALUE"""),769)</f>
        <v>769</v>
      </c>
      <c r="R398" s="4" t="str">
        <f ca="1">IFERROR(__xludf.DUMMYFUNCTION("""COMPUTED_VALUE"""),"")</f>
        <v/>
      </c>
      <c r="S398" s="6">
        <f ca="1">IFERROR(__xludf.DUMMYFUNCTION("""COMPUTED_VALUE"""),1865)</f>
        <v>1865</v>
      </c>
      <c r="T398" s="4"/>
      <c r="U398" s="4"/>
      <c r="V398" s="4"/>
      <c r="W398" s="4"/>
      <c r="X398" s="4"/>
      <c r="Y398" s="4"/>
      <c r="Z398" s="4"/>
      <c r="AA398" s="4"/>
      <c r="AB398" s="4"/>
    </row>
    <row r="399" spans="1:28" x14ac:dyDescent="0.2">
      <c r="A399" s="4" t="str">
        <f t="shared" si="2"/>
        <v/>
      </c>
      <c r="B399" s="4" t="str">
        <f t="shared" si="3"/>
        <v/>
      </c>
      <c r="C399" s="4"/>
      <c r="D399" s="4"/>
      <c r="E399" s="4"/>
      <c r="F399" s="4"/>
      <c r="G399" s="4"/>
      <c r="H399" s="4"/>
      <c r="I399" s="4"/>
      <c r="J399" s="4"/>
      <c r="K399" s="4"/>
      <c r="L399" s="4"/>
      <c r="M399" s="4"/>
      <c r="N399" s="6">
        <f ca="1">IFERROR(__xludf.DUMMYFUNCTION("""COMPUTED_VALUE"""),38)</f>
        <v>38</v>
      </c>
      <c r="O399" s="6">
        <f ca="1">IFERROR(__xludf.DUMMYFUNCTION("""COMPUTED_VALUE"""),39)</f>
        <v>39</v>
      </c>
      <c r="P399" s="4" t="str">
        <f ca="1">IFERROR(__xludf.DUMMYFUNCTION("""COMPUTED_VALUE"""),"")</f>
        <v/>
      </c>
      <c r="Q399" s="6">
        <f ca="1">IFERROR(__xludf.DUMMYFUNCTION("""COMPUTED_VALUE"""),769)</f>
        <v>769</v>
      </c>
      <c r="R399" s="4" t="str">
        <f ca="1">IFERROR(__xludf.DUMMYFUNCTION("""COMPUTED_VALUE"""),"")</f>
        <v/>
      </c>
      <c r="S399" s="6">
        <f ca="1">IFERROR(__xludf.DUMMYFUNCTION("""COMPUTED_VALUE"""),1865)</f>
        <v>1865</v>
      </c>
      <c r="T399" s="4"/>
      <c r="U399" s="4"/>
      <c r="V399" s="4"/>
      <c r="W399" s="4"/>
      <c r="X399" s="4"/>
      <c r="Y399" s="4"/>
      <c r="Z399" s="4"/>
      <c r="AA399" s="4"/>
      <c r="AB399" s="4"/>
    </row>
    <row r="400" spans="1:28" x14ac:dyDescent="0.2">
      <c r="A400" s="4" t="str">
        <f t="shared" si="2"/>
        <v/>
      </c>
      <c r="B400" s="4" t="str">
        <f t="shared" si="3"/>
        <v/>
      </c>
      <c r="C400" s="4"/>
      <c r="D400" s="4"/>
      <c r="E400" s="4"/>
      <c r="F400" s="4"/>
      <c r="G400" s="4"/>
      <c r="H400" s="4"/>
      <c r="I400" s="4"/>
      <c r="J400" s="4"/>
      <c r="K400" s="4"/>
      <c r="L400" s="4"/>
      <c r="M400" s="4"/>
      <c r="N400" s="6">
        <f ca="1">IFERROR(__xludf.DUMMYFUNCTION("""COMPUTED_VALUE"""),38)</f>
        <v>38</v>
      </c>
      <c r="O400" s="6">
        <f ca="1">IFERROR(__xludf.DUMMYFUNCTION("""COMPUTED_VALUE"""),39)</f>
        <v>39</v>
      </c>
      <c r="P400" s="4" t="str">
        <f ca="1">IFERROR(__xludf.DUMMYFUNCTION("""COMPUTED_VALUE"""),"")</f>
        <v/>
      </c>
      <c r="Q400" s="6">
        <f ca="1">IFERROR(__xludf.DUMMYFUNCTION("""COMPUTED_VALUE"""),769)</f>
        <v>769</v>
      </c>
      <c r="R400" s="4" t="str">
        <f ca="1">IFERROR(__xludf.DUMMYFUNCTION("""COMPUTED_VALUE"""),"")</f>
        <v/>
      </c>
      <c r="S400" s="6">
        <f ca="1">IFERROR(__xludf.DUMMYFUNCTION("""COMPUTED_VALUE"""),1865)</f>
        <v>1865</v>
      </c>
      <c r="T400" s="4"/>
      <c r="U400" s="4"/>
      <c r="V400" s="4"/>
      <c r="W400" s="4"/>
      <c r="X400" s="4"/>
      <c r="Y400" s="4"/>
      <c r="Z400" s="4"/>
      <c r="AA400" s="4"/>
      <c r="AB400" s="4"/>
    </row>
    <row r="401" spans="1:28" x14ac:dyDescent="0.2">
      <c r="A401" s="4" t="str">
        <f t="shared" si="2"/>
        <v/>
      </c>
      <c r="B401" s="4" t="str">
        <f t="shared" si="3"/>
        <v/>
      </c>
      <c r="C401" s="4"/>
      <c r="D401" s="4"/>
      <c r="E401" s="4"/>
      <c r="F401" s="4"/>
      <c r="G401" s="4"/>
      <c r="H401" s="4"/>
      <c r="I401" s="4"/>
      <c r="J401" s="4"/>
      <c r="K401" s="4"/>
      <c r="L401" s="4"/>
      <c r="M401" s="4"/>
      <c r="N401" s="6">
        <f ca="1">IFERROR(__xludf.DUMMYFUNCTION("""COMPUTED_VALUE"""),38)</f>
        <v>38</v>
      </c>
      <c r="O401" s="6">
        <f ca="1">IFERROR(__xludf.DUMMYFUNCTION("""COMPUTED_VALUE"""),39)</f>
        <v>39</v>
      </c>
      <c r="P401" s="4" t="str">
        <f ca="1">IFERROR(__xludf.DUMMYFUNCTION("""COMPUTED_VALUE"""),"")</f>
        <v/>
      </c>
      <c r="Q401" s="6">
        <f ca="1">IFERROR(__xludf.DUMMYFUNCTION("""COMPUTED_VALUE"""),769)</f>
        <v>769</v>
      </c>
      <c r="R401" s="4" t="str">
        <f ca="1">IFERROR(__xludf.DUMMYFUNCTION("""COMPUTED_VALUE"""),"")</f>
        <v/>
      </c>
      <c r="S401" s="6">
        <f ca="1">IFERROR(__xludf.DUMMYFUNCTION("""COMPUTED_VALUE"""),1865)</f>
        <v>1865</v>
      </c>
      <c r="T401" s="4"/>
      <c r="U401" s="4"/>
      <c r="V401" s="4"/>
      <c r="W401" s="4"/>
      <c r="X401" s="4"/>
      <c r="Y401" s="4"/>
      <c r="Z401" s="4"/>
      <c r="AA401" s="4"/>
      <c r="AB401" s="4"/>
    </row>
    <row r="402" spans="1:28" x14ac:dyDescent="0.2">
      <c r="A402" s="4" t="str">
        <f t="shared" si="2"/>
        <v/>
      </c>
      <c r="B402" s="4" t="str">
        <f t="shared" si="3"/>
        <v/>
      </c>
      <c r="C402" s="4"/>
      <c r="D402" s="4"/>
      <c r="E402" s="4"/>
      <c r="F402" s="4"/>
      <c r="G402" s="4"/>
      <c r="H402" s="4"/>
      <c r="I402" s="4"/>
      <c r="J402" s="4"/>
      <c r="K402" s="4"/>
      <c r="L402" s="4"/>
      <c r="M402" s="4"/>
      <c r="N402" s="6">
        <f ca="1">IFERROR(__xludf.DUMMYFUNCTION("""COMPUTED_VALUE"""),38)</f>
        <v>38</v>
      </c>
      <c r="O402" s="6">
        <f ca="1">IFERROR(__xludf.DUMMYFUNCTION("""COMPUTED_VALUE"""),39)</f>
        <v>39</v>
      </c>
      <c r="P402" s="4" t="str">
        <f ca="1">IFERROR(__xludf.DUMMYFUNCTION("""COMPUTED_VALUE"""),"")</f>
        <v/>
      </c>
      <c r="Q402" s="6">
        <f ca="1">IFERROR(__xludf.DUMMYFUNCTION("""COMPUTED_VALUE"""),769)</f>
        <v>769</v>
      </c>
      <c r="R402" s="4" t="str">
        <f ca="1">IFERROR(__xludf.DUMMYFUNCTION("""COMPUTED_VALUE"""),"")</f>
        <v/>
      </c>
      <c r="S402" s="6">
        <f ca="1">IFERROR(__xludf.DUMMYFUNCTION("""COMPUTED_VALUE"""),1865)</f>
        <v>1865</v>
      </c>
      <c r="T402" s="4"/>
      <c r="U402" s="4"/>
      <c r="V402" s="4"/>
      <c r="W402" s="4"/>
      <c r="X402" s="4"/>
      <c r="Y402" s="4"/>
      <c r="Z402" s="4"/>
      <c r="AA402" s="4"/>
      <c r="AB402" s="4"/>
    </row>
    <row r="403" spans="1:28" x14ac:dyDescent="0.2">
      <c r="A403" s="4" t="str">
        <f t="shared" si="2"/>
        <v/>
      </c>
      <c r="B403" s="4" t="str">
        <f t="shared" si="3"/>
        <v/>
      </c>
      <c r="C403" s="4"/>
      <c r="D403" s="4"/>
      <c r="E403" s="4"/>
      <c r="F403" s="4"/>
      <c r="G403" s="4"/>
      <c r="H403" s="4"/>
      <c r="I403" s="4"/>
      <c r="J403" s="4"/>
      <c r="K403" s="4"/>
      <c r="L403" s="4"/>
      <c r="M403" s="4"/>
      <c r="N403" s="6">
        <f ca="1">IFERROR(__xludf.DUMMYFUNCTION("""COMPUTED_VALUE"""),38)</f>
        <v>38</v>
      </c>
      <c r="O403" s="6">
        <f ca="1">IFERROR(__xludf.DUMMYFUNCTION("""COMPUTED_VALUE"""),39)</f>
        <v>39</v>
      </c>
      <c r="P403" s="4" t="str">
        <f ca="1">IFERROR(__xludf.DUMMYFUNCTION("""COMPUTED_VALUE"""),"")</f>
        <v/>
      </c>
      <c r="Q403" s="6">
        <f ca="1">IFERROR(__xludf.DUMMYFUNCTION("""COMPUTED_VALUE"""),769)</f>
        <v>769</v>
      </c>
      <c r="R403" s="4" t="str">
        <f ca="1">IFERROR(__xludf.DUMMYFUNCTION("""COMPUTED_VALUE"""),"")</f>
        <v/>
      </c>
      <c r="S403" s="6">
        <f ca="1">IFERROR(__xludf.DUMMYFUNCTION("""COMPUTED_VALUE"""),1865)</f>
        <v>1865</v>
      </c>
      <c r="T403" s="4"/>
      <c r="U403" s="4"/>
      <c r="V403" s="4"/>
      <c r="W403" s="4"/>
      <c r="X403" s="4"/>
      <c r="Y403" s="4"/>
      <c r="Z403" s="4"/>
      <c r="AA403" s="4"/>
      <c r="AB403" s="4"/>
    </row>
    <row r="404" spans="1:28" x14ac:dyDescent="0.2">
      <c r="A404" s="4" t="str">
        <f t="shared" si="2"/>
        <v/>
      </c>
      <c r="B404" s="4" t="str">
        <f t="shared" si="3"/>
        <v/>
      </c>
      <c r="C404" s="4"/>
      <c r="D404" s="4"/>
      <c r="E404" s="4"/>
      <c r="F404" s="4"/>
      <c r="G404" s="4"/>
      <c r="H404" s="4"/>
      <c r="I404" s="4"/>
      <c r="J404" s="4"/>
      <c r="K404" s="4"/>
      <c r="L404" s="4"/>
      <c r="M404" s="4"/>
      <c r="N404" s="6">
        <f ca="1">IFERROR(__xludf.DUMMYFUNCTION("""COMPUTED_VALUE"""),38)</f>
        <v>38</v>
      </c>
      <c r="O404" s="6">
        <f ca="1">IFERROR(__xludf.DUMMYFUNCTION("""COMPUTED_VALUE"""),39)</f>
        <v>39</v>
      </c>
      <c r="P404" s="4" t="str">
        <f ca="1">IFERROR(__xludf.DUMMYFUNCTION("""COMPUTED_VALUE"""),"")</f>
        <v/>
      </c>
      <c r="Q404" s="6">
        <f ca="1">IFERROR(__xludf.DUMMYFUNCTION("""COMPUTED_VALUE"""),769)</f>
        <v>769</v>
      </c>
      <c r="R404" s="4" t="str">
        <f ca="1">IFERROR(__xludf.DUMMYFUNCTION("""COMPUTED_VALUE"""),"")</f>
        <v/>
      </c>
      <c r="S404" s="6">
        <f ca="1">IFERROR(__xludf.DUMMYFUNCTION("""COMPUTED_VALUE"""),1865)</f>
        <v>1865</v>
      </c>
      <c r="T404" s="4"/>
      <c r="U404" s="4"/>
      <c r="V404" s="4"/>
      <c r="W404" s="4"/>
      <c r="X404" s="4"/>
      <c r="Y404" s="4"/>
      <c r="Z404" s="4"/>
      <c r="AA404" s="4"/>
      <c r="AB404" s="4"/>
    </row>
    <row r="405" spans="1:28" x14ac:dyDescent="0.2">
      <c r="A405" s="4" t="str">
        <f t="shared" si="2"/>
        <v/>
      </c>
      <c r="B405" s="4" t="str">
        <f t="shared" si="3"/>
        <v/>
      </c>
      <c r="C405" s="4"/>
      <c r="D405" s="4"/>
      <c r="E405" s="4"/>
      <c r="F405" s="4"/>
      <c r="G405" s="4"/>
      <c r="H405" s="4"/>
      <c r="I405" s="4"/>
      <c r="J405" s="4"/>
      <c r="K405" s="4"/>
      <c r="L405" s="4"/>
      <c r="M405" s="4"/>
      <c r="N405" s="6">
        <f ca="1">IFERROR(__xludf.DUMMYFUNCTION("""COMPUTED_VALUE"""),38)</f>
        <v>38</v>
      </c>
      <c r="O405" s="6">
        <f ca="1">IFERROR(__xludf.DUMMYFUNCTION("""COMPUTED_VALUE"""),39)</f>
        <v>39</v>
      </c>
      <c r="P405" s="4" t="str">
        <f ca="1">IFERROR(__xludf.DUMMYFUNCTION("""COMPUTED_VALUE"""),"")</f>
        <v/>
      </c>
      <c r="Q405" s="6">
        <f ca="1">IFERROR(__xludf.DUMMYFUNCTION("""COMPUTED_VALUE"""),769)</f>
        <v>769</v>
      </c>
      <c r="R405" s="4" t="str">
        <f ca="1">IFERROR(__xludf.DUMMYFUNCTION("""COMPUTED_VALUE"""),"")</f>
        <v/>
      </c>
      <c r="S405" s="6">
        <f ca="1">IFERROR(__xludf.DUMMYFUNCTION("""COMPUTED_VALUE"""),1865)</f>
        <v>1865</v>
      </c>
      <c r="T405" s="4"/>
      <c r="U405" s="4"/>
      <c r="V405" s="4"/>
      <c r="W405" s="4"/>
      <c r="X405" s="4"/>
      <c r="Y405" s="4"/>
      <c r="Z405" s="4"/>
      <c r="AA405" s="4"/>
      <c r="AB405" s="4"/>
    </row>
    <row r="406" spans="1:28" x14ac:dyDescent="0.2">
      <c r="A406" s="4" t="str">
        <f t="shared" si="2"/>
        <v/>
      </c>
      <c r="B406" s="4" t="str">
        <f t="shared" si="3"/>
        <v/>
      </c>
      <c r="C406" s="4"/>
      <c r="D406" s="4"/>
      <c r="E406" s="4"/>
      <c r="F406" s="4"/>
      <c r="G406" s="4"/>
      <c r="H406" s="4"/>
      <c r="I406" s="4"/>
      <c r="J406" s="4"/>
      <c r="K406" s="4"/>
      <c r="L406" s="4"/>
      <c r="M406" s="4"/>
      <c r="N406" s="6">
        <f ca="1">IFERROR(__xludf.DUMMYFUNCTION("""COMPUTED_VALUE"""),38)</f>
        <v>38</v>
      </c>
      <c r="O406" s="6">
        <f ca="1">IFERROR(__xludf.DUMMYFUNCTION("""COMPUTED_VALUE"""),39)</f>
        <v>39</v>
      </c>
      <c r="P406" s="4" t="str">
        <f ca="1">IFERROR(__xludf.DUMMYFUNCTION("""COMPUTED_VALUE"""),"")</f>
        <v/>
      </c>
      <c r="Q406" s="6">
        <f ca="1">IFERROR(__xludf.DUMMYFUNCTION("""COMPUTED_VALUE"""),769)</f>
        <v>769</v>
      </c>
      <c r="R406" s="4" t="str">
        <f ca="1">IFERROR(__xludf.DUMMYFUNCTION("""COMPUTED_VALUE"""),"")</f>
        <v/>
      </c>
      <c r="S406" s="6">
        <f ca="1">IFERROR(__xludf.DUMMYFUNCTION("""COMPUTED_VALUE"""),1865)</f>
        <v>1865</v>
      </c>
      <c r="T406" s="4"/>
      <c r="U406" s="4"/>
      <c r="V406" s="4"/>
      <c r="W406" s="4"/>
      <c r="X406" s="4"/>
      <c r="Y406" s="4"/>
      <c r="Z406" s="4"/>
      <c r="AA406" s="4"/>
      <c r="AB406" s="4"/>
    </row>
    <row r="407" spans="1:28" x14ac:dyDescent="0.2">
      <c r="A407" s="4" t="str">
        <f t="shared" si="2"/>
        <v/>
      </c>
      <c r="B407" s="4" t="str">
        <f t="shared" si="3"/>
        <v/>
      </c>
      <c r="C407" s="4"/>
      <c r="D407" s="4"/>
      <c r="E407" s="4"/>
      <c r="F407" s="4"/>
      <c r="G407" s="4"/>
      <c r="H407" s="4"/>
      <c r="I407" s="4"/>
      <c r="J407" s="4"/>
      <c r="K407" s="4"/>
      <c r="L407" s="4"/>
      <c r="M407" s="4"/>
      <c r="N407" s="6">
        <f ca="1">IFERROR(__xludf.DUMMYFUNCTION("""COMPUTED_VALUE"""),38)</f>
        <v>38</v>
      </c>
      <c r="O407" s="6">
        <f ca="1">IFERROR(__xludf.DUMMYFUNCTION("""COMPUTED_VALUE"""),39)</f>
        <v>39</v>
      </c>
      <c r="P407" s="4" t="str">
        <f ca="1">IFERROR(__xludf.DUMMYFUNCTION("""COMPUTED_VALUE"""),"")</f>
        <v/>
      </c>
      <c r="Q407" s="6">
        <f ca="1">IFERROR(__xludf.DUMMYFUNCTION("""COMPUTED_VALUE"""),769)</f>
        <v>769</v>
      </c>
      <c r="R407" s="4" t="str">
        <f ca="1">IFERROR(__xludf.DUMMYFUNCTION("""COMPUTED_VALUE"""),"")</f>
        <v/>
      </c>
      <c r="S407" s="6">
        <f ca="1">IFERROR(__xludf.DUMMYFUNCTION("""COMPUTED_VALUE"""),1865)</f>
        <v>1865</v>
      </c>
      <c r="T407" s="4"/>
      <c r="U407" s="4"/>
      <c r="V407" s="4"/>
      <c r="W407" s="4"/>
      <c r="X407" s="4"/>
      <c r="Y407" s="4"/>
      <c r="Z407" s="4"/>
      <c r="AA407" s="4"/>
      <c r="AB407" s="4"/>
    </row>
    <row r="408" spans="1:28" x14ac:dyDescent="0.2">
      <c r="A408" s="4" t="str">
        <f t="shared" si="2"/>
        <v/>
      </c>
      <c r="B408" s="4" t="str">
        <f t="shared" si="3"/>
        <v/>
      </c>
      <c r="C408" s="4"/>
      <c r="D408" s="4"/>
      <c r="E408" s="4"/>
      <c r="F408" s="4"/>
      <c r="G408" s="4"/>
      <c r="H408" s="4"/>
      <c r="I408" s="4"/>
      <c r="J408" s="4"/>
      <c r="K408" s="4"/>
      <c r="L408" s="4"/>
      <c r="M408" s="4"/>
      <c r="N408" s="6">
        <f ca="1">IFERROR(__xludf.DUMMYFUNCTION("""COMPUTED_VALUE"""),38)</f>
        <v>38</v>
      </c>
      <c r="O408" s="6">
        <f ca="1">IFERROR(__xludf.DUMMYFUNCTION("""COMPUTED_VALUE"""),39)</f>
        <v>39</v>
      </c>
      <c r="P408" s="4" t="str">
        <f ca="1">IFERROR(__xludf.DUMMYFUNCTION("""COMPUTED_VALUE"""),"")</f>
        <v/>
      </c>
      <c r="Q408" s="6">
        <f ca="1">IFERROR(__xludf.DUMMYFUNCTION("""COMPUTED_VALUE"""),769)</f>
        <v>769</v>
      </c>
      <c r="R408" s="4" t="str">
        <f ca="1">IFERROR(__xludf.DUMMYFUNCTION("""COMPUTED_VALUE"""),"")</f>
        <v/>
      </c>
      <c r="S408" s="6">
        <f ca="1">IFERROR(__xludf.DUMMYFUNCTION("""COMPUTED_VALUE"""),1865)</f>
        <v>1865</v>
      </c>
      <c r="T408" s="4"/>
      <c r="U408" s="4"/>
      <c r="V408" s="4"/>
      <c r="W408" s="4"/>
      <c r="X408" s="4"/>
      <c r="Y408" s="4"/>
      <c r="Z408" s="4"/>
      <c r="AA408" s="4"/>
      <c r="AB408" s="4"/>
    </row>
    <row r="409" spans="1:28" x14ac:dyDescent="0.2">
      <c r="A409" s="4" t="str">
        <f t="shared" si="2"/>
        <v/>
      </c>
      <c r="B409" s="4" t="str">
        <f t="shared" si="3"/>
        <v/>
      </c>
      <c r="C409" s="4"/>
      <c r="D409" s="4"/>
      <c r="E409" s="4"/>
      <c r="F409" s="4"/>
      <c r="G409" s="4"/>
      <c r="H409" s="4"/>
      <c r="I409" s="4"/>
      <c r="J409" s="4"/>
      <c r="K409" s="4"/>
      <c r="L409" s="4"/>
      <c r="M409" s="4"/>
      <c r="N409" s="6">
        <f ca="1">IFERROR(__xludf.DUMMYFUNCTION("""COMPUTED_VALUE"""),38)</f>
        <v>38</v>
      </c>
      <c r="O409" s="6">
        <f ca="1">IFERROR(__xludf.DUMMYFUNCTION("""COMPUTED_VALUE"""),39)</f>
        <v>39</v>
      </c>
      <c r="P409" s="4" t="str">
        <f ca="1">IFERROR(__xludf.DUMMYFUNCTION("""COMPUTED_VALUE"""),"")</f>
        <v/>
      </c>
      <c r="Q409" s="6">
        <f ca="1">IFERROR(__xludf.DUMMYFUNCTION("""COMPUTED_VALUE"""),769)</f>
        <v>769</v>
      </c>
      <c r="R409" s="4" t="str">
        <f ca="1">IFERROR(__xludf.DUMMYFUNCTION("""COMPUTED_VALUE"""),"")</f>
        <v/>
      </c>
      <c r="S409" s="6">
        <f ca="1">IFERROR(__xludf.DUMMYFUNCTION("""COMPUTED_VALUE"""),1865)</f>
        <v>1865</v>
      </c>
      <c r="T409" s="4"/>
      <c r="U409" s="4"/>
      <c r="V409" s="4"/>
      <c r="W409" s="4"/>
      <c r="X409" s="4"/>
      <c r="Y409" s="4"/>
      <c r="Z409" s="4"/>
      <c r="AA409" s="4"/>
      <c r="AB409" s="4"/>
    </row>
    <row r="410" spans="1:28" x14ac:dyDescent="0.2">
      <c r="A410" s="4" t="str">
        <f t="shared" si="2"/>
        <v/>
      </c>
      <c r="B410" s="4" t="str">
        <f t="shared" si="3"/>
        <v/>
      </c>
      <c r="C410" s="4"/>
      <c r="D410" s="4"/>
      <c r="E410" s="4"/>
      <c r="F410" s="4"/>
      <c r="G410" s="4"/>
      <c r="H410" s="4"/>
      <c r="I410" s="4"/>
      <c r="J410" s="4"/>
      <c r="K410" s="4"/>
      <c r="L410" s="4"/>
      <c r="M410" s="4"/>
      <c r="N410" s="6">
        <f ca="1">IFERROR(__xludf.DUMMYFUNCTION("""COMPUTED_VALUE"""),38)</f>
        <v>38</v>
      </c>
      <c r="O410" s="6">
        <f ca="1">IFERROR(__xludf.DUMMYFUNCTION("""COMPUTED_VALUE"""),39)</f>
        <v>39</v>
      </c>
      <c r="P410" s="4" t="str">
        <f ca="1">IFERROR(__xludf.DUMMYFUNCTION("""COMPUTED_VALUE"""),"")</f>
        <v/>
      </c>
      <c r="Q410" s="6">
        <f ca="1">IFERROR(__xludf.DUMMYFUNCTION("""COMPUTED_VALUE"""),769)</f>
        <v>769</v>
      </c>
      <c r="R410" s="4" t="str">
        <f ca="1">IFERROR(__xludf.DUMMYFUNCTION("""COMPUTED_VALUE"""),"")</f>
        <v/>
      </c>
      <c r="S410" s="6">
        <f ca="1">IFERROR(__xludf.DUMMYFUNCTION("""COMPUTED_VALUE"""),1865)</f>
        <v>1865</v>
      </c>
      <c r="T410" s="4"/>
      <c r="U410" s="4"/>
      <c r="V410" s="4"/>
      <c r="W410" s="4"/>
      <c r="X410" s="4"/>
      <c r="Y410" s="4"/>
      <c r="Z410" s="4"/>
      <c r="AA410" s="4"/>
      <c r="AB410" s="4"/>
    </row>
    <row r="411" spans="1:28" x14ac:dyDescent="0.2">
      <c r="A411" s="4" t="str">
        <f t="shared" si="2"/>
        <v/>
      </c>
      <c r="B411" s="4" t="str">
        <f t="shared" si="3"/>
        <v/>
      </c>
      <c r="C411" s="4"/>
      <c r="D411" s="4"/>
      <c r="E411" s="4"/>
      <c r="F411" s="4"/>
      <c r="G411" s="4"/>
      <c r="H411" s="4"/>
      <c r="I411" s="4"/>
      <c r="J411" s="4"/>
      <c r="K411" s="4"/>
      <c r="L411" s="4"/>
      <c r="M411" s="4"/>
      <c r="N411" s="6">
        <f ca="1">IFERROR(__xludf.DUMMYFUNCTION("""COMPUTED_VALUE"""),38)</f>
        <v>38</v>
      </c>
      <c r="O411" s="6">
        <f ca="1">IFERROR(__xludf.DUMMYFUNCTION("""COMPUTED_VALUE"""),39)</f>
        <v>39</v>
      </c>
      <c r="P411" s="4" t="str">
        <f ca="1">IFERROR(__xludf.DUMMYFUNCTION("""COMPUTED_VALUE"""),"")</f>
        <v/>
      </c>
      <c r="Q411" s="6">
        <f ca="1">IFERROR(__xludf.DUMMYFUNCTION("""COMPUTED_VALUE"""),769)</f>
        <v>769</v>
      </c>
      <c r="R411" s="4" t="str">
        <f ca="1">IFERROR(__xludf.DUMMYFUNCTION("""COMPUTED_VALUE"""),"")</f>
        <v/>
      </c>
      <c r="S411" s="6">
        <f ca="1">IFERROR(__xludf.DUMMYFUNCTION("""COMPUTED_VALUE"""),1865)</f>
        <v>1865</v>
      </c>
      <c r="T411" s="4"/>
      <c r="U411" s="4"/>
      <c r="V411" s="4"/>
      <c r="W411" s="4"/>
      <c r="X411" s="4"/>
      <c r="Y411" s="4"/>
      <c r="Z411" s="4"/>
      <c r="AA411" s="4"/>
      <c r="AB411" s="4"/>
    </row>
    <row r="412" spans="1:28" x14ac:dyDescent="0.2">
      <c r="A412" s="4" t="str">
        <f t="shared" si="2"/>
        <v/>
      </c>
      <c r="B412" s="4" t="str">
        <f t="shared" si="3"/>
        <v/>
      </c>
      <c r="C412" s="4"/>
      <c r="D412" s="4"/>
      <c r="E412" s="4"/>
      <c r="F412" s="4"/>
      <c r="G412" s="4"/>
      <c r="H412" s="4"/>
      <c r="I412" s="4"/>
      <c r="J412" s="4"/>
      <c r="K412" s="4"/>
      <c r="L412" s="4"/>
      <c r="M412" s="4"/>
      <c r="N412" s="6">
        <f ca="1">IFERROR(__xludf.DUMMYFUNCTION("""COMPUTED_VALUE"""),38)</f>
        <v>38</v>
      </c>
      <c r="O412" s="6">
        <f ca="1">IFERROR(__xludf.DUMMYFUNCTION("""COMPUTED_VALUE"""),39)</f>
        <v>39</v>
      </c>
      <c r="P412" s="4" t="str">
        <f ca="1">IFERROR(__xludf.DUMMYFUNCTION("""COMPUTED_VALUE"""),"")</f>
        <v/>
      </c>
      <c r="Q412" s="6">
        <f ca="1">IFERROR(__xludf.DUMMYFUNCTION("""COMPUTED_VALUE"""),769)</f>
        <v>769</v>
      </c>
      <c r="R412" s="4" t="str">
        <f ca="1">IFERROR(__xludf.DUMMYFUNCTION("""COMPUTED_VALUE"""),"")</f>
        <v/>
      </c>
      <c r="S412" s="6">
        <f ca="1">IFERROR(__xludf.DUMMYFUNCTION("""COMPUTED_VALUE"""),1865)</f>
        <v>1865</v>
      </c>
      <c r="T412" s="4"/>
      <c r="U412" s="4"/>
      <c r="V412" s="4"/>
      <c r="W412" s="4"/>
      <c r="X412" s="4"/>
      <c r="Y412" s="4"/>
      <c r="Z412" s="4"/>
      <c r="AA412" s="4"/>
      <c r="AB412" s="4"/>
    </row>
    <row r="413" spans="1:28" x14ac:dyDescent="0.2">
      <c r="A413" s="4" t="str">
        <f t="shared" si="2"/>
        <v/>
      </c>
      <c r="B413" s="4" t="str">
        <f t="shared" si="3"/>
        <v/>
      </c>
      <c r="C413" s="4"/>
      <c r="D413" s="4"/>
      <c r="E413" s="4"/>
      <c r="F413" s="4"/>
      <c r="G413" s="4"/>
      <c r="H413" s="4"/>
      <c r="I413" s="4"/>
      <c r="J413" s="4"/>
      <c r="K413" s="4"/>
      <c r="L413" s="4"/>
      <c r="M413" s="4"/>
      <c r="N413" s="6">
        <f ca="1">IFERROR(__xludf.DUMMYFUNCTION("""COMPUTED_VALUE"""),38)</f>
        <v>38</v>
      </c>
      <c r="O413" s="6">
        <f ca="1">IFERROR(__xludf.DUMMYFUNCTION("""COMPUTED_VALUE"""),39)</f>
        <v>39</v>
      </c>
      <c r="P413" s="4" t="str">
        <f ca="1">IFERROR(__xludf.DUMMYFUNCTION("""COMPUTED_VALUE"""),"")</f>
        <v/>
      </c>
      <c r="Q413" s="6">
        <f ca="1">IFERROR(__xludf.DUMMYFUNCTION("""COMPUTED_VALUE"""),769)</f>
        <v>769</v>
      </c>
      <c r="R413" s="4" t="str">
        <f ca="1">IFERROR(__xludf.DUMMYFUNCTION("""COMPUTED_VALUE"""),"")</f>
        <v/>
      </c>
      <c r="S413" s="6">
        <f ca="1">IFERROR(__xludf.DUMMYFUNCTION("""COMPUTED_VALUE"""),1865)</f>
        <v>1865</v>
      </c>
      <c r="T413" s="4"/>
      <c r="U413" s="4"/>
      <c r="V413" s="4"/>
      <c r="W413" s="4"/>
      <c r="X413" s="4"/>
      <c r="Y413" s="4"/>
      <c r="Z413" s="4"/>
      <c r="AA413" s="4"/>
      <c r="AB413" s="4"/>
    </row>
    <row r="414" spans="1:28" x14ac:dyDescent="0.2">
      <c r="A414" s="4" t="str">
        <f t="shared" si="2"/>
        <v/>
      </c>
      <c r="B414" s="4" t="str">
        <f t="shared" si="3"/>
        <v/>
      </c>
      <c r="C414" s="4"/>
      <c r="D414" s="4"/>
      <c r="E414" s="4"/>
      <c r="F414" s="4"/>
      <c r="G414" s="4"/>
      <c r="H414" s="4"/>
      <c r="I414" s="4"/>
      <c r="J414" s="4"/>
      <c r="K414" s="4"/>
      <c r="L414" s="4"/>
      <c r="M414" s="4"/>
      <c r="N414" s="6">
        <f ca="1">IFERROR(__xludf.DUMMYFUNCTION("""COMPUTED_VALUE"""),38)</f>
        <v>38</v>
      </c>
      <c r="O414" s="6">
        <f ca="1">IFERROR(__xludf.DUMMYFUNCTION("""COMPUTED_VALUE"""),39)</f>
        <v>39</v>
      </c>
      <c r="P414" s="4" t="str">
        <f ca="1">IFERROR(__xludf.DUMMYFUNCTION("""COMPUTED_VALUE"""),"")</f>
        <v/>
      </c>
      <c r="Q414" s="6">
        <f ca="1">IFERROR(__xludf.DUMMYFUNCTION("""COMPUTED_VALUE"""),769)</f>
        <v>769</v>
      </c>
      <c r="R414" s="4" t="str">
        <f ca="1">IFERROR(__xludf.DUMMYFUNCTION("""COMPUTED_VALUE"""),"")</f>
        <v/>
      </c>
      <c r="S414" s="6">
        <f ca="1">IFERROR(__xludf.DUMMYFUNCTION("""COMPUTED_VALUE"""),1865)</f>
        <v>1865</v>
      </c>
      <c r="T414" s="4"/>
      <c r="U414" s="4"/>
      <c r="V414" s="4"/>
      <c r="W414" s="4"/>
      <c r="X414" s="4"/>
      <c r="Y414" s="4"/>
      <c r="Z414" s="4"/>
      <c r="AA414" s="4"/>
      <c r="AB414" s="4"/>
    </row>
    <row r="415" spans="1:28" x14ac:dyDescent="0.2">
      <c r="A415" s="4" t="str">
        <f t="shared" si="2"/>
        <v/>
      </c>
      <c r="B415" s="4" t="str">
        <f t="shared" si="3"/>
        <v/>
      </c>
      <c r="C415" s="4"/>
      <c r="D415" s="4"/>
      <c r="E415" s="4"/>
      <c r="F415" s="4"/>
      <c r="G415" s="4"/>
      <c r="H415" s="4"/>
      <c r="I415" s="4"/>
      <c r="J415" s="4"/>
      <c r="K415" s="4"/>
      <c r="L415" s="4"/>
      <c r="M415" s="4"/>
      <c r="N415" s="6">
        <f ca="1">IFERROR(__xludf.DUMMYFUNCTION("""COMPUTED_VALUE"""),38)</f>
        <v>38</v>
      </c>
      <c r="O415" s="6">
        <f ca="1">IFERROR(__xludf.DUMMYFUNCTION("""COMPUTED_VALUE"""),39)</f>
        <v>39</v>
      </c>
      <c r="P415" s="4" t="str">
        <f ca="1">IFERROR(__xludf.DUMMYFUNCTION("""COMPUTED_VALUE"""),"")</f>
        <v/>
      </c>
      <c r="Q415" s="6">
        <f ca="1">IFERROR(__xludf.DUMMYFUNCTION("""COMPUTED_VALUE"""),769)</f>
        <v>769</v>
      </c>
      <c r="R415" s="4" t="str">
        <f ca="1">IFERROR(__xludf.DUMMYFUNCTION("""COMPUTED_VALUE"""),"")</f>
        <v/>
      </c>
      <c r="S415" s="6">
        <f ca="1">IFERROR(__xludf.DUMMYFUNCTION("""COMPUTED_VALUE"""),1865)</f>
        <v>1865</v>
      </c>
      <c r="T415" s="4"/>
      <c r="U415" s="4"/>
      <c r="V415" s="4"/>
      <c r="W415" s="4"/>
      <c r="X415" s="4"/>
      <c r="Y415" s="4"/>
      <c r="Z415" s="4"/>
      <c r="AA415" s="4"/>
      <c r="AB415" s="4"/>
    </row>
    <row r="416" spans="1:28" x14ac:dyDescent="0.2">
      <c r="A416" s="4" t="str">
        <f t="shared" si="2"/>
        <v/>
      </c>
      <c r="B416" s="4" t="str">
        <f t="shared" si="3"/>
        <v/>
      </c>
      <c r="C416" s="4"/>
      <c r="D416" s="4"/>
      <c r="E416" s="4"/>
      <c r="F416" s="4"/>
      <c r="G416" s="4"/>
      <c r="H416" s="4"/>
      <c r="I416" s="4"/>
      <c r="J416" s="4"/>
      <c r="K416" s="4"/>
      <c r="L416" s="4"/>
      <c r="M416" s="4"/>
      <c r="N416" s="6">
        <f ca="1">IFERROR(__xludf.DUMMYFUNCTION("""COMPUTED_VALUE"""),38)</f>
        <v>38</v>
      </c>
      <c r="O416" s="6">
        <f ca="1">IFERROR(__xludf.DUMMYFUNCTION("""COMPUTED_VALUE"""),39)</f>
        <v>39</v>
      </c>
      <c r="P416" s="4" t="str">
        <f ca="1">IFERROR(__xludf.DUMMYFUNCTION("""COMPUTED_VALUE"""),"")</f>
        <v/>
      </c>
      <c r="Q416" s="6">
        <f ca="1">IFERROR(__xludf.DUMMYFUNCTION("""COMPUTED_VALUE"""),769)</f>
        <v>769</v>
      </c>
      <c r="R416" s="4" t="str">
        <f ca="1">IFERROR(__xludf.DUMMYFUNCTION("""COMPUTED_VALUE"""),"")</f>
        <v/>
      </c>
      <c r="S416" s="6">
        <f ca="1">IFERROR(__xludf.DUMMYFUNCTION("""COMPUTED_VALUE"""),1865)</f>
        <v>1865</v>
      </c>
      <c r="T416" s="4"/>
      <c r="U416" s="4"/>
      <c r="V416" s="4"/>
      <c r="W416" s="4"/>
      <c r="X416" s="4"/>
      <c r="Y416" s="4"/>
      <c r="Z416" s="4"/>
      <c r="AA416" s="4"/>
      <c r="AB416" s="4"/>
    </row>
    <row r="417" spans="1:28" x14ac:dyDescent="0.2">
      <c r="A417" s="4" t="str">
        <f t="shared" si="2"/>
        <v/>
      </c>
      <c r="B417" s="4" t="str">
        <f t="shared" si="3"/>
        <v/>
      </c>
      <c r="C417" s="4"/>
      <c r="D417" s="4"/>
      <c r="E417" s="4"/>
      <c r="F417" s="4"/>
      <c r="G417" s="4"/>
      <c r="H417" s="4"/>
      <c r="I417" s="4"/>
      <c r="J417" s="4"/>
      <c r="K417" s="4"/>
      <c r="L417" s="4"/>
      <c r="M417" s="4"/>
      <c r="N417" s="6">
        <f ca="1">IFERROR(__xludf.DUMMYFUNCTION("""COMPUTED_VALUE"""),38)</f>
        <v>38</v>
      </c>
      <c r="O417" s="6">
        <f ca="1">IFERROR(__xludf.DUMMYFUNCTION("""COMPUTED_VALUE"""),39)</f>
        <v>39</v>
      </c>
      <c r="P417" s="4" t="str">
        <f ca="1">IFERROR(__xludf.DUMMYFUNCTION("""COMPUTED_VALUE"""),"")</f>
        <v/>
      </c>
      <c r="Q417" s="6">
        <f ca="1">IFERROR(__xludf.DUMMYFUNCTION("""COMPUTED_VALUE"""),769)</f>
        <v>769</v>
      </c>
      <c r="R417" s="4" t="str">
        <f ca="1">IFERROR(__xludf.DUMMYFUNCTION("""COMPUTED_VALUE"""),"")</f>
        <v/>
      </c>
      <c r="S417" s="6">
        <f ca="1">IFERROR(__xludf.DUMMYFUNCTION("""COMPUTED_VALUE"""),1865)</f>
        <v>1865</v>
      </c>
      <c r="T417" s="4"/>
      <c r="U417" s="4"/>
      <c r="V417" s="4"/>
      <c r="W417" s="4"/>
      <c r="X417" s="4"/>
      <c r="Y417" s="4"/>
      <c r="Z417" s="4"/>
      <c r="AA417" s="4"/>
      <c r="AB417" s="4"/>
    </row>
    <row r="418" spans="1:28" x14ac:dyDescent="0.2">
      <c r="A418" s="4" t="str">
        <f t="shared" si="2"/>
        <v/>
      </c>
      <c r="B418" s="4" t="str">
        <f t="shared" si="3"/>
        <v/>
      </c>
      <c r="C418" s="4"/>
      <c r="D418" s="4"/>
      <c r="E418" s="4"/>
      <c r="F418" s="4"/>
      <c r="G418" s="4"/>
      <c r="H418" s="4"/>
      <c r="I418" s="4"/>
      <c r="J418" s="4"/>
      <c r="K418" s="4"/>
      <c r="L418" s="4"/>
      <c r="M418" s="4"/>
      <c r="N418" s="6">
        <f ca="1">IFERROR(__xludf.DUMMYFUNCTION("""COMPUTED_VALUE"""),38)</f>
        <v>38</v>
      </c>
      <c r="O418" s="6">
        <f ca="1">IFERROR(__xludf.DUMMYFUNCTION("""COMPUTED_VALUE"""),39)</f>
        <v>39</v>
      </c>
      <c r="P418" s="4" t="str">
        <f ca="1">IFERROR(__xludf.DUMMYFUNCTION("""COMPUTED_VALUE"""),"")</f>
        <v/>
      </c>
      <c r="Q418" s="6">
        <f ca="1">IFERROR(__xludf.DUMMYFUNCTION("""COMPUTED_VALUE"""),769)</f>
        <v>769</v>
      </c>
      <c r="R418" s="4" t="str">
        <f ca="1">IFERROR(__xludf.DUMMYFUNCTION("""COMPUTED_VALUE"""),"")</f>
        <v/>
      </c>
      <c r="S418" s="6">
        <f ca="1">IFERROR(__xludf.DUMMYFUNCTION("""COMPUTED_VALUE"""),1865)</f>
        <v>1865</v>
      </c>
      <c r="T418" s="4"/>
      <c r="U418" s="4"/>
      <c r="V418" s="4"/>
      <c r="W418" s="4"/>
      <c r="X418" s="4"/>
      <c r="Y418" s="4"/>
      <c r="Z418" s="4"/>
      <c r="AA418" s="4"/>
      <c r="AB418" s="4"/>
    </row>
    <row r="419" spans="1:28" x14ac:dyDescent="0.2">
      <c r="A419" s="4" t="str">
        <f t="shared" si="2"/>
        <v/>
      </c>
      <c r="B419" s="4" t="str">
        <f t="shared" si="3"/>
        <v/>
      </c>
      <c r="C419" s="4"/>
      <c r="D419" s="4"/>
      <c r="E419" s="4"/>
      <c r="F419" s="4"/>
      <c r="G419" s="4"/>
      <c r="H419" s="4"/>
      <c r="I419" s="4"/>
      <c r="J419" s="4"/>
      <c r="K419" s="4"/>
      <c r="L419" s="4"/>
      <c r="M419" s="4"/>
      <c r="N419" s="6">
        <f ca="1">IFERROR(__xludf.DUMMYFUNCTION("""COMPUTED_VALUE"""),38)</f>
        <v>38</v>
      </c>
      <c r="O419" s="6">
        <f ca="1">IFERROR(__xludf.DUMMYFUNCTION("""COMPUTED_VALUE"""),39)</f>
        <v>39</v>
      </c>
      <c r="P419" s="4" t="str">
        <f ca="1">IFERROR(__xludf.DUMMYFUNCTION("""COMPUTED_VALUE"""),"")</f>
        <v/>
      </c>
      <c r="Q419" s="6">
        <f ca="1">IFERROR(__xludf.DUMMYFUNCTION("""COMPUTED_VALUE"""),769)</f>
        <v>769</v>
      </c>
      <c r="R419" s="4" t="str">
        <f ca="1">IFERROR(__xludf.DUMMYFUNCTION("""COMPUTED_VALUE"""),"")</f>
        <v/>
      </c>
      <c r="S419" s="6">
        <f ca="1">IFERROR(__xludf.DUMMYFUNCTION("""COMPUTED_VALUE"""),1865)</f>
        <v>1865</v>
      </c>
      <c r="T419" s="4"/>
      <c r="U419" s="4"/>
      <c r="V419" s="4"/>
      <c r="W419" s="4"/>
      <c r="X419" s="4"/>
      <c r="Y419" s="4"/>
      <c r="Z419" s="4"/>
      <c r="AA419" s="4"/>
      <c r="AB419" s="4"/>
    </row>
    <row r="420" spans="1:28" x14ac:dyDescent="0.2">
      <c r="A420" s="4" t="str">
        <f t="shared" si="2"/>
        <v/>
      </c>
      <c r="B420" s="4" t="str">
        <f t="shared" si="3"/>
        <v/>
      </c>
      <c r="C420" s="4"/>
      <c r="D420" s="4"/>
      <c r="E420" s="4"/>
      <c r="F420" s="4"/>
      <c r="G420" s="4"/>
      <c r="H420" s="4"/>
      <c r="I420" s="4"/>
      <c r="J420" s="4"/>
      <c r="K420" s="4"/>
      <c r="L420" s="4"/>
      <c r="M420" s="4"/>
      <c r="N420" s="6">
        <f ca="1">IFERROR(__xludf.DUMMYFUNCTION("""COMPUTED_VALUE"""),38)</f>
        <v>38</v>
      </c>
      <c r="O420" s="6">
        <f ca="1">IFERROR(__xludf.DUMMYFUNCTION("""COMPUTED_VALUE"""),39)</f>
        <v>39</v>
      </c>
      <c r="P420" s="4" t="str">
        <f ca="1">IFERROR(__xludf.DUMMYFUNCTION("""COMPUTED_VALUE"""),"")</f>
        <v/>
      </c>
      <c r="Q420" s="6">
        <f ca="1">IFERROR(__xludf.DUMMYFUNCTION("""COMPUTED_VALUE"""),769)</f>
        <v>769</v>
      </c>
      <c r="R420" s="4" t="str">
        <f ca="1">IFERROR(__xludf.DUMMYFUNCTION("""COMPUTED_VALUE"""),"")</f>
        <v/>
      </c>
      <c r="S420" s="6">
        <f ca="1">IFERROR(__xludf.DUMMYFUNCTION("""COMPUTED_VALUE"""),1865)</f>
        <v>1865</v>
      </c>
      <c r="T420" s="4"/>
      <c r="U420" s="4"/>
      <c r="V420" s="4"/>
      <c r="W420" s="4"/>
      <c r="X420" s="4"/>
      <c r="Y420" s="4"/>
      <c r="Z420" s="4"/>
      <c r="AA420" s="4"/>
      <c r="AB420" s="4"/>
    </row>
    <row r="421" spans="1:28" x14ac:dyDescent="0.2">
      <c r="A421" s="4" t="str">
        <f t="shared" si="2"/>
        <v/>
      </c>
      <c r="B421" s="4" t="str">
        <f t="shared" si="3"/>
        <v/>
      </c>
      <c r="C421" s="4"/>
      <c r="D421" s="4"/>
      <c r="E421" s="4"/>
      <c r="F421" s="4"/>
      <c r="G421" s="4"/>
      <c r="H421" s="4"/>
      <c r="I421" s="4"/>
      <c r="J421" s="4"/>
      <c r="K421" s="4"/>
      <c r="L421" s="4"/>
      <c r="M421" s="4"/>
      <c r="N421" s="6">
        <f ca="1">IFERROR(__xludf.DUMMYFUNCTION("""COMPUTED_VALUE"""),38)</f>
        <v>38</v>
      </c>
      <c r="O421" s="6">
        <f ca="1">IFERROR(__xludf.DUMMYFUNCTION("""COMPUTED_VALUE"""),39)</f>
        <v>39</v>
      </c>
      <c r="P421" s="4" t="str">
        <f ca="1">IFERROR(__xludf.DUMMYFUNCTION("""COMPUTED_VALUE"""),"")</f>
        <v/>
      </c>
      <c r="Q421" s="6">
        <f ca="1">IFERROR(__xludf.DUMMYFUNCTION("""COMPUTED_VALUE"""),769)</f>
        <v>769</v>
      </c>
      <c r="R421" s="4" t="str">
        <f ca="1">IFERROR(__xludf.DUMMYFUNCTION("""COMPUTED_VALUE"""),"")</f>
        <v/>
      </c>
      <c r="S421" s="6">
        <f ca="1">IFERROR(__xludf.DUMMYFUNCTION("""COMPUTED_VALUE"""),1865)</f>
        <v>1865</v>
      </c>
      <c r="T421" s="4"/>
      <c r="U421" s="4"/>
      <c r="V421" s="4"/>
      <c r="W421" s="4"/>
      <c r="X421" s="4"/>
      <c r="Y421" s="4"/>
      <c r="Z421" s="4"/>
      <c r="AA421" s="4"/>
      <c r="AB421" s="4"/>
    </row>
    <row r="422" spans="1:28" x14ac:dyDescent="0.2">
      <c r="A422" s="4" t="str">
        <f t="shared" si="2"/>
        <v/>
      </c>
      <c r="B422" s="4" t="str">
        <f t="shared" si="3"/>
        <v/>
      </c>
      <c r="C422" s="4"/>
      <c r="D422" s="4"/>
      <c r="E422" s="4"/>
      <c r="F422" s="4"/>
      <c r="G422" s="4"/>
      <c r="H422" s="4"/>
      <c r="I422" s="4"/>
      <c r="J422" s="4"/>
      <c r="K422" s="4"/>
      <c r="L422" s="4"/>
      <c r="M422" s="4"/>
      <c r="N422" s="6">
        <f ca="1">IFERROR(__xludf.DUMMYFUNCTION("""COMPUTED_VALUE"""),38)</f>
        <v>38</v>
      </c>
      <c r="O422" s="6">
        <f ca="1">IFERROR(__xludf.DUMMYFUNCTION("""COMPUTED_VALUE"""),39)</f>
        <v>39</v>
      </c>
      <c r="P422" s="4" t="str">
        <f ca="1">IFERROR(__xludf.DUMMYFUNCTION("""COMPUTED_VALUE"""),"")</f>
        <v/>
      </c>
      <c r="Q422" s="6">
        <f ca="1">IFERROR(__xludf.DUMMYFUNCTION("""COMPUTED_VALUE"""),769)</f>
        <v>769</v>
      </c>
      <c r="R422" s="4" t="str">
        <f ca="1">IFERROR(__xludf.DUMMYFUNCTION("""COMPUTED_VALUE"""),"")</f>
        <v/>
      </c>
      <c r="S422" s="6">
        <f ca="1">IFERROR(__xludf.DUMMYFUNCTION("""COMPUTED_VALUE"""),1865)</f>
        <v>1865</v>
      </c>
      <c r="T422" s="4"/>
      <c r="U422" s="4"/>
      <c r="V422" s="4"/>
      <c r="W422" s="4"/>
      <c r="X422" s="4"/>
      <c r="Y422" s="4"/>
      <c r="Z422" s="4"/>
      <c r="AA422" s="4"/>
      <c r="AB422" s="4"/>
    </row>
    <row r="423" spans="1:28" x14ac:dyDescent="0.2">
      <c r="A423" s="4" t="str">
        <f t="shared" si="2"/>
        <v/>
      </c>
      <c r="B423" s="4" t="str">
        <f t="shared" si="3"/>
        <v/>
      </c>
      <c r="C423" s="4"/>
      <c r="D423" s="4"/>
      <c r="E423" s="4"/>
      <c r="F423" s="4"/>
      <c r="G423" s="4"/>
      <c r="H423" s="4"/>
      <c r="I423" s="4"/>
      <c r="J423" s="4"/>
      <c r="K423" s="4"/>
      <c r="L423" s="4"/>
      <c r="M423" s="4"/>
      <c r="N423" s="6">
        <f ca="1">IFERROR(__xludf.DUMMYFUNCTION("""COMPUTED_VALUE"""),38)</f>
        <v>38</v>
      </c>
      <c r="O423" s="6">
        <f ca="1">IFERROR(__xludf.DUMMYFUNCTION("""COMPUTED_VALUE"""),39)</f>
        <v>39</v>
      </c>
      <c r="P423" s="4" t="str">
        <f ca="1">IFERROR(__xludf.DUMMYFUNCTION("""COMPUTED_VALUE"""),"")</f>
        <v/>
      </c>
      <c r="Q423" s="6">
        <f ca="1">IFERROR(__xludf.DUMMYFUNCTION("""COMPUTED_VALUE"""),769)</f>
        <v>769</v>
      </c>
      <c r="R423" s="4" t="str">
        <f ca="1">IFERROR(__xludf.DUMMYFUNCTION("""COMPUTED_VALUE"""),"")</f>
        <v/>
      </c>
      <c r="S423" s="6">
        <f ca="1">IFERROR(__xludf.DUMMYFUNCTION("""COMPUTED_VALUE"""),1865)</f>
        <v>1865</v>
      </c>
      <c r="T423" s="4"/>
      <c r="U423" s="4"/>
      <c r="V423" s="4"/>
      <c r="W423" s="4"/>
      <c r="X423" s="4"/>
      <c r="Y423" s="4"/>
      <c r="Z423" s="4"/>
      <c r="AA423" s="4"/>
      <c r="AB423" s="4"/>
    </row>
    <row r="424" spans="1:28" x14ac:dyDescent="0.2">
      <c r="A424" s="4" t="str">
        <f t="shared" si="2"/>
        <v/>
      </c>
      <c r="B424" s="4" t="str">
        <f t="shared" si="3"/>
        <v/>
      </c>
      <c r="C424" s="4"/>
      <c r="D424" s="4"/>
      <c r="E424" s="4"/>
      <c r="F424" s="4"/>
      <c r="G424" s="4"/>
      <c r="H424" s="4"/>
      <c r="I424" s="4"/>
      <c r="J424" s="4"/>
      <c r="K424" s="4"/>
      <c r="L424" s="4"/>
      <c r="M424" s="4"/>
      <c r="N424" s="6">
        <f ca="1">IFERROR(__xludf.DUMMYFUNCTION("""COMPUTED_VALUE"""),38)</f>
        <v>38</v>
      </c>
      <c r="O424" s="6">
        <f ca="1">IFERROR(__xludf.DUMMYFUNCTION("""COMPUTED_VALUE"""),39)</f>
        <v>39</v>
      </c>
      <c r="P424" s="4" t="str">
        <f ca="1">IFERROR(__xludf.DUMMYFUNCTION("""COMPUTED_VALUE"""),"")</f>
        <v/>
      </c>
      <c r="Q424" s="6">
        <f ca="1">IFERROR(__xludf.DUMMYFUNCTION("""COMPUTED_VALUE"""),769)</f>
        <v>769</v>
      </c>
      <c r="R424" s="4" t="str">
        <f ca="1">IFERROR(__xludf.DUMMYFUNCTION("""COMPUTED_VALUE"""),"")</f>
        <v/>
      </c>
      <c r="S424" s="6">
        <f ca="1">IFERROR(__xludf.DUMMYFUNCTION("""COMPUTED_VALUE"""),1865)</f>
        <v>1865</v>
      </c>
      <c r="T424" s="4"/>
      <c r="U424" s="4"/>
      <c r="V424" s="4"/>
      <c r="W424" s="4"/>
      <c r="X424" s="4"/>
      <c r="Y424" s="4"/>
      <c r="Z424" s="4"/>
      <c r="AA424" s="4"/>
      <c r="AB424" s="4"/>
    </row>
    <row r="425" spans="1:28" x14ac:dyDescent="0.2">
      <c r="A425" s="4" t="str">
        <f t="shared" si="2"/>
        <v/>
      </c>
      <c r="B425" s="4" t="str">
        <f t="shared" si="3"/>
        <v/>
      </c>
      <c r="C425" s="4"/>
      <c r="D425" s="4"/>
      <c r="E425" s="4"/>
      <c r="F425" s="4"/>
      <c r="G425" s="4"/>
      <c r="H425" s="4"/>
      <c r="I425" s="4"/>
      <c r="J425" s="4"/>
      <c r="K425" s="4"/>
      <c r="L425" s="4"/>
      <c r="M425" s="4"/>
      <c r="N425" s="6">
        <f ca="1">IFERROR(__xludf.DUMMYFUNCTION("""COMPUTED_VALUE"""),38)</f>
        <v>38</v>
      </c>
      <c r="O425" s="6">
        <f ca="1">IFERROR(__xludf.DUMMYFUNCTION("""COMPUTED_VALUE"""),39)</f>
        <v>39</v>
      </c>
      <c r="P425" s="4" t="str">
        <f ca="1">IFERROR(__xludf.DUMMYFUNCTION("""COMPUTED_VALUE"""),"")</f>
        <v/>
      </c>
      <c r="Q425" s="6">
        <f ca="1">IFERROR(__xludf.DUMMYFUNCTION("""COMPUTED_VALUE"""),769)</f>
        <v>769</v>
      </c>
      <c r="R425" s="4" t="str">
        <f ca="1">IFERROR(__xludf.DUMMYFUNCTION("""COMPUTED_VALUE"""),"")</f>
        <v/>
      </c>
      <c r="S425" s="6">
        <f ca="1">IFERROR(__xludf.DUMMYFUNCTION("""COMPUTED_VALUE"""),1865)</f>
        <v>1865</v>
      </c>
      <c r="T425" s="4"/>
      <c r="U425" s="4"/>
      <c r="V425" s="4"/>
      <c r="W425" s="4"/>
      <c r="X425" s="4"/>
      <c r="Y425" s="4"/>
      <c r="Z425" s="4"/>
      <c r="AA425" s="4"/>
      <c r="AB425" s="4"/>
    </row>
    <row r="426" spans="1:28" x14ac:dyDescent="0.2">
      <c r="A426" s="4" t="str">
        <f t="shared" si="2"/>
        <v/>
      </c>
      <c r="B426" s="4" t="str">
        <f t="shared" si="3"/>
        <v/>
      </c>
      <c r="C426" s="4"/>
      <c r="D426" s="4"/>
      <c r="E426" s="4"/>
      <c r="F426" s="4"/>
      <c r="G426" s="4"/>
      <c r="H426" s="4"/>
      <c r="I426" s="4"/>
      <c r="J426" s="4"/>
      <c r="K426" s="4"/>
      <c r="L426" s="4"/>
      <c r="M426" s="4"/>
      <c r="N426" s="6">
        <f ca="1">IFERROR(__xludf.DUMMYFUNCTION("""COMPUTED_VALUE"""),38)</f>
        <v>38</v>
      </c>
      <c r="O426" s="6">
        <f ca="1">IFERROR(__xludf.DUMMYFUNCTION("""COMPUTED_VALUE"""),39)</f>
        <v>39</v>
      </c>
      <c r="P426" s="4" t="str">
        <f ca="1">IFERROR(__xludf.DUMMYFUNCTION("""COMPUTED_VALUE"""),"")</f>
        <v/>
      </c>
      <c r="Q426" s="6">
        <f ca="1">IFERROR(__xludf.DUMMYFUNCTION("""COMPUTED_VALUE"""),769)</f>
        <v>769</v>
      </c>
      <c r="R426" s="4" t="str">
        <f ca="1">IFERROR(__xludf.DUMMYFUNCTION("""COMPUTED_VALUE"""),"")</f>
        <v/>
      </c>
      <c r="S426" s="6">
        <f ca="1">IFERROR(__xludf.DUMMYFUNCTION("""COMPUTED_VALUE"""),1865)</f>
        <v>1865</v>
      </c>
      <c r="T426" s="4"/>
      <c r="U426" s="4"/>
      <c r="V426" s="4"/>
      <c r="W426" s="4"/>
      <c r="X426" s="4"/>
      <c r="Y426" s="4"/>
      <c r="Z426" s="4"/>
      <c r="AA426" s="4"/>
      <c r="AB426" s="4"/>
    </row>
    <row r="427" spans="1:28" x14ac:dyDescent="0.2">
      <c r="A427" s="4" t="str">
        <f t="shared" si="2"/>
        <v/>
      </c>
      <c r="B427" s="4" t="str">
        <f t="shared" si="3"/>
        <v/>
      </c>
      <c r="C427" s="4"/>
      <c r="D427" s="4"/>
      <c r="E427" s="4"/>
      <c r="F427" s="4"/>
      <c r="G427" s="4"/>
      <c r="H427" s="4"/>
      <c r="I427" s="4"/>
      <c r="J427" s="4"/>
      <c r="K427" s="4"/>
      <c r="L427" s="4"/>
      <c r="M427" s="4"/>
      <c r="N427" s="6">
        <f ca="1">IFERROR(__xludf.DUMMYFUNCTION("""COMPUTED_VALUE"""),38)</f>
        <v>38</v>
      </c>
      <c r="O427" s="6">
        <f ca="1">IFERROR(__xludf.DUMMYFUNCTION("""COMPUTED_VALUE"""),39)</f>
        <v>39</v>
      </c>
      <c r="P427" s="4" t="str">
        <f ca="1">IFERROR(__xludf.DUMMYFUNCTION("""COMPUTED_VALUE"""),"")</f>
        <v/>
      </c>
      <c r="Q427" s="6">
        <f ca="1">IFERROR(__xludf.DUMMYFUNCTION("""COMPUTED_VALUE"""),769)</f>
        <v>769</v>
      </c>
      <c r="R427" s="4" t="str">
        <f ca="1">IFERROR(__xludf.DUMMYFUNCTION("""COMPUTED_VALUE"""),"")</f>
        <v/>
      </c>
      <c r="S427" s="6">
        <f ca="1">IFERROR(__xludf.DUMMYFUNCTION("""COMPUTED_VALUE"""),1865)</f>
        <v>1865</v>
      </c>
      <c r="T427" s="4"/>
      <c r="U427" s="4"/>
      <c r="V427" s="4"/>
      <c r="W427" s="4"/>
      <c r="X427" s="4"/>
      <c r="Y427" s="4"/>
      <c r="Z427" s="4"/>
      <c r="AA427" s="4"/>
      <c r="AB427" s="4"/>
    </row>
    <row r="428" spans="1:28" x14ac:dyDescent="0.2">
      <c r="A428" s="4" t="str">
        <f t="shared" si="2"/>
        <v/>
      </c>
      <c r="B428" s="4" t="str">
        <f t="shared" si="3"/>
        <v/>
      </c>
      <c r="C428" s="4"/>
      <c r="D428" s="4"/>
      <c r="E428" s="4"/>
      <c r="F428" s="4"/>
      <c r="G428" s="4"/>
      <c r="H428" s="4"/>
      <c r="I428" s="4"/>
      <c r="J428" s="4"/>
      <c r="K428" s="4"/>
      <c r="L428" s="4"/>
      <c r="M428" s="4"/>
      <c r="N428" s="6">
        <f ca="1">IFERROR(__xludf.DUMMYFUNCTION("""COMPUTED_VALUE"""),38)</f>
        <v>38</v>
      </c>
      <c r="O428" s="6">
        <f ca="1">IFERROR(__xludf.DUMMYFUNCTION("""COMPUTED_VALUE"""),39)</f>
        <v>39</v>
      </c>
      <c r="P428" s="4" t="str">
        <f ca="1">IFERROR(__xludf.DUMMYFUNCTION("""COMPUTED_VALUE"""),"")</f>
        <v/>
      </c>
      <c r="Q428" s="6">
        <f ca="1">IFERROR(__xludf.DUMMYFUNCTION("""COMPUTED_VALUE"""),769)</f>
        <v>769</v>
      </c>
      <c r="R428" s="4" t="str">
        <f ca="1">IFERROR(__xludf.DUMMYFUNCTION("""COMPUTED_VALUE"""),"")</f>
        <v/>
      </c>
      <c r="S428" s="6">
        <f ca="1">IFERROR(__xludf.DUMMYFUNCTION("""COMPUTED_VALUE"""),1865)</f>
        <v>1865</v>
      </c>
      <c r="T428" s="4"/>
      <c r="U428" s="4"/>
      <c r="V428" s="4"/>
      <c r="W428" s="4"/>
      <c r="X428" s="4"/>
      <c r="Y428" s="4"/>
      <c r="Z428" s="4"/>
      <c r="AA428" s="4"/>
      <c r="AB428" s="4"/>
    </row>
    <row r="429" spans="1:28" x14ac:dyDescent="0.2">
      <c r="A429" s="4" t="str">
        <f t="shared" si="2"/>
        <v/>
      </c>
      <c r="B429" s="4" t="str">
        <f t="shared" si="3"/>
        <v/>
      </c>
      <c r="C429" s="4"/>
      <c r="D429" s="4"/>
      <c r="E429" s="4"/>
      <c r="F429" s="4"/>
      <c r="G429" s="4"/>
      <c r="H429" s="4"/>
      <c r="I429" s="4"/>
      <c r="J429" s="4"/>
      <c r="K429" s="4"/>
      <c r="L429" s="4"/>
      <c r="M429" s="4"/>
      <c r="N429" s="6">
        <f ca="1">IFERROR(__xludf.DUMMYFUNCTION("""COMPUTED_VALUE"""),38)</f>
        <v>38</v>
      </c>
      <c r="O429" s="6">
        <f ca="1">IFERROR(__xludf.DUMMYFUNCTION("""COMPUTED_VALUE"""),39)</f>
        <v>39</v>
      </c>
      <c r="P429" s="4" t="str">
        <f ca="1">IFERROR(__xludf.DUMMYFUNCTION("""COMPUTED_VALUE"""),"")</f>
        <v/>
      </c>
      <c r="Q429" s="6">
        <f ca="1">IFERROR(__xludf.DUMMYFUNCTION("""COMPUTED_VALUE"""),769)</f>
        <v>769</v>
      </c>
      <c r="R429" s="4" t="str">
        <f ca="1">IFERROR(__xludf.DUMMYFUNCTION("""COMPUTED_VALUE"""),"")</f>
        <v/>
      </c>
      <c r="S429" s="6">
        <f ca="1">IFERROR(__xludf.DUMMYFUNCTION("""COMPUTED_VALUE"""),1865)</f>
        <v>1865</v>
      </c>
      <c r="T429" s="4"/>
      <c r="U429" s="4"/>
      <c r="V429" s="4"/>
      <c r="W429" s="4"/>
      <c r="X429" s="4"/>
      <c r="Y429" s="4"/>
      <c r="Z429" s="4"/>
      <c r="AA429" s="4"/>
      <c r="AB429" s="4"/>
    </row>
    <row r="430" spans="1:28" x14ac:dyDescent="0.2">
      <c r="A430" s="4" t="str">
        <f t="shared" si="2"/>
        <v/>
      </c>
      <c r="B430" s="4" t="str">
        <f t="shared" si="3"/>
        <v/>
      </c>
      <c r="C430" s="4"/>
      <c r="D430" s="4"/>
      <c r="E430" s="4"/>
      <c r="F430" s="4"/>
      <c r="G430" s="4"/>
      <c r="H430" s="4"/>
      <c r="I430" s="4"/>
      <c r="J430" s="4"/>
      <c r="K430" s="4"/>
      <c r="L430" s="4"/>
      <c r="M430" s="4"/>
      <c r="N430" s="6">
        <f ca="1">IFERROR(__xludf.DUMMYFUNCTION("""COMPUTED_VALUE"""),38)</f>
        <v>38</v>
      </c>
      <c r="O430" s="6">
        <f ca="1">IFERROR(__xludf.DUMMYFUNCTION("""COMPUTED_VALUE"""),39)</f>
        <v>39</v>
      </c>
      <c r="P430" s="4" t="str">
        <f ca="1">IFERROR(__xludf.DUMMYFUNCTION("""COMPUTED_VALUE"""),"")</f>
        <v/>
      </c>
      <c r="Q430" s="6">
        <f ca="1">IFERROR(__xludf.DUMMYFUNCTION("""COMPUTED_VALUE"""),769)</f>
        <v>769</v>
      </c>
      <c r="R430" s="4" t="str">
        <f ca="1">IFERROR(__xludf.DUMMYFUNCTION("""COMPUTED_VALUE"""),"")</f>
        <v/>
      </c>
      <c r="S430" s="6">
        <f ca="1">IFERROR(__xludf.DUMMYFUNCTION("""COMPUTED_VALUE"""),1865)</f>
        <v>1865</v>
      </c>
      <c r="T430" s="4"/>
      <c r="U430" s="4"/>
      <c r="V430" s="4"/>
      <c r="W430" s="4"/>
      <c r="X430" s="4"/>
      <c r="Y430" s="4"/>
      <c r="Z430" s="4"/>
      <c r="AA430" s="4"/>
      <c r="AB430" s="4"/>
    </row>
    <row r="431" spans="1:28" x14ac:dyDescent="0.2">
      <c r="A431" s="4" t="str">
        <f t="shared" si="2"/>
        <v/>
      </c>
      <c r="B431" s="4" t="str">
        <f t="shared" si="3"/>
        <v/>
      </c>
      <c r="C431" s="4"/>
      <c r="D431" s="4"/>
      <c r="E431" s="4"/>
      <c r="F431" s="4"/>
      <c r="G431" s="4"/>
      <c r="H431" s="4"/>
      <c r="I431" s="4"/>
      <c r="J431" s="4"/>
      <c r="K431" s="4"/>
      <c r="L431" s="4"/>
      <c r="M431" s="4"/>
      <c r="N431" s="6">
        <f ca="1">IFERROR(__xludf.DUMMYFUNCTION("""COMPUTED_VALUE"""),38)</f>
        <v>38</v>
      </c>
      <c r="O431" s="6">
        <f ca="1">IFERROR(__xludf.DUMMYFUNCTION("""COMPUTED_VALUE"""),39)</f>
        <v>39</v>
      </c>
      <c r="P431" s="4" t="str">
        <f ca="1">IFERROR(__xludf.DUMMYFUNCTION("""COMPUTED_VALUE"""),"")</f>
        <v/>
      </c>
      <c r="Q431" s="6">
        <f ca="1">IFERROR(__xludf.DUMMYFUNCTION("""COMPUTED_VALUE"""),769)</f>
        <v>769</v>
      </c>
      <c r="R431" s="4" t="str">
        <f ca="1">IFERROR(__xludf.DUMMYFUNCTION("""COMPUTED_VALUE"""),"")</f>
        <v/>
      </c>
      <c r="S431" s="6">
        <f ca="1">IFERROR(__xludf.DUMMYFUNCTION("""COMPUTED_VALUE"""),1865)</f>
        <v>1865</v>
      </c>
      <c r="T431" s="4"/>
      <c r="U431" s="4"/>
      <c r="V431" s="4"/>
      <c r="W431" s="4"/>
      <c r="X431" s="4"/>
      <c r="Y431" s="4"/>
      <c r="Z431" s="4"/>
      <c r="AA431" s="4"/>
      <c r="AB431" s="4"/>
    </row>
    <row r="432" spans="1:28" x14ac:dyDescent="0.2">
      <c r="A432" s="4" t="str">
        <f t="shared" si="2"/>
        <v/>
      </c>
      <c r="B432" s="4" t="str">
        <f t="shared" si="3"/>
        <v/>
      </c>
      <c r="C432" s="4"/>
      <c r="D432" s="4"/>
      <c r="E432" s="4"/>
      <c r="F432" s="4"/>
      <c r="G432" s="4"/>
      <c r="H432" s="4"/>
      <c r="I432" s="4"/>
      <c r="J432" s="4"/>
      <c r="K432" s="4"/>
      <c r="L432" s="4"/>
      <c r="M432" s="4"/>
      <c r="N432" s="6">
        <f ca="1">IFERROR(__xludf.DUMMYFUNCTION("""COMPUTED_VALUE"""),38)</f>
        <v>38</v>
      </c>
      <c r="O432" s="6">
        <f ca="1">IFERROR(__xludf.DUMMYFUNCTION("""COMPUTED_VALUE"""),39)</f>
        <v>39</v>
      </c>
      <c r="P432" s="4" t="str">
        <f ca="1">IFERROR(__xludf.DUMMYFUNCTION("""COMPUTED_VALUE"""),"")</f>
        <v/>
      </c>
      <c r="Q432" s="6">
        <f ca="1">IFERROR(__xludf.DUMMYFUNCTION("""COMPUTED_VALUE"""),769)</f>
        <v>769</v>
      </c>
      <c r="R432" s="4" t="str">
        <f ca="1">IFERROR(__xludf.DUMMYFUNCTION("""COMPUTED_VALUE"""),"")</f>
        <v/>
      </c>
      <c r="S432" s="6">
        <f ca="1">IFERROR(__xludf.DUMMYFUNCTION("""COMPUTED_VALUE"""),1865)</f>
        <v>1865</v>
      </c>
      <c r="T432" s="4"/>
      <c r="U432" s="4"/>
      <c r="V432" s="4"/>
      <c r="W432" s="4"/>
      <c r="X432" s="4"/>
      <c r="Y432" s="4"/>
      <c r="Z432" s="4"/>
      <c r="AA432" s="4"/>
      <c r="AB432" s="4"/>
    </row>
    <row r="433" spans="1:28" x14ac:dyDescent="0.2">
      <c r="A433" s="4" t="str">
        <f t="shared" si="2"/>
        <v/>
      </c>
      <c r="B433" s="4" t="str">
        <f t="shared" si="3"/>
        <v/>
      </c>
      <c r="C433" s="4"/>
      <c r="D433" s="4"/>
      <c r="E433" s="4"/>
      <c r="F433" s="4"/>
      <c r="G433" s="4"/>
      <c r="H433" s="4"/>
      <c r="I433" s="4"/>
      <c r="J433" s="4"/>
      <c r="K433" s="4"/>
      <c r="L433" s="4"/>
      <c r="M433" s="4"/>
      <c r="N433" s="6">
        <f ca="1">IFERROR(__xludf.DUMMYFUNCTION("""COMPUTED_VALUE"""),38)</f>
        <v>38</v>
      </c>
      <c r="O433" s="6">
        <f ca="1">IFERROR(__xludf.DUMMYFUNCTION("""COMPUTED_VALUE"""),39)</f>
        <v>39</v>
      </c>
      <c r="P433" s="4" t="str">
        <f ca="1">IFERROR(__xludf.DUMMYFUNCTION("""COMPUTED_VALUE"""),"")</f>
        <v/>
      </c>
      <c r="Q433" s="6">
        <f ca="1">IFERROR(__xludf.DUMMYFUNCTION("""COMPUTED_VALUE"""),769)</f>
        <v>769</v>
      </c>
      <c r="R433" s="4" t="str">
        <f ca="1">IFERROR(__xludf.DUMMYFUNCTION("""COMPUTED_VALUE"""),"")</f>
        <v/>
      </c>
      <c r="S433" s="6">
        <f ca="1">IFERROR(__xludf.DUMMYFUNCTION("""COMPUTED_VALUE"""),1865)</f>
        <v>1865</v>
      </c>
      <c r="T433" s="4"/>
      <c r="U433" s="4"/>
      <c r="V433" s="4"/>
      <c r="W433" s="4"/>
      <c r="X433" s="4"/>
      <c r="Y433" s="4"/>
      <c r="Z433" s="4"/>
      <c r="AA433" s="4"/>
      <c r="AB433" s="4"/>
    </row>
    <row r="434" spans="1:28" x14ac:dyDescent="0.2">
      <c r="A434" s="4" t="str">
        <f t="shared" si="2"/>
        <v/>
      </c>
      <c r="B434" s="4" t="str">
        <f t="shared" si="3"/>
        <v/>
      </c>
      <c r="C434" s="4"/>
      <c r="D434" s="4"/>
      <c r="E434" s="4"/>
      <c r="F434" s="4"/>
      <c r="G434" s="4"/>
      <c r="H434" s="4"/>
      <c r="I434" s="4"/>
      <c r="J434" s="4"/>
      <c r="K434" s="4"/>
      <c r="L434" s="4"/>
      <c r="M434" s="4"/>
      <c r="N434" s="6">
        <f ca="1">IFERROR(__xludf.DUMMYFUNCTION("""COMPUTED_VALUE"""),38)</f>
        <v>38</v>
      </c>
      <c r="O434" s="6">
        <f ca="1">IFERROR(__xludf.DUMMYFUNCTION("""COMPUTED_VALUE"""),39)</f>
        <v>39</v>
      </c>
      <c r="P434" s="4" t="str">
        <f ca="1">IFERROR(__xludf.DUMMYFUNCTION("""COMPUTED_VALUE"""),"")</f>
        <v/>
      </c>
      <c r="Q434" s="6">
        <f ca="1">IFERROR(__xludf.DUMMYFUNCTION("""COMPUTED_VALUE"""),769)</f>
        <v>769</v>
      </c>
      <c r="R434" s="4" t="str">
        <f ca="1">IFERROR(__xludf.DUMMYFUNCTION("""COMPUTED_VALUE"""),"")</f>
        <v/>
      </c>
      <c r="S434" s="6">
        <f ca="1">IFERROR(__xludf.DUMMYFUNCTION("""COMPUTED_VALUE"""),1865)</f>
        <v>1865</v>
      </c>
      <c r="T434" s="4"/>
      <c r="U434" s="4"/>
      <c r="V434" s="4"/>
      <c r="W434" s="4"/>
      <c r="X434" s="4"/>
      <c r="Y434" s="4"/>
      <c r="Z434" s="4"/>
      <c r="AA434" s="4"/>
      <c r="AB434" s="4"/>
    </row>
    <row r="435" spans="1:28" x14ac:dyDescent="0.2">
      <c r="A435" s="4" t="str">
        <f t="shared" si="2"/>
        <v/>
      </c>
      <c r="B435" s="4" t="str">
        <f t="shared" si="3"/>
        <v/>
      </c>
      <c r="C435" s="4"/>
      <c r="D435" s="4"/>
      <c r="E435" s="4"/>
      <c r="F435" s="4"/>
      <c r="G435" s="4"/>
      <c r="H435" s="4"/>
      <c r="I435" s="4"/>
      <c r="J435" s="4"/>
      <c r="K435" s="4"/>
      <c r="L435" s="4"/>
      <c r="M435" s="4"/>
      <c r="N435" s="6">
        <f ca="1">IFERROR(__xludf.DUMMYFUNCTION("""COMPUTED_VALUE"""),38)</f>
        <v>38</v>
      </c>
      <c r="O435" s="6">
        <f ca="1">IFERROR(__xludf.DUMMYFUNCTION("""COMPUTED_VALUE"""),39)</f>
        <v>39</v>
      </c>
      <c r="P435" s="4" t="str">
        <f ca="1">IFERROR(__xludf.DUMMYFUNCTION("""COMPUTED_VALUE"""),"")</f>
        <v/>
      </c>
      <c r="Q435" s="6">
        <f ca="1">IFERROR(__xludf.DUMMYFUNCTION("""COMPUTED_VALUE"""),769)</f>
        <v>769</v>
      </c>
      <c r="R435" s="4" t="str">
        <f ca="1">IFERROR(__xludf.DUMMYFUNCTION("""COMPUTED_VALUE"""),"")</f>
        <v/>
      </c>
      <c r="S435" s="6">
        <f ca="1">IFERROR(__xludf.DUMMYFUNCTION("""COMPUTED_VALUE"""),1865)</f>
        <v>1865</v>
      </c>
      <c r="T435" s="4"/>
      <c r="U435" s="4"/>
      <c r="V435" s="4"/>
      <c r="W435" s="4"/>
      <c r="X435" s="4"/>
      <c r="Y435" s="4"/>
      <c r="Z435" s="4"/>
      <c r="AA435" s="4"/>
      <c r="AB435" s="4"/>
    </row>
    <row r="436" spans="1:28" x14ac:dyDescent="0.2">
      <c r="A436" s="4" t="str">
        <f t="shared" si="2"/>
        <v/>
      </c>
      <c r="B436" s="4" t="str">
        <f t="shared" si="3"/>
        <v/>
      </c>
      <c r="C436" s="4"/>
      <c r="D436" s="4"/>
      <c r="E436" s="4"/>
      <c r="F436" s="4"/>
      <c r="G436" s="4"/>
      <c r="H436" s="4"/>
      <c r="I436" s="4"/>
      <c r="J436" s="4"/>
      <c r="K436" s="4"/>
      <c r="L436" s="4"/>
      <c r="M436" s="4"/>
      <c r="N436" s="6">
        <f ca="1">IFERROR(__xludf.DUMMYFUNCTION("""COMPUTED_VALUE"""),38)</f>
        <v>38</v>
      </c>
      <c r="O436" s="6">
        <f ca="1">IFERROR(__xludf.DUMMYFUNCTION("""COMPUTED_VALUE"""),39)</f>
        <v>39</v>
      </c>
      <c r="P436" s="4" t="str">
        <f ca="1">IFERROR(__xludf.DUMMYFUNCTION("""COMPUTED_VALUE"""),"")</f>
        <v/>
      </c>
      <c r="Q436" s="6">
        <f ca="1">IFERROR(__xludf.DUMMYFUNCTION("""COMPUTED_VALUE"""),769)</f>
        <v>769</v>
      </c>
      <c r="R436" s="4" t="str">
        <f ca="1">IFERROR(__xludf.DUMMYFUNCTION("""COMPUTED_VALUE"""),"")</f>
        <v/>
      </c>
      <c r="S436" s="6">
        <f ca="1">IFERROR(__xludf.DUMMYFUNCTION("""COMPUTED_VALUE"""),1865)</f>
        <v>1865</v>
      </c>
      <c r="T436" s="4"/>
      <c r="U436" s="4"/>
      <c r="V436" s="4"/>
      <c r="W436" s="4"/>
      <c r="X436" s="4"/>
      <c r="Y436" s="4"/>
      <c r="Z436" s="4"/>
      <c r="AA436" s="4"/>
      <c r="AB436" s="4"/>
    </row>
    <row r="437" spans="1:28" x14ac:dyDescent="0.2">
      <c r="A437" s="4" t="str">
        <f t="shared" si="2"/>
        <v/>
      </c>
      <c r="B437" s="4" t="str">
        <f t="shared" si="3"/>
        <v/>
      </c>
      <c r="C437" s="4"/>
      <c r="D437" s="4"/>
      <c r="E437" s="4"/>
      <c r="F437" s="4"/>
      <c r="G437" s="4"/>
      <c r="H437" s="4"/>
      <c r="I437" s="4"/>
      <c r="J437" s="4"/>
      <c r="K437" s="4"/>
      <c r="L437" s="4"/>
      <c r="M437" s="4"/>
      <c r="N437" s="6">
        <f ca="1">IFERROR(__xludf.DUMMYFUNCTION("""COMPUTED_VALUE"""),38)</f>
        <v>38</v>
      </c>
      <c r="O437" s="6">
        <f ca="1">IFERROR(__xludf.DUMMYFUNCTION("""COMPUTED_VALUE"""),39)</f>
        <v>39</v>
      </c>
      <c r="P437" s="4" t="str">
        <f ca="1">IFERROR(__xludf.DUMMYFUNCTION("""COMPUTED_VALUE"""),"")</f>
        <v/>
      </c>
      <c r="Q437" s="6">
        <f ca="1">IFERROR(__xludf.DUMMYFUNCTION("""COMPUTED_VALUE"""),769)</f>
        <v>769</v>
      </c>
      <c r="R437" s="4" t="str">
        <f ca="1">IFERROR(__xludf.DUMMYFUNCTION("""COMPUTED_VALUE"""),"")</f>
        <v/>
      </c>
      <c r="S437" s="6">
        <f ca="1">IFERROR(__xludf.DUMMYFUNCTION("""COMPUTED_VALUE"""),1865)</f>
        <v>1865</v>
      </c>
      <c r="T437" s="4"/>
      <c r="U437" s="4"/>
      <c r="V437" s="4"/>
      <c r="W437" s="4"/>
      <c r="X437" s="4"/>
      <c r="Y437" s="4"/>
      <c r="Z437" s="4"/>
      <c r="AA437" s="4"/>
      <c r="AB437" s="4"/>
    </row>
    <row r="438" spans="1:28" x14ac:dyDescent="0.2">
      <c r="A438" s="4" t="str">
        <f t="shared" si="2"/>
        <v/>
      </c>
      <c r="B438" s="4" t="str">
        <f t="shared" si="3"/>
        <v/>
      </c>
      <c r="C438" s="4"/>
      <c r="D438" s="4"/>
      <c r="E438" s="4"/>
      <c r="F438" s="4"/>
      <c r="G438" s="4"/>
      <c r="H438" s="4"/>
      <c r="I438" s="4"/>
      <c r="J438" s="4"/>
      <c r="K438" s="4"/>
      <c r="L438" s="4"/>
      <c r="M438" s="4"/>
      <c r="N438" s="6">
        <f ca="1">IFERROR(__xludf.DUMMYFUNCTION("""COMPUTED_VALUE"""),38)</f>
        <v>38</v>
      </c>
      <c r="O438" s="6">
        <f ca="1">IFERROR(__xludf.DUMMYFUNCTION("""COMPUTED_VALUE"""),39)</f>
        <v>39</v>
      </c>
      <c r="P438" s="4" t="str">
        <f ca="1">IFERROR(__xludf.DUMMYFUNCTION("""COMPUTED_VALUE"""),"")</f>
        <v/>
      </c>
      <c r="Q438" s="6">
        <f ca="1">IFERROR(__xludf.DUMMYFUNCTION("""COMPUTED_VALUE"""),769)</f>
        <v>769</v>
      </c>
      <c r="R438" s="4" t="str">
        <f ca="1">IFERROR(__xludf.DUMMYFUNCTION("""COMPUTED_VALUE"""),"")</f>
        <v/>
      </c>
      <c r="S438" s="6">
        <f ca="1">IFERROR(__xludf.DUMMYFUNCTION("""COMPUTED_VALUE"""),1865)</f>
        <v>1865</v>
      </c>
      <c r="T438" s="4"/>
      <c r="U438" s="4"/>
      <c r="V438" s="4"/>
      <c r="W438" s="4"/>
      <c r="X438" s="4"/>
      <c r="Y438" s="4"/>
      <c r="Z438" s="4"/>
      <c r="AA438" s="4"/>
      <c r="AB438" s="4"/>
    </row>
    <row r="439" spans="1:28" x14ac:dyDescent="0.2">
      <c r="A439" s="4" t="str">
        <f t="shared" si="2"/>
        <v/>
      </c>
      <c r="B439" s="4" t="str">
        <f t="shared" si="3"/>
        <v/>
      </c>
      <c r="C439" s="4"/>
      <c r="D439" s="4"/>
      <c r="E439" s="4"/>
      <c r="F439" s="4"/>
      <c r="G439" s="4"/>
      <c r="H439" s="4"/>
      <c r="I439" s="4"/>
      <c r="J439" s="4"/>
      <c r="K439" s="4"/>
      <c r="L439" s="4"/>
      <c r="M439" s="4"/>
      <c r="N439" s="6">
        <f ca="1">IFERROR(__xludf.DUMMYFUNCTION("""COMPUTED_VALUE"""),38)</f>
        <v>38</v>
      </c>
      <c r="O439" s="6">
        <f ca="1">IFERROR(__xludf.DUMMYFUNCTION("""COMPUTED_VALUE"""),39)</f>
        <v>39</v>
      </c>
      <c r="P439" s="4" t="str">
        <f ca="1">IFERROR(__xludf.DUMMYFUNCTION("""COMPUTED_VALUE"""),"")</f>
        <v/>
      </c>
      <c r="Q439" s="6">
        <f ca="1">IFERROR(__xludf.DUMMYFUNCTION("""COMPUTED_VALUE"""),769)</f>
        <v>769</v>
      </c>
      <c r="R439" s="4" t="str">
        <f ca="1">IFERROR(__xludf.DUMMYFUNCTION("""COMPUTED_VALUE"""),"")</f>
        <v/>
      </c>
      <c r="S439" s="6">
        <f ca="1">IFERROR(__xludf.DUMMYFUNCTION("""COMPUTED_VALUE"""),1865)</f>
        <v>1865</v>
      </c>
      <c r="T439" s="4"/>
      <c r="U439" s="4"/>
      <c r="V439" s="4"/>
      <c r="W439" s="4"/>
      <c r="X439" s="4"/>
      <c r="Y439" s="4"/>
      <c r="Z439" s="4"/>
      <c r="AA439" s="4"/>
      <c r="AB439" s="4"/>
    </row>
    <row r="440" spans="1:28" x14ac:dyDescent="0.2">
      <c r="A440" s="4" t="str">
        <f t="shared" si="2"/>
        <v/>
      </c>
      <c r="B440" s="4" t="str">
        <f t="shared" si="3"/>
        <v/>
      </c>
      <c r="C440" s="4"/>
      <c r="D440" s="4"/>
      <c r="E440" s="4"/>
      <c r="F440" s="4"/>
      <c r="G440" s="4"/>
      <c r="H440" s="4"/>
      <c r="I440" s="4"/>
      <c r="J440" s="4"/>
      <c r="K440" s="4"/>
      <c r="L440" s="4"/>
      <c r="M440" s="4"/>
      <c r="N440" s="6">
        <f ca="1">IFERROR(__xludf.DUMMYFUNCTION("""COMPUTED_VALUE"""),38)</f>
        <v>38</v>
      </c>
      <c r="O440" s="6">
        <f ca="1">IFERROR(__xludf.DUMMYFUNCTION("""COMPUTED_VALUE"""),39)</f>
        <v>39</v>
      </c>
      <c r="P440" s="4" t="str">
        <f ca="1">IFERROR(__xludf.DUMMYFUNCTION("""COMPUTED_VALUE"""),"")</f>
        <v/>
      </c>
      <c r="Q440" s="6">
        <f ca="1">IFERROR(__xludf.DUMMYFUNCTION("""COMPUTED_VALUE"""),769)</f>
        <v>769</v>
      </c>
      <c r="R440" s="4" t="str">
        <f ca="1">IFERROR(__xludf.DUMMYFUNCTION("""COMPUTED_VALUE"""),"")</f>
        <v/>
      </c>
      <c r="S440" s="6">
        <f ca="1">IFERROR(__xludf.DUMMYFUNCTION("""COMPUTED_VALUE"""),1865)</f>
        <v>1865</v>
      </c>
      <c r="T440" s="4"/>
      <c r="U440" s="4"/>
      <c r="V440" s="4"/>
      <c r="W440" s="4"/>
      <c r="X440" s="4"/>
      <c r="Y440" s="4"/>
      <c r="Z440" s="4"/>
      <c r="AA440" s="4"/>
      <c r="AB440" s="4"/>
    </row>
    <row r="441" spans="1:28" x14ac:dyDescent="0.2">
      <c r="A441" s="4" t="str">
        <f t="shared" si="2"/>
        <v/>
      </c>
      <c r="B441" s="4" t="str">
        <f t="shared" si="3"/>
        <v/>
      </c>
      <c r="C441" s="4"/>
      <c r="D441" s="4"/>
      <c r="E441" s="4"/>
      <c r="F441" s="4"/>
      <c r="G441" s="4"/>
      <c r="H441" s="4"/>
      <c r="I441" s="4"/>
      <c r="J441" s="4"/>
      <c r="K441" s="4"/>
      <c r="L441" s="4"/>
      <c r="M441" s="4"/>
      <c r="N441" s="6">
        <f ca="1">IFERROR(__xludf.DUMMYFUNCTION("""COMPUTED_VALUE"""),38)</f>
        <v>38</v>
      </c>
      <c r="O441" s="6">
        <f ca="1">IFERROR(__xludf.DUMMYFUNCTION("""COMPUTED_VALUE"""),39)</f>
        <v>39</v>
      </c>
      <c r="P441" s="4" t="str">
        <f ca="1">IFERROR(__xludf.DUMMYFUNCTION("""COMPUTED_VALUE"""),"")</f>
        <v/>
      </c>
      <c r="Q441" s="6">
        <f ca="1">IFERROR(__xludf.DUMMYFUNCTION("""COMPUTED_VALUE"""),769)</f>
        <v>769</v>
      </c>
      <c r="R441" s="4" t="str">
        <f ca="1">IFERROR(__xludf.DUMMYFUNCTION("""COMPUTED_VALUE"""),"")</f>
        <v/>
      </c>
      <c r="S441" s="6">
        <f ca="1">IFERROR(__xludf.DUMMYFUNCTION("""COMPUTED_VALUE"""),1865)</f>
        <v>1865</v>
      </c>
      <c r="T441" s="4"/>
      <c r="U441" s="4"/>
      <c r="V441" s="4"/>
      <c r="W441" s="4"/>
      <c r="X441" s="4"/>
      <c r="Y441" s="4"/>
      <c r="Z441" s="4"/>
      <c r="AA441" s="4"/>
      <c r="AB441" s="4"/>
    </row>
    <row r="442" spans="1:28" x14ac:dyDescent="0.2">
      <c r="A442" s="4" t="str">
        <f t="shared" si="2"/>
        <v/>
      </c>
      <c r="B442" s="4" t="str">
        <f t="shared" si="3"/>
        <v/>
      </c>
      <c r="C442" s="4"/>
      <c r="D442" s="4"/>
      <c r="E442" s="4"/>
      <c r="F442" s="4"/>
      <c r="G442" s="4"/>
      <c r="H442" s="4"/>
      <c r="I442" s="4"/>
      <c r="J442" s="4"/>
      <c r="K442" s="4"/>
      <c r="L442" s="4"/>
      <c r="M442" s="4"/>
      <c r="N442" s="6">
        <f ca="1">IFERROR(__xludf.DUMMYFUNCTION("""COMPUTED_VALUE"""),38)</f>
        <v>38</v>
      </c>
      <c r="O442" s="6">
        <f ca="1">IFERROR(__xludf.DUMMYFUNCTION("""COMPUTED_VALUE"""),39)</f>
        <v>39</v>
      </c>
      <c r="P442" s="4" t="str">
        <f ca="1">IFERROR(__xludf.DUMMYFUNCTION("""COMPUTED_VALUE"""),"")</f>
        <v/>
      </c>
      <c r="Q442" s="6">
        <f ca="1">IFERROR(__xludf.DUMMYFUNCTION("""COMPUTED_VALUE"""),769)</f>
        <v>769</v>
      </c>
      <c r="R442" s="4" t="str">
        <f ca="1">IFERROR(__xludf.DUMMYFUNCTION("""COMPUTED_VALUE"""),"")</f>
        <v/>
      </c>
      <c r="S442" s="6">
        <f ca="1">IFERROR(__xludf.DUMMYFUNCTION("""COMPUTED_VALUE"""),1865)</f>
        <v>1865</v>
      </c>
      <c r="T442" s="4"/>
      <c r="U442" s="4"/>
      <c r="V442" s="4"/>
      <c r="W442" s="4"/>
      <c r="X442" s="4"/>
      <c r="Y442" s="4"/>
      <c r="Z442" s="4"/>
      <c r="AA442" s="4"/>
      <c r="AB442" s="4"/>
    </row>
    <row r="443" spans="1:28" x14ac:dyDescent="0.2">
      <c r="A443" s="4" t="str">
        <f t="shared" si="2"/>
        <v/>
      </c>
      <c r="B443" s="4" t="str">
        <f t="shared" si="3"/>
        <v/>
      </c>
      <c r="C443" s="4"/>
      <c r="D443" s="4"/>
      <c r="E443" s="4"/>
      <c r="F443" s="4"/>
      <c r="G443" s="4"/>
      <c r="H443" s="4"/>
      <c r="I443" s="4"/>
      <c r="J443" s="4"/>
      <c r="K443" s="4"/>
      <c r="L443" s="4"/>
      <c r="M443" s="4"/>
      <c r="N443" s="6">
        <f ca="1">IFERROR(__xludf.DUMMYFUNCTION("""COMPUTED_VALUE"""),38)</f>
        <v>38</v>
      </c>
      <c r="O443" s="6">
        <f ca="1">IFERROR(__xludf.DUMMYFUNCTION("""COMPUTED_VALUE"""),39)</f>
        <v>39</v>
      </c>
      <c r="P443" s="4" t="str">
        <f ca="1">IFERROR(__xludf.DUMMYFUNCTION("""COMPUTED_VALUE"""),"")</f>
        <v/>
      </c>
      <c r="Q443" s="6">
        <f ca="1">IFERROR(__xludf.DUMMYFUNCTION("""COMPUTED_VALUE"""),769)</f>
        <v>769</v>
      </c>
      <c r="R443" s="4" t="str">
        <f ca="1">IFERROR(__xludf.DUMMYFUNCTION("""COMPUTED_VALUE"""),"")</f>
        <v/>
      </c>
      <c r="S443" s="6">
        <f ca="1">IFERROR(__xludf.DUMMYFUNCTION("""COMPUTED_VALUE"""),1865)</f>
        <v>1865</v>
      </c>
      <c r="T443" s="4"/>
      <c r="U443" s="4"/>
      <c r="V443" s="4"/>
      <c r="W443" s="4"/>
      <c r="X443" s="4"/>
      <c r="Y443" s="4"/>
      <c r="Z443" s="4"/>
      <c r="AA443" s="4"/>
      <c r="AB443" s="4"/>
    </row>
    <row r="444" spans="1:28" x14ac:dyDescent="0.2">
      <c r="A444" s="4" t="str">
        <f t="shared" si="2"/>
        <v/>
      </c>
      <c r="B444" s="4" t="str">
        <f t="shared" si="3"/>
        <v/>
      </c>
      <c r="C444" s="4"/>
      <c r="D444" s="4"/>
      <c r="E444" s="4"/>
      <c r="F444" s="4"/>
      <c r="G444" s="4"/>
      <c r="H444" s="4"/>
      <c r="I444" s="4"/>
      <c r="J444" s="4"/>
      <c r="K444" s="4"/>
      <c r="L444" s="4"/>
      <c r="M444" s="4"/>
      <c r="N444" s="6">
        <f ca="1">IFERROR(__xludf.DUMMYFUNCTION("""COMPUTED_VALUE"""),38)</f>
        <v>38</v>
      </c>
      <c r="O444" s="6">
        <f ca="1">IFERROR(__xludf.DUMMYFUNCTION("""COMPUTED_VALUE"""),39)</f>
        <v>39</v>
      </c>
      <c r="P444" s="4" t="str">
        <f ca="1">IFERROR(__xludf.DUMMYFUNCTION("""COMPUTED_VALUE"""),"")</f>
        <v/>
      </c>
      <c r="Q444" s="6">
        <f ca="1">IFERROR(__xludf.DUMMYFUNCTION("""COMPUTED_VALUE"""),769)</f>
        <v>769</v>
      </c>
      <c r="R444" s="4" t="str">
        <f ca="1">IFERROR(__xludf.DUMMYFUNCTION("""COMPUTED_VALUE"""),"")</f>
        <v/>
      </c>
      <c r="S444" s="6">
        <f ca="1">IFERROR(__xludf.DUMMYFUNCTION("""COMPUTED_VALUE"""),1865)</f>
        <v>1865</v>
      </c>
      <c r="T444" s="4"/>
      <c r="U444" s="4"/>
      <c r="V444" s="4"/>
      <c r="W444" s="4"/>
      <c r="X444" s="4"/>
      <c r="Y444" s="4"/>
      <c r="Z444" s="4"/>
      <c r="AA444" s="4"/>
      <c r="AB444" s="4"/>
    </row>
    <row r="445" spans="1:28" x14ac:dyDescent="0.2">
      <c r="A445" s="4" t="str">
        <f t="shared" si="2"/>
        <v/>
      </c>
      <c r="B445" s="4" t="str">
        <f t="shared" si="3"/>
        <v/>
      </c>
      <c r="C445" s="4"/>
      <c r="D445" s="4"/>
      <c r="E445" s="4"/>
      <c r="F445" s="4"/>
      <c r="G445" s="4"/>
      <c r="H445" s="4"/>
      <c r="I445" s="4"/>
      <c r="J445" s="4"/>
      <c r="K445" s="4"/>
      <c r="L445" s="4"/>
      <c r="M445" s="4"/>
      <c r="N445" s="6">
        <f ca="1">IFERROR(__xludf.DUMMYFUNCTION("""COMPUTED_VALUE"""),38)</f>
        <v>38</v>
      </c>
      <c r="O445" s="6">
        <f ca="1">IFERROR(__xludf.DUMMYFUNCTION("""COMPUTED_VALUE"""),39)</f>
        <v>39</v>
      </c>
      <c r="P445" s="4" t="str">
        <f ca="1">IFERROR(__xludf.DUMMYFUNCTION("""COMPUTED_VALUE"""),"")</f>
        <v/>
      </c>
      <c r="Q445" s="6">
        <f ca="1">IFERROR(__xludf.DUMMYFUNCTION("""COMPUTED_VALUE"""),769)</f>
        <v>769</v>
      </c>
      <c r="R445" s="4" t="str">
        <f ca="1">IFERROR(__xludf.DUMMYFUNCTION("""COMPUTED_VALUE"""),"")</f>
        <v/>
      </c>
      <c r="S445" s="6">
        <f ca="1">IFERROR(__xludf.DUMMYFUNCTION("""COMPUTED_VALUE"""),1865)</f>
        <v>1865</v>
      </c>
      <c r="T445" s="4"/>
      <c r="U445" s="4"/>
      <c r="V445" s="4"/>
      <c r="W445" s="4"/>
      <c r="X445" s="4"/>
      <c r="Y445" s="4"/>
      <c r="Z445" s="4"/>
      <c r="AA445" s="4"/>
      <c r="AB445" s="4"/>
    </row>
    <row r="446" spans="1:28" x14ac:dyDescent="0.2">
      <c r="A446" s="4" t="str">
        <f t="shared" si="2"/>
        <v/>
      </c>
      <c r="B446" s="4" t="str">
        <f t="shared" si="3"/>
        <v/>
      </c>
      <c r="C446" s="4"/>
      <c r="D446" s="4"/>
      <c r="E446" s="4"/>
      <c r="F446" s="4"/>
      <c r="G446" s="4"/>
      <c r="H446" s="4"/>
      <c r="I446" s="4"/>
      <c r="J446" s="4"/>
      <c r="K446" s="4"/>
      <c r="L446" s="4"/>
      <c r="M446" s="4"/>
      <c r="N446" s="6">
        <f ca="1">IFERROR(__xludf.DUMMYFUNCTION("""COMPUTED_VALUE"""),38)</f>
        <v>38</v>
      </c>
      <c r="O446" s="6">
        <f ca="1">IFERROR(__xludf.DUMMYFUNCTION("""COMPUTED_VALUE"""),39)</f>
        <v>39</v>
      </c>
      <c r="P446" s="4" t="str">
        <f ca="1">IFERROR(__xludf.DUMMYFUNCTION("""COMPUTED_VALUE"""),"")</f>
        <v/>
      </c>
      <c r="Q446" s="6">
        <f ca="1">IFERROR(__xludf.DUMMYFUNCTION("""COMPUTED_VALUE"""),769)</f>
        <v>769</v>
      </c>
      <c r="R446" s="4" t="str">
        <f ca="1">IFERROR(__xludf.DUMMYFUNCTION("""COMPUTED_VALUE"""),"")</f>
        <v/>
      </c>
      <c r="S446" s="6">
        <f ca="1">IFERROR(__xludf.DUMMYFUNCTION("""COMPUTED_VALUE"""),1865)</f>
        <v>1865</v>
      </c>
      <c r="T446" s="4"/>
      <c r="U446" s="4"/>
      <c r="V446" s="4"/>
      <c r="W446" s="4"/>
      <c r="X446" s="4"/>
      <c r="Y446" s="4"/>
      <c r="Z446" s="4"/>
      <c r="AA446" s="4"/>
      <c r="AB446" s="4"/>
    </row>
    <row r="447" spans="1:28" x14ac:dyDescent="0.2">
      <c r="A447" s="4" t="str">
        <f t="shared" si="2"/>
        <v/>
      </c>
      <c r="B447" s="4" t="str">
        <f t="shared" si="3"/>
        <v/>
      </c>
      <c r="C447" s="4"/>
      <c r="D447" s="4"/>
      <c r="E447" s="4"/>
      <c r="F447" s="4"/>
      <c r="G447" s="4"/>
      <c r="H447" s="4"/>
      <c r="I447" s="4"/>
      <c r="J447" s="4"/>
      <c r="K447" s="4"/>
      <c r="L447" s="4"/>
      <c r="M447" s="4"/>
      <c r="N447" s="6">
        <f ca="1">IFERROR(__xludf.DUMMYFUNCTION("""COMPUTED_VALUE"""),38)</f>
        <v>38</v>
      </c>
      <c r="O447" s="6">
        <f ca="1">IFERROR(__xludf.DUMMYFUNCTION("""COMPUTED_VALUE"""),39)</f>
        <v>39</v>
      </c>
      <c r="P447" s="4" t="str">
        <f ca="1">IFERROR(__xludf.DUMMYFUNCTION("""COMPUTED_VALUE"""),"")</f>
        <v/>
      </c>
      <c r="Q447" s="6">
        <f ca="1">IFERROR(__xludf.DUMMYFUNCTION("""COMPUTED_VALUE"""),769)</f>
        <v>769</v>
      </c>
      <c r="R447" s="4" t="str">
        <f ca="1">IFERROR(__xludf.DUMMYFUNCTION("""COMPUTED_VALUE"""),"")</f>
        <v/>
      </c>
      <c r="S447" s="6">
        <f ca="1">IFERROR(__xludf.DUMMYFUNCTION("""COMPUTED_VALUE"""),1865)</f>
        <v>1865</v>
      </c>
      <c r="T447" s="4"/>
      <c r="U447" s="4"/>
      <c r="V447" s="4"/>
      <c r="W447" s="4"/>
      <c r="X447" s="4"/>
      <c r="Y447" s="4"/>
      <c r="Z447" s="4"/>
      <c r="AA447" s="4"/>
      <c r="AB447" s="4"/>
    </row>
    <row r="448" spans="1:28" x14ac:dyDescent="0.2">
      <c r="A448" s="4" t="str">
        <f t="shared" si="2"/>
        <v/>
      </c>
      <c r="B448" s="4" t="str">
        <f t="shared" si="3"/>
        <v/>
      </c>
      <c r="C448" s="4"/>
      <c r="D448" s="4"/>
      <c r="E448" s="4"/>
      <c r="F448" s="4"/>
      <c r="G448" s="4"/>
      <c r="H448" s="4"/>
      <c r="I448" s="4"/>
      <c r="J448" s="4"/>
      <c r="K448" s="4"/>
      <c r="L448" s="4"/>
      <c r="M448" s="4"/>
      <c r="N448" s="6">
        <f ca="1">IFERROR(__xludf.DUMMYFUNCTION("""COMPUTED_VALUE"""),38)</f>
        <v>38</v>
      </c>
      <c r="O448" s="6">
        <f ca="1">IFERROR(__xludf.DUMMYFUNCTION("""COMPUTED_VALUE"""),39)</f>
        <v>39</v>
      </c>
      <c r="P448" s="4" t="str">
        <f ca="1">IFERROR(__xludf.DUMMYFUNCTION("""COMPUTED_VALUE"""),"")</f>
        <v/>
      </c>
      <c r="Q448" s="6">
        <f ca="1">IFERROR(__xludf.DUMMYFUNCTION("""COMPUTED_VALUE"""),769)</f>
        <v>769</v>
      </c>
      <c r="R448" s="4" t="str">
        <f ca="1">IFERROR(__xludf.DUMMYFUNCTION("""COMPUTED_VALUE"""),"")</f>
        <v/>
      </c>
      <c r="S448" s="6">
        <f ca="1">IFERROR(__xludf.DUMMYFUNCTION("""COMPUTED_VALUE"""),1865)</f>
        <v>1865</v>
      </c>
      <c r="T448" s="4"/>
      <c r="U448" s="4"/>
      <c r="V448" s="4"/>
      <c r="W448" s="4"/>
      <c r="X448" s="4"/>
      <c r="Y448" s="4"/>
      <c r="Z448" s="4"/>
      <c r="AA448" s="4"/>
      <c r="AB448" s="4"/>
    </row>
    <row r="449" spans="1:28" x14ac:dyDescent="0.2">
      <c r="A449" s="4" t="str">
        <f t="shared" si="2"/>
        <v/>
      </c>
      <c r="B449" s="4" t="str">
        <f t="shared" si="3"/>
        <v/>
      </c>
      <c r="C449" s="4"/>
      <c r="D449" s="4"/>
      <c r="E449" s="4"/>
      <c r="F449" s="4"/>
      <c r="G449" s="4"/>
      <c r="H449" s="4"/>
      <c r="I449" s="4"/>
      <c r="J449" s="4"/>
      <c r="K449" s="4"/>
      <c r="L449" s="4"/>
      <c r="M449" s="4"/>
      <c r="N449" s="6">
        <f ca="1">IFERROR(__xludf.DUMMYFUNCTION("""COMPUTED_VALUE"""),38)</f>
        <v>38</v>
      </c>
      <c r="O449" s="6">
        <f ca="1">IFERROR(__xludf.DUMMYFUNCTION("""COMPUTED_VALUE"""),39)</f>
        <v>39</v>
      </c>
      <c r="P449" s="4" t="str">
        <f ca="1">IFERROR(__xludf.DUMMYFUNCTION("""COMPUTED_VALUE"""),"")</f>
        <v/>
      </c>
      <c r="Q449" s="6">
        <f ca="1">IFERROR(__xludf.DUMMYFUNCTION("""COMPUTED_VALUE"""),769)</f>
        <v>769</v>
      </c>
      <c r="R449" s="4" t="str">
        <f ca="1">IFERROR(__xludf.DUMMYFUNCTION("""COMPUTED_VALUE"""),"")</f>
        <v/>
      </c>
      <c r="S449" s="6">
        <f ca="1">IFERROR(__xludf.DUMMYFUNCTION("""COMPUTED_VALUE"""),1865)</f>
        <v>1865</v>
      </c>
      <c r="T449" s="4"/>
      <c r="U449" s="4"/>
      <c r="V449" s="4"/>
      <c r="W449" s="4"/>
      <c r="X449" s="4"/>
      <c r="Y449" s="4"/>
      <c r="Z449" s="4"/>
      <c r="AA449" s="4"/>
      <c r="AB449" s="4"/>
    </row>
    <row r="450" spans="1:28" x14ac:dyDescent="0.2">
      <c r="A450" s="4" t="str">
        <f t="shared" si="2"/>
        <v/>
      </c>
      <c r="B450" s="4" t="str">
        <f t="shared" si="3"/>
        <v/>
      </c>
      <c r="C450" s="4"/>
      <c r="D450" s="4"/>
      <c r="E450" s="4"/>
      <c r="F450" s="4"/>
      <c r="G450" s="4"/>
      <c r="H450" s="4"/>
      <c r="I450" s="4"/>
      <c r="J450" s="4"/>
      <c r="K450" s="4"/>
      <c r="L450" s="4"/>
      <c r="M450" s="4"/>
      <c r="N450" s="6">
        <f ca="1">IFERROR(__xludf.DUMMYFUNCTION("""COMPUTED_VALUE"""),38)</f>
        <v>38</v>
      </c>
      <c r="O450" s="6">
        <f ca="1">IFERROR(__xludf.DUMMYFUNCTION("""COMPUTED_VALUE"""),39)</f>
        <v>39</v>
      </c>
      <c r="P450" s="4" t="str">
        <f ca="1">IFERROR(__xludf.DUMMYFUNCTION("""COMPUTED_VALUE"""),"")</f>
        <v/>
      </c>
      <c r="Q450" s="6">
        <f ca="1">IFERROR(__xludf.DUMMYFUNCTION("""COMPUTED_VALUE"""),769)</f>
        <v>769</v>
      </c>
      <c r="R450" s="4" t="str">
        <f ca="1">IFERROR(__xludf.DUMMYFUNCTION("""COMPUTED_VALUE"""),"")</f>
        <v/>
      </c>
      <c r="S450" s="6">
        <f ca="1">IFERROR(__xludf.DUMMYFUNCTION("""COMPUTED_VALUE"""),1865)</f>
        <v>1865</v>
      </c>
      <c r="T450" s="4"/>
      <c r="U450" s="4"/>
      <c r="V450" s="4"/>
      <c r="W450" s="4"/>
      <c r="X450" s="4"/>
      <c r="Y450" s="4"/>
      <c r="Z450" s="4"/>
      <c r="AA450" s="4"/>
      <c r="AB450" s="4"/>
    </row>
    <row r="451" spans="1:28" x14ac:dyDescent="0.2">
      <c r="A451" s="4" t="str">
        <f t="shared" si="2"/>
        <v/>
      </c>
      <c r="B451" s="4" t="str">
        <f t="shared" si="3"/>
        <v/>
      </c>
      <c r="C451" s="4"/>
      <c r="D451" s="4"/>
      <c r="E451" s="4"/>
      <c r="F451" s="4"/>
      <c r="G451" s="4"/>
      <c r="H451" s="4"/>
      <c r="I451" s="4"/>
      <c r="J451" s="4"/>
      <c r="K451" s="4"/>
      <c r="L451" s="4"/>
      <c r="M451" s="4"/>
      <c r="N451" s="6">
        <f ca="1">IFERROR(__xludf.DUMMYFUNCTION("""COMPUTED_VALUE"""),38)</f>
        <v>38</v>
      </c>
      <c r="O451" s="6">
        <f ca="1">IFERROR(__xludf.DUMMYFUNCTION("""COMPUTED_VALUE"""),39)</f>
        <v>39</v>
      </c>
      <c r="P451" s="4" t="str">
        <f ca="1">IFERROR(__xludf.DUMMYFUNCTION("""COMPUTED_VALUE"""),"")</f>
        <v/>
      </c>
      <c r="Q451" s="6">
        <f ca="1">IFERROR(__xludf.DUMMYFUNCTION("""COMPUTED_VALUE"""),769)</f>
        <v>769</v>
      </c>
      <c r="R451" s="4" t="str">
        <f ca="1">IFERROR(__xludf.DUMMYFUNCTION("""COMPUTED_VALUE"""),"")</f>
        <v/>
      </c>
      <c r="S451" s="6">
        <f ca="1">IFERROR(__xludf.DUMMYFUNCTION("""COMPUTED_VALUE"""),1865)</f>
        <v>1865</v>
      </c>
      <c r="T451" s="4"/>
      <c r="U451" s="4"/>
      <c r="V451" s="4"/>
      <c r="W451" s="4"/>
      <c r="X451" s="4"/>
      <c r="Y451" s="4"/>
      <c r="Z451" s="4"/>
      <c r="AA451" s="4"/>
      <c r="AB451" s="4"/>
    </row>
    <row r="452" spans="1:28" x14ac:dyDescent="0.2">
      <c r="A452" s="4" t="str">
        <f t="shared" si="2"/>
        <v/>
      </c>
      <c r="B452" s="4" t="str">
        <f t="shared" si="3"/>
        <v/>
      </c>
      <c r="C452" s="4"/>
      <c r="D452" s="4"/>
      <c r="E452" s="4"/>
      <c r="F452" s="4"/>
      <c r="G452" s="4"/>
      <c r="H452" s="4"/>
      <c r="I452" s="4"/>
      <c r="J452" s="4"/>
      <c r="K452" s="4"/>
      <c r="L452" s="4"/>
      <c r="M452" s="4"/>
      <c r="N452" s="6">
        <f ca="1">IFERROR(__xludf.DUMMYFUNCTION("""COMPUTED_VALUE"""),38)</f>
        <v>38</v>
      </c>
      <c r="O452" s="6">
        <f ca="1">IFERROR(__xludf.DUMMYFUNCTION("""COMPUTED_VALUE"""),39)</f>
        <v>39</v>
      </c>
      <c r="P452" s="4" t="str">
        <f ca="1">IFERROR(__xludf.DUMMYFUNCTION("""COMPUTED_VALUE"""),"")</f>
        <v/>
      </c>
      <c r="Q452" s="6">
        <f ca="1">IFERROR(__xludf.DUMMYFUNCTION("""COMPUTED_VALUE"""),769)</f>
        <v>769</v>
      </c>
      <c r="R452" s="4" t="str">
        <f ca="1">IFERROR(__xludf.DUMMYFUNCTION("""COMPUTED_VALUE"""),"")</f>
        <v/>
      </c>
      <c r="S452" s="6">
        <f ca="1">IFERROR(__xludf.DUMMYFUNCTION("""COMPUTED_VALUE"""),1865)</f>
        <v>1865</v>
      </c>
      <c r="T452" s="4"/>
      <c r="U452" s="4"/>
      <c r="V452" s="4"/>
      <c r="W452" s="4"/>
      <c r="X452" s="4"/>
      <c r="Y452" s="4"/>
      <c r="Z452" s="4"/>
      <c r="AA452" s="4"/>
      <c r="AB452" s="4"/>
    </row>
    <row r="453" spans="1:28" x14ac:dyDescent="0.2">
      <c r="A453" s="4" t="str">
        <f t="shared" si="2"/>
        <v/>
      </c>
      <c r="B453" s="4" t="str">
        <f t="shared" si="3"/>
        <v/>
      </c>
      <c r="C453" s="4"/>
      <c r="D453" s="4"/>
      <c r="E453" s="4"/>
      <c r="F453" s="4"/>
      <c r="G453" s="4"/>
      <c r="H453" s="4"/>
      <c r="I453" s="4"/>
      <c r="J453" s="4"/>
      <c r="K453" s="4"/>
      <c r="L453" s="4"/>
      <c r="M453" s="4"/>
      <c r="N453" s="6">
        <f ca="1">IFERROR(__xludf.DUMMYFUNCTION("""COMPUTED_VALUE"""),38)</f>
        <v>38</v>
      </c>
      <c r="O453" s="6">
        <f ca="1">IFERROR(__xludf.DUMMYFUNCTION("""COMPUTED_VALUE"""),39)</f>
        <v>39</v>
      </c>
      <c r="P453" s="4" t="str">
        <f ca="1">IFERROR(__xludf.DUMMYFUNCTION("""COMPUTED_VALUE"""),"")</f>
        <v/>
      </c>
      <c r="Q453" s="6">
        <f ca="1">IFERROR(__xludf.DUMMYFUNCTION("""COMPUTED_VALUE"""),769)</f>
        <v>769</v>
      </c>
      <c r="R453" s="4" t="str">
        <f ca="1">IFERROR(__xludf.DUMMYFUNCTION("""COMPUTED_VALUE"""),"")</f>
        <v/>
      </c>
      <c r="S453" s="6">
        <f ca="1">IFERROR(__xludf.DUMMYFUNCTION("""COMPUTED_VALUE"""),1865)</f>
        <v>1865</v>
      </c>
      <c r="T453" s="4"/>
      <c r="U453" s="4"/>
      <c r="V453" s="4"/>
      <c r="W453" s="4"/>
      <c r="X453" s="4"/>
      <c r="Y453" s="4"/>
      <c r="Z453" s="4"/>
      <c r="AA453" s="4"/>
      <c r="AB453" s="4"/>
    </row>
    <row r="454" spans="1:28" x14ac:dyDescent="0.2">
      <c r="A454" s="4" t="str">
        <f t="shared" si="2"/>
        <v/>
      </c>
      <c r="B454" s="4" t="str">
        <f t="shared" si="3"/>
        <v/>
      </c>
      <c r="C454" s="4"/>
      <c r="D454" s="4"/>
      <c r="E454" s="4"/>
      <c r="F454" s="4"/>
      <c r="G454" s="4"/>
      <c r="H454" s="4"/>
      <c r="I454" s="4"/>
      <c r="J454" s="4"/>
      <c r="K454" s="4"/>
      <c r="L454" s="4"/>
      <c r="M454" s="4"/>
      <c r="N454" s="6">
        <f ca="1">IFERROR(__xludf.DUMMYFUNCTION("""COMPUTED_VALUE"""),38)</f>
        <v>38</v>
      </c>
      <c r="O454" s="6">
        <f ca="1">IFERROR(__xludf.DUMMYFUNCTION("""COMPUTED_VALUE"""),39)</f>
        <v>39</v>
      </c>
      <c r="P454" s="4" t="str">
        <f ca="1">IFERROR(__xludf.DUMMYFUNCTION("""COMPUTED_VALUE"""),"")</f>
        <v/>
      </c>
      <c r="Q454" s="6">
        <f ca="1">IFERROR(__xludf.DUMMYFUNCTION("""COMPUTED_VALUE"""),769)</f>
        <v>769</v>
      </c>
      <c r="R454" s="4" t="str">
        <f ca="1">IFERROR(__xludf.DUMMYFUNCTION("""COMPUTED_VALUE"""),"")</f>
        <v/>
      </c>
      <c r="S454" s="6">
        <f ca="1">IFERROR(__xludf.DUMMYFUNCTION("""COMPUTED_VALUE"""),1865)</f>
        <v>1865</v>
      </c>
      <c r="T454" s="4"/>
      <c r="U454" s="4"/>
      <c r="V454" s="4"/>
      <c r="W454" s="4"/>
      <c r="X454" s="4"/>
      <c r="Y454" s="4"/>
      <c r="Z454" s="4"/>
      <c r="AA454" s="4"/>
      <c r="AB454" s="4"/>
    </row>
    <row r="455" spans="1:28" x14ac:dyDescent="0.2">
      <c r="A455" s="4" t="str">
        <f t="shared" si="2"/>
        <v/>
      </c>
      <c r="B455" s="4" t="str">
        <f t="shared" si="3"/>
        <v/>
      </c>
      <c r="C455" s="4"/>
      <c r="D455" s="4"/>
      <c r="E455" s="4"/>
      <c r="F455" s="4"/>
      <c r="G455" s="4"/>
      <c r="H455" s="4"/>
      <c r="I455" s="4"/>
      <c r="J455" s="4"/>
      <c r="K455" s="4"/>
      <c r="L455" s="4"/>
      <c r="M455" s="4"/>
      <c r="N455" s="6">
        <f ca="1">IFERROR(__xludf.DUMMYFUNCTION("""COMPUTED_VALUE"""),38)</f>
        <v>38</v>
      </c>
      <c r="O455" s="6">
        <f ca="1">IFERROR(__xludf.DUMMYFUNCTION("""COMPUTED_VALUE"""),39)</f>
        <v>39</v>
      </c>
      <c r="P455" s="4" t="str">
        <f ca="1">IFERROR(__xludf.DUMMYFUNCTION("""COMPUTED_VALUE"""),"")</f>
        <v/>
      </c>
      <c r="Q455" s="6">
        <f ca="1">IFERROR(__xludf.DUMMYFUNCTION("""COMPUTED_VALUE"""),769)</f>
        <v>769</v>
      </c>
      <c r="R455" s="4" t="str">
        <f ca="1">IFERROR(__xludf.DUMMYFUNCTION("""COMPUTED_VALUE"""),"")</f>
        <v/>
      </c>
      <c r="S455" s="6">
        <f ca="1">IFERROR(__xludf.DUMMYFUNCTION("""COMPUTED_VALUE"""),1865)</f>
        <v>1865</v>
      </c>
      <c r="T455" s="4"/>
      <c r="U455" s="4"/>
      <c r="V455" s="4"/>
      <c r="W455" s="4"/>
      <c r="X455" s="4"/>
      <c r="Y455" s="4"/>
      <c r="Z455" s="4"/>
      <c r="AA455" s="4"/>
      <c r="AB455" s="4"/>
    </row>
    <row r="456" spans="1:28" x14ac:dyDescent="0.2">
      <c r="A456" s="4" t="str">
        <f t="shared" si="2"/>
        <v/>
      </c>
      <c r="B456" s="4" t="str">
        <f t="shared" si="3"/>
        <v/>
      </c>
      <c r="C456" s="4"/>
      <c r="D456" s="4"/>
      <c r="E456" s="4"/>
      <c r="F456" s="4"/>
      <c r="G456" s="4"/>
      <c r="H456" s="4"/>
      <c r="I456" s="4"/>
      <c r="J456" s="4"/>
      <c r="K456" s="4"/>
      <c r="L456" s="4"/>
      <c r="M456" s="4"/>
      <c r="N456" s="6">
        <f ca="1">IFERROR(__xludf.DUMMYFUNCTION("""COMPUTED_VALUE"""),38)</f>
        <v>38</v>
      </c>
      <c r="O456" s="6">
        <f ca="1">IFERROR(__xludf.DUMMYFUNCTION("""COMPUTED_VALUE"""),39)</f>
        <v>39</v>
      </c>
      <c r="P456" s="4" t="str">
        <f ca="1">IFERROR(__xludf.DUMMYFUNCTION("""COMPUTED_VALUE"""),"")</f>
        <v/>
      </c>
      <c r="Q456" s="6">
        <f ca="1">IFERROR(__xludf.DUMMYFUNCTION("""COMPUTED_VALUE"""),769)</f>
        <v>769</v>
      </c>
      <c r="R456" s="4" t="str">
        <f ca="1">IFERROR(__xludf.DUMMYFUNCTION("""COMPUTED_VALUE"""),"")</f>
        <v/>
      </c>
      <c r="S456" s="6">
        <f ca="1">IFERROR(__xludf.DUMMYFUNCTION("""COMPUTED_VALUE"""),1865)</f>
        <v>1865</v>
      </c>
      <c r="T456" s="4"/>
      <c r="U456" s="4"/>
      <c r="V456" s="4"/>
      <c r="W456" s="4"/>
      <c r="X456" s="4"/>
      <c r="Y456" s="4"/>
      <c r="Z456" s="4"/>
      <c r="AA456" s="4"/>
      <c r="AB456" s="4"/>
    </row>
    <row r="457" spans="1:28" x14ac:dyDescent="0.2">
      <c r="A457" s="4" t="str">
        <f t="shared" si="2"/>
        <v/>
      </c>
      <c r="B457" s="4" t="str">
        <f t="shared" si="3"/>
        <v/>
      </c>
      <c r="C457" s="4"/>
      <c r="D457" s="4"/>
      <c r="E457" s="4"/>
      <c r="F457" s="4"/>
      <c r="G457" s="4"/>
      <c r="H457" s="4"/>
      <c r="I457" s="4"/>
      <c r="J457" s="4"/>
      <c r="K457" s="4"/>
      <c r="L457" s="4"/>
      <c r="M457" s="4"/>
      <c r="N457" s="6">
        <f ca="1">IFERROR(__xludf.DUMMYFUNCTION("""COMPUTED_VALUE"""),38)</f>
        <v>38</v>
      </c>
      <c r="O457" s="6">
        <f ca="1">IFERROR(__xludf.DUMMYFUNCTION("""COMPUTED_VALUE"""),39)</f>
        <v>39</v>
      </c>
      <c r="P457" s="4" t="str">
        <f ca="1">IFERROR(__xludf.DUMMYFUNCTION("""COMPUTED_VALUE"""),"")</f>
        <v/>
      </c>
      <c r="Q457" s="6">
        <f ca="1">IFERROR(__xludf.DUMMYFUNCTION("""COMPUTED_VALUE"""),769)</f>
        <v>769</v>
      </c>
      <c r="R457" s="4" t="str">
        <f ca="1">IFERROR(__xludf.DUMMYFUNCTION("""COMPUTED_VALUE"""),"")</f>
        <v/>
      </c>
      <c r="S457" s="6">
        <f ca="1">IFERROR(__xludf.DUMMYFUNCTION("""COMPUTED_VALUE"""),1865)</f>
        <v>1865</v>
      </c>
      <c r="T457" s="4"/>
      <c r="U457" s="4"/>
      <c r="V457" s="4"/>
      <c r="W457" s="4"/>
      <c r="X457" s="4"/>
      <c r="Y457" s="4"/>
      <c r="Z457" s="4"/>
      <c r="AA457" s="4"/>
      <c r="AB457" s="4"/>
    </row>
    <row r="458" spans="1:28" x14ac:dyDescent="0.2">
      <c r="A458" s="4" t="str">
        <f t="shared" si="2"/>
        <v/>
      </c>
      <c r="B458" s="4" t="str">
        <f t="shared" si="3"/>
        <v/>
      </c>
      <c r="C458" s="4"/>
      <c r="D458" s="4"/>
      <c r="E458" s="4"/>
      <c r="F458" s="4"/>
      <c r="G458" s="4"/>
      <c r="H458" s="4"/>
      <c r="I458" s="4"/>
      <c r="J458" s="4"/>
      <c r="K458" s="4"/>
      <c r="L458" s="4"/>
      <c r="M458" s="4"/>
      <c r="N458" s="6">
        <f ca="1">IFERROR(__xludf.DUMMYFUNCTION("""COMPUTED_VALUE"""),38)</f>
        <v>38</v>
      </c>
      <c r="O458" s="6">
        <f ca="1">IFERROR(__xludf.DUMMYFUNCTION("""COMPUTED_VALUE"""),39)</f>
        <v>39</v>
      </c>
      <c r="P458" s="4" t="str">
        <f ca="1">IFERROR(__xludf.DUMMYFUNCTION("""COMPUTED_VALUE"""),"")</f>
        <v/>
      </c>
      <c r="Q458" s="6">
        <f ca="1">IFERROR(__xludf.DUMMYFUNCTION("""COMPUTED_VALUE"""),769)</f>
        <v>769</v>
      </c>
      <c r="R458" s="4" t="str">
        <f ca="1">IFERROR(__xludf.DUMMYFUNCTION("""COMPUTED_VALUE"""),"")</f>
        <v/>
      </c>
      <c r="S458" s="6">
        <f ca="1">IFERROR(__xludf.DUMMYFUNCTION("""COMPUTED_VALUE"""),1865)</f>
        <v>1865</v>
      </c>
      <c r="T458" s="4"/>
      <c r="U458" s="4"/>
      <c r="V458" s="4"/>
      <c r="W458" s="4"/>
      <c r="X458" s="4"/>
      <c r="Y458" s="4"/>
      <c r="Z458" s="4"/>
      <c r="AA458" s="4"/>
      <c r="AB458" s="4"/>
    </row>
    <row r="459" spans="1:28" x14ac:dyDescent="0.2">
      <c r="A459" s="4" t="str">
        <f t="shared" si="2"/>
        <v/>
      </c>
      <c r="B459" s="4" t="str">
        <f t="shared" si="3"/>
        <v/>
      </c>
      <c r="C459" s="4"/>
      <c r="D459" s="4"/>
      <c r="E459" s="4"/>
      <c r="F459" s="4"/>
      <c r="G459" s="4"/>
      <c r="H459" s="4"/>
      <c r="I459" s="4"/>
      <c r="J459" s="4"/>
      <c r="K459" s="4"/>
      <c r="L459" s="4"/>
      <c r="M459" s="4"/>
      <c r="N459" s="6">
        <f ca="1">IFERROR(__xludf.DUMMYFUNCTION("""COMPUTED_VALUE"""),38)</f>
        <v>38</v>
      </c>
      <c r="O459" s="6">
        <f ca="1">IFERROR(__xludf.DUMMYFUNCTION("""COMPUTED_VALUE"""),39)</f>
        <v>39</v>
      </c>
      <c r="P459" s="4" t="str">
        <f ca="1">IFERROR(__xludf.DUMMYFUNCTION("""COMPUTED_VALUE"""),"")</f>
        <v/>
      </c>
      <c r="Q459" s="6">
        <f ca="1">IFERROR(__xludf.DUMMYFUNCTION("""COMPUTED_VALUE"""),769)</f>
        <v>769</v>
      </c>
      <c r="R459" s="4" t="str">
        <f ca="1">IFERROR(__xludf.DUMMYFUNCTION("""COMPUTED_VALUE"""),"")</f>
        <v/>
      </c>
      <c r="S459" s="6">
        <f ca="1">IFERROR(__xludf.DUMMYFUNCTION("""COMPUTED_VALUE"""),1865)</f>
        <v>1865</v>
      </c>
      <c r="T459" s="4"/>
      <c r="U459" s="4"/>
      <c r="V459" s="4"/>
      <c r="W459" s="4"/>
      <c r="X459" s="4"/>
      <c r="Y459" s="4"/>
      <c r="Z459" s="4"/>
      <c r="AA459" s="4"/>
      <c r="AB459" s="4"/>
    </row>
    <row r="460" spans="1:28" x14ac:dyDescent="0.2">
      <c r="A460" s="4" t="str">
        <f t="shared" si="2"/>
        <v/>
      </c>
      <c r="B460" s="4" t="str">
        <f t="shared" si="3"/>
        <v/>
      </c>
      <c r="C460" s="4"/>
      <c r="D460" s="4"/>
      <c r="E460" s="4"/>
      <c r="F460" s="4"/>
      <c r="G460" s="4"/>
      <c r="H460" s="4"/>
      <c r="I460" s="4"/>
      <c r="J460" s="4"/>
      <c r="K460" s="4"/>
      <c r="L460" s="4"/>
      <c r="M460" s="4"/>
      <c r="N460" s="6">
        <f ca="1">IFERROR(__xludf.DUMMYFUNCTION("""COMPUTED_VALUE"""),38)</f>
        <v>38</v>
      </c>
      <c r="O460" s="6">
        <f ca="1">IFERROR(__xludf.DUMMYFUNCTION("""COMPUTED_VALUE"""),39)</f>
        <v>39</v>
      </c>
      <c r="P460" s="4" t="str">
        <f ca="1">IFERROR(__xludf.DUMMYFUNCTION("""COMPUTED_VALUE"""),"")</f>
        <v/>
      </c>
      <c r="Q460" s="6">
        <f ca="1">IFERROR(__xludf.DUMMYFUNCTION("""COMPUTED_VALUE"""),769)</f>
        <v>769</v>
      </c>
      <c r="R460" s="4" t="str">
        <f ca="1">IFERROR(__xludf.DUMMYFUNCTION("""COMPUTED_VALUE"""),"")</f>
        <v/>
      </c>
      <c r="S460" s="6">
        <f ca="1">IFERROR(__xludf.DUMMYFUNCTION("""COMPUTED_VALUE"""),1865)</f>
        <v>1865</v>
      </c>
      <c r="T460" s="4"/>
      <c r="U460" s="4"/>
      <c r="V460" s="4"/>
      <c r="W460" s="4"/>
      <c r="X460" s="4"/>
      <c r="Y460" s="4"/>
      <c r="Z460" s="4"/>
      <c r="AA460" s="4"/>
      <c r="AB460" s="4"/>
    </row>
    <row r="461" spans="1:28" x14ac:dyDescent="0.2">
      <c r="A461" s="4" t="str">
        <f t="shared" si="2"/>
        <v/>
      </c>
      <c r="B461" s="4" t="str">
        <f t="shared" si="3"/>
        <v/>
      </c>
      <c r="C461" s="4"/>
      <c r="D461" s="4"/>
      <c r="E461" s="4"/>
      <c r="F461" s="4"/>
      <c r="G461" s="4"/>
      <c r="H461" s="4"/>
      <c r="I461" s="4"/>
      <c r="J461" s="4"/>
      <c r="K461" s="4"/>
      <c r="L461" s="4"/>
      <c r="M461" s="4"/>
      <c r="N461" s="6">
        <f ca="1">IFERROR(__xludf.DUMMYFUNCTION("""COMPUTED_VALUE"""),38)</f>
        <v>38</v>
      </c>
      <c r="O461" s="6">
        <f ca="1">IFERROR(__xludf.DUMMYFUNCTION("""COMPUTED_VALUE"""),39)</f>
        <v>39</v>
      </c>
      <c r="P461" s="4" t="str">
        <f ca="1">IFERROR(__xludf.DUMMYFUNCTION("""COMPUTED_VALUE"""),"")</f>
        <v/>
      </c>
      <c r="Q461" s="6">
        <f ca="1">IFERROR(__xludf.DUMMYFUNCTION("""COMPUTED_VALUE"""),769)</f>
        <v>769</v>
      </c>
      <c r="R461" s="4" t="str">
        <f ca="1">IFERROR(__xludf.DUMMYFUNCTION("""COMPUTED_VALUE"""),"")</f>
        <v/>
      </c>
      <c r="S461" s="6">
        <f ca="1">IFERROR(__xludf.DUMMYFUNCTION("""COMPUTED_VALUE"""),1865)</f>
        <v>1865</v>
      </c>
      <c r="T461" s="4"/>
      <c r="U461" s="4"/>
      <c r="V461" s="4"/>
      <c r="W461" s="4"/>
      <c r="X461" s="4"/>
      <c r="Y461" s="4"/>
      <c r="Z461" s="4"/>
      <c r="AA461" s="4"/>
      <c r="AB461" s="4"/>
    </row>
    <row r="462" spans="1:28" x14ac:dyDescent="0.2">
      <c r="A462" s="4" t="str">
        <f t="shared" si="2"/>
        <v/>
      </c>
      <c r="B462" s="4" t="str">
        <f t="shared" si="3"/>
        <v/>
      </c>
      <c r="C462" s="4"/>
      <c r="D462" s="4"/>
      <c r="E462" s="4"/>
      <c r="F462" s="4"/>
      <c r="G462" s="4"/>
      <c r="H462" s="4"/>
      <c r="I462" s="4"/>
      <c r="J462" s="4"/>
      <c r="K462" s="4"/>
      <c r="L462" s="4"/>
      <c r="M462" s="4"/>
      <c r="N462" s="6">
        <f ca="1">IFERROR(__xludf.DUMMYFUNCTION("""COMPUTED_VALUE"""),38)</f>
        <v>38</v>
      </c>
      <c r="O462" s="6">
        <f ca="1">IFERROR(__xludf.DUMMYFUNCTION("""COMPUTED_VALUE"""),39)</f>
        <v>39</v>
      </c>
      <c r="P462" s="4" t="str">
        <f ca="1">IFERROR(__xludf.DUMMYFUNCTION("""COMPUTED_VALUE"""),"")</f>
        <v/>
      </c>
      <c r="Q462" s="6">
        <f ca="1">IFERROR(__xludf.DUMMYFUNCTION("""COMPUTED_VALUE"""),769)</f>
        <v>769</v>
      </c>
      <c r="R462" s="4" t="str">
        <f ca="1">IFERROR(__xludf.DUMMYFUNCTION("""COMPUTED_VALUE"""),"")</f>
        <v/>
      </c>
      <c r="S462" s="6">
        <f ca="1">IFERROR(__xludf.DUMMYFUNCTION("""COMPUTED_VALUE"""),1865)</f>
        <v>1865</v>
      </c>
      <c r="T462" s="4"/>
      <c r="U462" s="4"/>
      <c r="V462" s="4"/>
      <c r="W462" s="4"/>
      <c r="X462" s="4"/>
      <c r="Y462" s="4"/>
      <c r="Z462" s="4"/>
      <c r="AA462" s="4"/>
      <c r="AB462" s="4"/>
    </row>
    <row r="463" spans="1:28" x14ac:dyDescent="0.2">
      <c r="A463" s="4" t="str">
        <f t="shared" si="2"/>
        <v/>
      </c>
      <c r="B463" s="4" t="str">
        <f t="shared" si="3"/>
        <v/>
      </c>
      <c r="C463" s="4"/>
      <c r="D463" s="4"/>
      <c r="E463" s="4"/>
      <c r="F463" s="4"/>
      <c r="G463" s="4"/>
      <c r="H463" s="4"/>
      <c r="I463" s="4"/>
      <c r="J463" s="4"/>
      <c r="K463" s="4"/>
      <c r="L463" s="4"/>
      <c r="M463" s="4"/>
      <c r="N463" s="6">
        <f ca="1">IFERROR(__xludf.DUMMYFUNCTION("""COMPUTED_VALUE"""),38)</f>
        <v>38</v>
      </c>
      <c r="O463" s="6">
        <f ca="1">IFERROR(__xludf.DUMMYFUNCTION("""COMPUTED_VALUE"""),39)</f>
        <v>39</v>
      </c>
      <c r="P463" s="4" t="str">
        <f ca="1">IFERROR(__xludf.DUMMYFUNCTION("""COMPUTED_VALUE"""),"")</f>
        <v/>
      </c>
      <c r="Q463" s="6">
        <f ca="1">IFERROR(__xludf.DUMMYFUNCTION("""COMPUTED_VALUE"""),769)</f>
        <v>769</v>
      </c>
      <c r="R463" s="4" t="str">
        <f ca="1">IFERROR(__xludf.DUMMYFUNCTION("""COMPUTED_VALUE"""),"")</f>
        <v/>
      </c>
      <c r="S463" s="6">
        <f ca="1">IFERROR(__xludf.DUMMYFUNCTION("""COMPUTED_VALUE"""),1865)</f>
        <v>1865</v>
      </c>
      <c r="T463" s="4"/>
      <c r="U463" s="4"/>
      <c r="V463" s="4"/>
      <c r="W463" s="4"/>
      <c r="X463" s="4"/>
      <c r="Y463" s="4"/>
      <c r="Z463" s="4"/>
      <c r="AA463" s="4"/>
      <c r="AB463" s="4"/>
    </row>
    <row r="464" spans="1:28" x14ac:dyDescent="0.2">
      <c r="A464" s="4" t="str">
        <f t="shared" si="2"/>
        <v/>
      </c>
      <c r="B464" s="4" t="str">
        <f t="shared" si="3"/>
        <v/>
      </c>
      <c r="C464" s="4"/>
      <c r="D464" s="4"/>
      <c r="E464" s="4"/>
      <c r="F464" s="4"/>
      <c r="G464" s="4"/>
      <c r="H464" s="4"/>
      <c r="I464" s="4"/>
      <c r="J464" s="4"/>
      <c r="K464" s="4"/>
      <c r="L464" s="4"/>
      <c r="M464" s="4"/>
      <c r="N464" s="6">
        <f ca="1">IFERROR(__xludf.DUMMYFUNCTION("""COMPUTED_VALUE"""),38)</f>
        <v>38</v>
      </c>
      <c r="O464" s="6">
        <f ca="1">IFERROR(__xludf.DUMMYFUNCTION("""COMPUTED_VALUE"""),39)</f>
        <v>39</v>
      </c>
      <c r="P464" s="4" t="str">
        <f ca="1">IFERROR(__xludf.DUMMYFUNCTION("""COMPUTED_VALUE"""),"")</f>
        <v/>
      </c>
      <c r="Q464" s="6">
        <f ca="1">IFERROR(__xludf.DUMMYFUNCTION("""COMPUTED_VALUE"""),769)</f>
        <v>769</v>
      </c>
      <c r="R464" s="4" t="str">
        <f ca="1">IFERROR(__xludf.DUMMYFUNCTION("""COMPUTED_VALUE"""),"")</f>
        <v/>
      </c>
      <c r="S464" s="6">
        <f ca="1">IFERROR(__xludf.DUMMYFUNCTION("""COMPUTED_VALUE"""),1865)</f>
        <v>1865</v>
      </c>
      <c r="T464" s="4"/>
      <c r="U464" s="4"/>
      <c r="V464" s="4"/>
      <c r="W464" s="4"/>
      <c r="X464" s="4"/>
      <c r="Y464" s="4"/>
      <c r="Z464" s="4"/>
      <c r="AA464" s="4"/>
      <c r="AB464" s="4"/>
    </row>
    <row r="465" spans="1:28" x14ac:dyDescent="0.2">
      <c r="A465" s="4" t="str">
        <f t="shared" si="2"/>
        <v/>
      </c>
      <c r="B465" s="4" t="str">
        <f t="shared" si="3"/>
        <v/>
      </c>
      <c r="C465" s="4"/>
      <c r="D465" s="4"/>
      <c r="E465" s="4"/>
      <c r="F465" s="4"/>
      <c r="G465" s="4"/>
      <c r="H465" s="4"/>
      <c r="I465" s="4"/>
      <c r="J465" s="4"/>
      <c r="K465" s="4"/>
      <c r="L465" s="4"/>
      <c r="M465" s="4"/>
      <c r="N465" s="6">
        <f ca="1">IFERROR(__xludf.DUMMYFUNCTION("""COMPUTED_VALUE"""),38)</f>
        <v>38</v>
      </c>
      <c r="O465" s="6">
        <f ca="1">IFERROR(__xludf.DUMMYFUNCTION("""COMPUTED_VALUE"""),39)</f>
        <v>39</v>
      </c>
      <c r="P465" s="4" t="str">
        <f ca="1">IFERROR(__xludf.DUMMYFUNCTION("""COMPUTED_VALUE"""),"")</f>
        <v/>
      </c>
      <c r="Q465" s="6">
        <f ca="1">IFERROR(__xludf.DUMMYFUNCTION("""COMPUTED_VALUE"""),769)</f>
        <v>769</v>
      </c>
      <c r="R465" s="4" t="str">
        <f ca="1">IFERROR(__xludf.DUMMYFUNCTION("""COMPUTED_VALUE"""),"")</f>
        <v/>
      </c>
      <c r="S465" s="6">
        <f ca="1">IFERROR(__xludf.DUMMYFUNCTION("""COMPUTED_VALUE"""),1865)</f>
        <v>1865</v>
      </c>
      <c r="T465" s="4"/>
      <c r="U465" s="4"/>
      <c r="V465" s="4"/>
      <c r="W465" s="4"/>
      <c r="X465" s="4"/>
      <c r="Y465" s="4"/>
      <c r="Z465" s="4"/>
      <c r="AA465" s="4"/>
      <c r="AB465" s="4"/>
    </row>
    <row r="466" spans="1:28" x14ac:dyDescent="0.2">
      <c r="A466" s="4" t="str">
        <f t="shared" si="2"/>
        <v/>
      </c>
      <c r="B466" s="4" t="str">
        <f t="shared" si="3"/>
        <v/>
      </c>
      <c r="C466" s="4"/>
      <c r="D466" s="4"/>
      <c r="E466" s="4"/>
      <c r="F466" s="4"/>
      <c r="G466" s="4"/>
      <c r="H466" s="4"/>
      <c r="I466" s="4"/>
      <c r="J466" s="4"/>
      <c r="K466" s="4"/>
      <c r="L466" s="4"/>
      <c r="M466" s="4"/>
      <c r="N466" s="6">
        <f ca="1">IFERROR(__xludf.DUMMYFUNCTION("""COMPUTED_VALUE"""),38)</f>
        <v>38</v>
      </c>
      <c r="O466" s="6">
        <f ca="1">IFERROR(__xludf.DUMMYFUNCTION("""COMPUTED_VALUE"""),39)</f>
        <v>39</v>
      </c>
      <c r="P466" s="4" t="str">
        <f ca="1">IFERROR(__xludf.DUMMYFUNCTION("""COMPUTED_VALUE"""),"")</f>
        <v/>
      </c>
      <c r="Q466" s="6">
        <f ca="1">IFERROR(__xludf.DUMMYFUNCTION("""COMPUTED_VALUE"""),769)</f>
        <v>769</v>
      </c>
      <c r="R466" s="4" t="str">
        <f ca="1">IFERROR(__xludf.DUMMYFUNCTION("""COMPUTED_VALUE"""),"")</f>
        <v/>
      </c>
      <c r="S466" s="6">
        <f ca="1">IFERROR(__xludf.DUMMYFUNCTION("""COMPUTED_VALUE"""),1865)</f>
        <v>1865</v>
      </c>
      <c r="T466" s="4"/>
      <c r="U466" s="4"/>
      <c r="V466" s="4"/>
      <c r="W466" s="4"/>
      <c r="X466" s="4"/>
      <c r="Y466" s="4"/>
      <c r="Z466" s="4"/>
      <c r="AA466" s="4"/>
      <c r="AB466" s="4"/>
    </row>
    <row r="467" spans="1:28" x14ac:dyDescent="0.2">
      <c r="A467" s="4" t="str">
        <f t="shared" si="2"/>
        <v/>
      </c>
      <c r="B467" s="4" t="str">
        <f t="shared" si="3"/>
        <v/>
      </c>
      <c r="C467" s="4"/>
      <c r="D467" s="4"/>
      <c r="E467" s="4"/>
      <c r="F467" s="4"/>
      <c r="G467" s="4"/>
      <c r="H467" s="4"/>
      <c r="I467" s="4"/>
      <c r="J467" s="4"/>
      <c r="K467" s="4"/>
      <c r="L467" s="4"/>
      <c r="M467" s="4"/>
      <c r="N467" s="6">
        <f ca="1">IFERROR(__xludf.DUMMYFUNCTION("""COMPUTED_VALUE"""),38)</f>
        <v>38</v>
      </c>
      <c r="O467" s="6">
        <f ca="1">IFERROR(__xludf.DUMMYFUNCTION("""COMPUTED_VALUE"""),39)</f>
        <v>39</v>
      </c>
      <c r="P467" s="4" t="str">
        <f ca="1">IFERROR(__xludf.DUMMYFUNCTION("""COMPUTED_VALUE"""),"")</f>
        <v/>
      </c>
      <c r="Q467" s="6">
        <f ca="1">IFERROR(__xludf.DUMMYFUNCTION("""COMPUTED_VALUE"""),769)</f>
        <v>769</v>
      </c>
      <c r="R467" s="4" t="str">
        <f ca="1">IFERROR(__xludf.DUMMYFUNCTION("""COMPUTED_VALUE"""),"")</f>
        <v/>
      </c>
      <c r="S467" s="6">
        <f ca="1">IFERROR(__xludf.DUMMYFUNCTION("""COMPUTED_VALUE"""),1865)</f>
        <v>1865</v>
      </c>
      <c r="T467" s="4"/>
      <c r="U467" s="4"/>
      <c r="V467" s="4"/>
      <c r="W467" s="4"/>
      <c r="X467" s="4"/>
      <c r="Y467" s="4"/>
      <c r="Z467" s="4"/>
      <c r="AA467" s="4"/>
      <c r="AB467" s="4"/>
    </row>
    <row r="468" spans="1:28" x14ac:dyDescent="0.2">
      <c r="A468" s="4" t="str">
        <f t="shared" si="2"/>
        <v/>
      </c>
      <c r="B468" s="4" t="str">
        <f t="shared" si="3"/>
        <v/>
      </c>
      <c r="C468" s="4"/>
      <c r="D468" s="4"/>
      <c r="E468" s="4"/>
      <c r="F468" s="4"/>
      <c r="G468" s="4"/>
      <c r="H468" s="4"/>
      <c r="I468" s="4"/>
      <c r="J468" s="4"/>
      <c r="K468" s="4"/>
      <c r="L468" s="4"/>
      <c r="M468" s="4"/>
      <c r="N468" s="6">
        <f ca="1">IFERROR(__xludf.DUMMYFUNCTION("""COMPUTED_VALUE"""),38)</f>
        <v>38</v>
      </c>
      <c r="O468" s="6">
        <f ca="1">IFERROR(__xludf.DUMMYFUNCTION("""COMPUTED_VALUE"""),39)</f>
        <v>39</v>
      </c>
      <c r="P468" s="4" t="str">
        <f ca="1">IFERROR(__xludf.DUMMYFUNCTION("""COMPUTED_VALUE"""),"")</f>
        <v/>
      </c>
      <c r="Q468" s="6">
        <f ca="1">IFERROR(__xludf.DUMMYFUNCTION("""COMPUTED_VALUE"""),769)</f>
        <v>769</v>
      </c>
      <c r="R468" s="4" t="str">
        <f ca="1">IFERROR(__xludf.DUMMYFUNCTION("""COMPUTED_VALUE"""),"")</f>
        <v/>
      </c>
      <c r="S468" s="6">
        <f ca="1">IFERROR(__xludf.DUMMYFUNCTION("""COMPUTED_VALUE"""),1865)</f>
        <v>1865</v>
      </c>
      <c r="T468" s="4"/>
      <c r="U468" s="4"/>
      <c r="V468" s="4"/>
      <c r="W468" s="4"/>
      <c r="X468" s="4"/>
      <c r="Y468" s="4"/>
      <c r="Z468" s="4"/>
      <c r="AA468" s="4"/>
      <c r="AB468" s="4"/>
    </row>
    <row r="469" spans="1:28" x14ac:dyDescent="0.2">
      <c r="A469" s="4" t="str">
        <f t="shared" si="2"/>
        <v/>
      </c>
      <c r="B469" s="4" t="str">
        <f t="shared" si="3"/>
        <v/>
      </c>
      <c r="C469" s="4"/>
      <c r="D469" s="4"/>
      <c r="E469" s="4"/>
      <c r="F469" s="4"/>
      <c r="G469" s="4"/>
      <c r="H469" s="4"/>
      <c r="I469" s="4"/>
      <c r="J469" s="4"/>
      <c r="K469" s="4"/>
      <c r="L469" s="4"/>
      <c r="M469" s="4"/>
      <c r="N469" s="6">
        <f ca="1">IFERROR(__xludf.DUMMYFUNCTION("""COMPUTED_VALUE"""),38)</f>
        <v>38</v>
      </c>
      <c r="O469" s="6">
        <f ca="1">IFERROR(__xludf.DUMMYFUNCTION("""COMPUTED_VALUE"""),39)</f>
        <v>39</v>
      </c>
      <c r="P469" s="4" t="str">
        <f ca="1">IFERROR(__xludf.DUMMYFUNCTION("""COMPUTED_VALUE"""),"")</f>
        <v/>
      </c>
      <c r="Q469" s="6">
        <f ca="1">IFERROR(__xludf.DUMMYFUNCTION("""COMPUTED_VALUE"""),769)</f>
        <v>769</v>
      </c>
      <c r="R469" s="4" t="str">
        <f ca="1">IFERROR(__xludf.DUMMYFUNCTION("""COMPUTED_VALUE"""),"")</f>
        <v/>
      </c>
      <c r="S469" s="6">
        <f ca="1">IFERROR(__xludf.DUMMYFUNCTION("""COMPUTED_VALUE"""),1865)</f>
        <v>1865</v>
      </c>
      <c r="T469" s="4"/>
      <c r="U469" s="4"/>
      <c r="V469" s="4"/>
      <c r="W469" s="4"/>
      <c r="X469" s="4"/>
      <c r="Y469" s="4"/>
      <c r="Z469" s="4"/>
      <c r="AA469" s="4"/>
      <c r="AB469" s="4"/>
    </row>
    <row r="470" spans="1:28" x14ac:dyDescent="0.2">
      <c r="A470" s="4" t="str">
        <f t="shared" si="2"/>
        <v/>
      </c>
      <c r="B470" s="4" t="str">
        <f t="shared" si="3"/>
        <v/>
      </c>
      <c r="C470" s="4"/>
      <c r="D470" s="4"/>
      <c r="E470" s="4"/>
      <c r="F470" s="4"/>
      <c r="G470" s="4"/>
      <c r="H470" s="4"/>
      <c r="I470" s="4"/>
      <c r="J470" s="4"/>
      <c r="K470" s="4"/>
      <c r="L470" s="4"/>
      <c r="M470" s="4"/>
      <c r="N470" s="6">
        <f ca="1">IFERROR(__xludf.DUMMYFUNCTION("""COMPUTED_VALUE"""),38)</f>
        <v>38</v>
      </c>
      <c r="O470" s="6">
        <f ca="1">IFERROR(__xludf.DUMMYFUNCTION("""COMPUTED_VALUE"""),39)</f>
        <v>39</v>
      </c>
      <c r="P470" s="4" t="str">
        <f ca="1">IFERROR(__xludf.DUMMYFUNCTION("""COMPUTED_VALUE"""),"")</f>
        <v/>
      </c>
      <c r="Q470" s="6">
        <f ca="1">IFERROR(__xludf.DUMMYFUNCTION("""COMPUTED_VALUE"""),769)</f>
        <v>769</v>
      </c>
      <c r="R470" s="4" t="str">
        <f ca="1">IFERROR(__xludf.DUMMYFUNCTION("""COMPUTED_VALUE"""),"")</f>
        <v/>
      </c>
      <c r="S470" s="6">
        <f ca="1">IFERROR(__xludf.DUMMYFUNCTION("""COMPUTED_VALUE"""),1865)</f>
        <v>1865</v>
      </c>
      <c r="T470" s="4"/>
      <c r="U470" s="4"/>
      <c r="V470" s="4"/>
      <c r="W470" s="4"/>
      <c r="X470" s="4"/>
      <c r="Y470" s="4"/>
      <c r="Z470" s="4"/>
      <c r="AA470" s="4"/>
      <c r="AB470" s="4"/>
    </row>
    <row r="471" spans="1:28" x14ac:dyDescent="0.2">
      <c r="A471" s="4" t="str">
        <f t="shared" si="2"/>
        <v/>
      </c>
      <c r="B471" s="4" t="str">
        <f t="shared" si="3"/>
        <v/>
      </c>
      <c r="C471" s="4"/>
      <c r="D471" s="4"/>
      <c r="E471" s="4"/>
      <c r="F471" s="4"/>
      <c r="G471" s="4"/>
      <c r="H471" s="4"/>
      <c r="I471" s="4"/>
      <c r="J471" s="4"/>
      <c r="K471" s="4"/>
      <c r="L471" s="4"/>
      <c r="M471" s="4"/>
      <c r="N471" s="6">
        <f ca="1">IFERROR(__xludf.DUMMYFUNCTION("""COMPUTED_VALUE"""),38)</f>
        <v>38</v>
      </c>
      <c r="O471" s="6">
        <f ca="1">IFERROR(__xludf.DUMMYFUNCTION("""COMPUTED_VALUE"""),39)</f>
        <v>39</v>
      </c>
      <c r="P471" s="4" t="str">
        <f ca="1">IFERROR(__xludf.DUMMYFUNCTION("""COMPUTED_VALUE"""),"")</f>
        <v/>
      </c>
      <c r="Q471" s="6">
        <f ca="1">IFERROR(__xludf.DUMMYFUNCTION("""COMPUTED_VALUE"""),769)</f>
        <v>769</v>
      </c>
      <c r="R471" s="4" t="str">
        <f ca="1">IFERROR(__xludf.DUMMYFUNCTION("""COMPUTED_VALUE"""),"")</f>
        <v/>
      </c>
      <c r="S471" s="6">
        <f ca="1">IFERROR(__xludf.DUMMYFUNCTION("""COMPUTED_VALUE"""),1865)</f>
        <v>1865</v>
      </c>
      <c r="T471" s="4"/>
      <c r="U471" s="4"/>
      <c r="V471" s="4"/>
      <c r="W471" s="4"/>
      <c r="X471" s="4"/>
      <c r="Y471" s="4"/>
      <c r="Z471" s="4"/>
      <c r="AA471" s="4"/>
      <c r="AB471" s="4"/>
    </row>
    <row r="472" spans="1:28" x14ac:dyDescent="0.2">
      <c r="A472" s="4" t="str">
        <f t="shared" si="2"/>
        <v/>
      </c>
      <c r="B472" s="4" t="str">
        <f t="shared" si="3"/>
        <v/>
      </c>
      <c r="C472" s="4"/>
      <c r="D472" s="4"/>
      <c r="E472" s="4"/>
      <c r="F472" s="4"/>
      <c r="G472" s="4"/>
      <c r="H472" s="4"/>
      <c r="I472" s="4"/>
      <c r="J472" s="4"/>
      <c r="K472" s="4"/>
      <c r="L472" s="4"/>
      <c r="M472" s="4"/>
      <c r="N472" s="6">
        <f ca="1">IFERROR(__xludf.DUMMYFUNCTION("""COMPUTED_VALUE"""),38)</f>
        <v>38</v>
      </c>
      <c r="O472" s="6">
        <f ca="1">IFERROR(__xludf.DUMMYFUNCTION("""COMPUTED_VALUE"""),39)</f>
        <v>39</v>
      </c>
      <c r="P472" s="4" t="str">
        <f ca="1">IFERROR(__xludf.DUMMYFUNCTION("""COMPUTED_VALUE"""),"")</f>
        <v/>
      </c>
      <c r="Q472" s="6">
        <f ca="1">IFERROR(__xludf.DUMMYFUNCTION("""COMPUTED_VALUE"""),769)</f>
        <v>769</v>
      </c>
      <c r="R472" s="4" t="str">
        <f ca="1">IFERROR(__xludf.DUMMYFUNCTION("""COMPUTED_VALUE"""),"")</f>
        <v/>
      </c>
      <c r="S472" s="6">
        <f ca="1">IFERROR(__xludf.DUMMYFUNCTION("""COMPUTED_VALUE"""),1865)</f>
        <v>1865</v>
      </c>
      <c r="T472" s="4"/>
      <c r="U472" s="4"/>
      <c r="V472" s="4"/>
      <c r="W472" s="4"/>
      <c r="X472" s="4"/>
      <c r="Y472" s="4"/>
      <c r="Z472" s="4"/>
      <c r="AA472" s="4"/>
      <c r="AB472" s="4"/>
    </row>
    <row r="473" spans="1:28" x14ac:dyDescent="0.2">
      <c r="A473" s="4" t="str">
        <f t="shared" si="2"/>
        <v/>
      </c>
      <c r="B473" s="4" t="str">
        <f t="shared" si="3"/>
        <v/>
      </c>
      <c r="C473" s="4"/>
      <c r="D473" s="4"/>
      <c r="E473" s="4"/>
      <c r="F473" s="4"/>
      <c r="G473" s="4"/>
      <c r="H473" s="4"/>
      <c r="I473" s="4"/>
      <c r="J473" s="4"/>
      <c r="K473" s="4"/>
      <c r="L473" s="4"/>
      <c r="M473" s="4"/>
      <c r="N473" s="6">
        <f ca="1">IFERROR(__xludf.DUMMYFUNCTION("""COMPUTED_VALUE"""),38)</f>
        <v>38</v>
      </c>
      <c r="O473" s="6">
        <f ca="1">IFERROR(__xludf.DUMMYFUNCTION("""COMPUTED_VALUE"""),39)</f>
        <v>39</v>
      </c>
      <c r="P473" s="4" t="str">
        <f ca="1">IFERROR(__xludf.DUMMYFUNCTION("""COMPUTED_VALUE"""),"")</f>
        <v/>
      </c>
      <c r="Q473" s="6">
        <f ca="1">IFERROR(__xludf.DUMMYFUNCTION("""COMPUTED_VALUE"""),769)</f>
        <v>769</v>
      </c>
      <c r="R473" s="4" t="str">
        <f ca="1">IFERROR(__xludf.DUMMYFUNCTION("""COMPUTED_VALUE"""),"")</f>
        <v/>
      </c>
      <c r="S473" s="6">
        <f ca="1">IFERROR(__xludf.DUMMYFUNCTION("""COMPUTED_VALUE"""),1865)</f>
        <v>1865</v>
      </c>
      <c r="T473" s="4"/>
      <c r="U473" s="4"/>
      <c r="V473" s="4"/>
      <c r="W473" s="4"/>
      <c r="X473" s="4"/>
      <c r="Y473" s="4"/>
      <c r="Z473" s="4"/>
      <c r="AA473" s="4"/>
      <c r="AB473" s="4"/>
    </row>
    <row r="474" spans="1:28" x14ac:dyDescent="0.2">
      <c r="A474" s="4" t="str">
        <f t="shared" si="2"/>
        <v/>
      </c>
      <c r="B474" s="4" t="str">
        <f t="shared" si="3"/>
        <v/>
      </c>
      <c r="C474" s="4"/>
      <c r="D474" s="4"/>
      <c r="E474" s="4"/>
      <c r="F474" s="4"/>
      <c r="G474" s="4"/>
      <c r="H474" s="4"/>
      <c r="I474" s="4"/>
      <c r="J474" s="4"/>
      <c r="K474" s="4"/>
      <c r="L474" s="4"/>
      <c r="M474" s="4"/>
      <c r="N474" s="6">
        <f ca="1">IFERROR(__xludf.DUMMYFUNCTION("""COMPUTED_VALUE"""),38)</f>
        <v>38</v>
      </c>
      <c r="O474" s="6">
        <f ca="1">IFERROR(__xludf.DUMMYFUNCTION("""COMPUTED_VALUE"""),39)</f>
        <v>39</v>
      </c>
      <c r="P474" s="4" t="str">
        <f ca="1">IFERROR(__xludf.DUMMYFUNCTION("""COMPUTED_VALUE"""),"")</f>
        <v/>
      </c>
      <c r="Q474" s="6">
        <f ca="1">IFERROR(__xludf.DUMMYFUNCTION("""COMPUTED_VALUE"""),769)</f>
        <v>769</v>
      </c>
      <c r="R474" s="4" t="str">
        <f ca="1">IFERROR(__xludf.DUMMYFUNCTION("""COMPUTED_VALUE"""),"")</f>
        <v/>
      </c>
      <c r="S474" s="6">
        <f ca="1">IFERROR(__xludf.DUMMYFUNCTION("""COMPUTED_VALUE"""),1865)</f>
        <v>1865</v>
      </c>
      <c r="T474" s="4"/>
      <c r="U474" s="4"/>
      <c r="V474" s="4"/>
      <c r="W474" s="4"/>
      <c r="X474" s="4"/>
      <c r="Y474" s="4"/>
      <c r="Z474" s="4"/>
      <c r="AA474" s="4"/>
      <c r="AB474" s="4"/>
    </row>
    <row r="475" spans="1:28" x14ac:dyDescent="0.2">
      <c r="A475" s="4" t="str">
        <f t="shared" si="2"/>
        <v/>
      </c>
      <c r="B475" s="4" t="str">
        <f t="shared" si="3"/>
        <v/>
      </c>
      <c r="C475" s="4"/>
      <c r="D475" s="4"/>
      <c r="E475" s="4"/>
      <c r="F475" s="4"/>
      <c r="G475" s="4"/>
      <c r="H475" s="4"/>
      <c r="I475" s="4"/>
      <c r="J475" s="4"/>
      <c r="K475" s="4"/>
      <c r="L475" s="4"/>
      <c r="M475" s="4"/>
      <c r="N475" s="6">
        <f ca="1">IFERROR(__xludf.DUMMYFUNCTION("""COMPUTED_VALUE"""),38)</f>
        <v>38</v>
      </c>
      <c r="O475" s="6">
        <f ca="1">IFERROR(__xludf.DUMMYFUNCTION("""COMPUTED_VALUE"""),39)</f>
        <v>39</v>
      </c>
      <c r="P475" s="4" t="str">
        <f ca="1">IFERROR(__xludf.DUMMYFUNCTION("""COMPUTED_VALUE"""),"")</f>
        <v/>
      </c>
      <c r="Q475" s="6">
        <f ca="1">IFERROR(__xludf.DUMMYFUNCTION("""COMPUTED_VALUE"""),769)</f>
        <v>769</v>
      </c>
      <c r="R475" s="4" t="str">
        <f ca="1">IFERROR(__xludf.DUMMYFUNCTION("""COMPUTED_VALUE"""),"")</f>
        <v/>
      </c>
      <c r="S475" s="6">
        <f ca="1">IFERROR(__xludf.DUMMYFUNCTION("""COMPUTED_VALUE"""),1865)</f>
        <v>1865</v>
      </c>
      <c r="T475" s="4"/>
      <c r="U475" s="4"/>
      <c r="V475" s="4"/>
      <c r="W475" s="4"/>
      <c r="X475" s="4"/>
      <c r="Y475" s="4"/>
      <c r="Z475" s="4"/>
      <c r="AA475" s="4"/>
      <c r="AB475" s="4"/>
    </row>
    <row r="476" spans="1:28" x14ac:dyDescent="0.2">
      <c r="A476" s="4" t="str">
        <f t="shared" si="2"/>
        <v/>
      </c>
      <c r="B476" s="4" t="str">
        <f t="shared" si="3"/>
        <v/>
      </c>
      <c r="C476" s="4"/>
      <c r="D476" s="4"/>
      <c r="E476" s="4"/>
      <c r="F476" s="4"/>
      <c r="G476" s="4"/>
      <c r="H476" s="4"/>
      <c r="I476" s="4"/>
      <c r="J476" s="4"/>
      <c r="K476" s="4"/>
      <c r="L476" s="4"/>
      <c r="M476" s="4"/>
      <c r="N476" s="6">
        <f ca="1">IFERROR(__xludf.DUMMYFUNCTION("""COMPUTED_VALUE"""),38)</f>
        <v>38</v>
      </c>
      <c r="O476" s="6">
        <f ca="1">IFERROR(__xludf.DUMMYFUNCTION("""COMPUTED_VALUE"""),39)</f>
        <v>39</v>
      </c>
      <c r="P476" s="4" t="str">
        <f ca="1">IFERROR(__xludf.DUMMYFUNCTION("""COMPUTED_VALUE"""),"")</f>
        <v/>
      </c>
      <c r="Q476" s="6">
        <f ca="1">IFERROR(__xludf.DUMMYFUNCTION("""COMPUTED_VALUE"""),769)</f>
        <v>769</v>
      </c>
      <c r="R476" s="4" t="str">
        <f ca="1">IFERROR(__xludf.DUMMYFUNCTION("""COMPUTED_VALUE"""),"")</f>
        <v/>
      </c>
      <c r="S476" s="6">
        <f ca="1">IFERROR(__xludf.DUMMYFUNCTION("""COMPUTED_VALUE"""),1865)</f>
        <v>1865</v>
      </c>
      <c r="T476" s="4"/>
      <c r="U476" s="4"/>
      <c r="V476" s="4"/>
      <c r="W476" s="4"/>
      <c r="X476" s="4"/>
      <c r="Y476" s="4"/>
      <c r="Z476" s="4"/>
      <c r="AA476" s="4"/>
      <c r="AB476" s="4"/>
    </row>
    <row r="477" spans="1:28" x14ac:dyDescent="0.2">
      <c r="A477" s="4" t="str">
        <f t="shared" si="2"/>
        <v/>
      </c>
      <c r="B477" s="4" t="str">
        <f t="shared" si="3"/>
        <v/>
      </c>
      <c r="C477" s="4"/>
      <c r="D477" s="4"/>
      <c r="E477" s="4"/>
      <c r="F477" s="4"/>
      <c r="G477" s="4"/>
      <c r="H477" s="4"/>
      <c r="I477" s="4"/>
      <c r="J477" s="4"/>
      <c r="K477" s="4"/>
      <c r="L477" s="4"/>
      <c r="M477" s="4"/>
      <c r="N477" s="6">
        <f ca="1">IFERROR(__xludf.DUMMYFUNCTION("""COMPUTED_VALUE"""),38)</f>
        <v>38</v>
      </c>
      <c r="O477" s="6">
        <f ca="1">IFERROR(__xludf.DUMMYFUNCTION("""COMPUTED_VALUE"""),39)</f>
        <v>39</v>
      </c>
      <c r="P477" s="4" t="str">
        <f ca="1">IFERROR(__xludf.DUMMYFUNCTION("""COMPUTED_VALUE"""),"")</f>
        <v/>
      </c>
      <c r="Q477" s="6">
        <f ca="1">IFERROR(__xludf.DUMMYFUNCTION("""COMPUTED_VALUE"""),769)</f>
        <v>769</v>
      </c>
      <c r="R477" s="4" t="str">
        <f ca="1">IFERROR(__xludf.DUMMYFUNCTION("""COMPUTED_VALUE"""),"")</f>
        <v/>
      </c>
      <c r="S477" s="6">
        <f ca="1">IFERROR(__xludf.DUMMYFUNCTION("""COMPUTED_VALUE"""),1865)</f>
        <v>1865</v>
      </c>
      <c r="T477" s="4"/>
      <c r="U477" s="4"/>
      <c r="V477" s="4"/>
      <c r="W477" s="4"/>
      <c r="X477" s="4"/>
      <c r="Y477" s="4"/>
      <c r="Z477" s="4"/>
      <c r="AA477" s="4"/>
      <c r="AB477" s="4"/>
    </row>
    <row r="478" spans="1:28" x14ac:dyDescent="0.2">
      <c r="A478" s="4" t="str">
        <f t="shared" si="2"/>
        <v/>
      </c>
      <c r="B478" s="4" t="str">
        <f t="shared" si="3"/>
        <v/>
      </c>
      <c r="C478" s="4"/>
      <c r="D478" s="4"/>
      <c r="E478" s="4"/>
      <c r="F478" s="4"/>
      <c r="G478" s="4"/>
      <c r="H478" s="4"/>
      <c r="I478" s="4"/>
      <c r="J478" s="4"/>
      <c r="K478" s="4"/>
      <c r="L478" s="4"/>
      <c r="M478" s="4"/>
      <c r="N478" s="6">
        <f ca="1">IFERROR(__xludf.DUMMYFUNCTION("""COMPUTED_VALUE"""),38)</f>
        <v>38</v>
      </c>
      <c r="O478" s="6">
        <f ca="1">IFERROR(__xludf.DUMMYFUNCTION("""COMPUTED_VALUE"""),39)</f>
        <v>39</v>
      </c>
      <c r="P478" s="4" t="str">
        <f ca="1">IFERROR(__xludf.DUMMYFUNCTION("""COMPUTED_VALUE"""),"")</f>
        <v/>
      </c>
      <c r="Q478" s="6">
        <f ca="1">IFERROR(__xludf.DUMMYFUNCTION("""COMPUTED_VALUE"""),769)</f>
        <v>769</v>
      </c>
      <c r="R478" s="4" t="str">
        <f ca="1">IFERROR(__xludf.DUMMYFUNCTION("""COMPUTED_VALUE"""),"")</f>
        <v/>
      </c>
      <c r="S478" s="6">
        <f ca="1">IFERROR(__xludf.DUMMYFUNCTION("""COMPUTED_VALUE"""),1865)</f>
        <v>1865</v>
      </c>
      <c r="T478" s="4"/>
      <c r="U478" s="4"/>
      <c r="V478" s="4"/>
      <c r="W478" s="4"/>
      <c r="X478" s="4"/>
      <c r="Y478" s="4"/>
      <c r="Z478" s="4"/>
      <c r="AA478" s="4"/>
      <c r="AB478" s="4"/>
    </row>
    <row r="479" spans="1:28" x14ac:dyDescent="0.2">
      <c r="A479" s="4" t="str">
        <f t="shared" si="2"/>
        <v/>
      </c>
      <c r="B479" s="4" t="str">
        <f t="shared" si="3"/>
        <v/>
      </c>
      <c r="C479" s="4"/>
      <c r="D479" s="4"/>
      <c r="E479" s="4"/>
      <c r="F479" s="4"/>
      <c r="G479" s="4"/>
      <c r="H479" s="4"/>
      <c r="I479" s="4"/>
      <c r="J479" s="4"/>
      <c r="K479" s="4"/>
      <c r="L479" s="4"/>
      <c r="M479" s="4"/>
      <c r="N479" s="6">
        <f ca="1">IFERROR(__xludf.DUMMYFUNCTION("""COMPUTED_VALUE"""),38)</f>
        <v>38</v>
      </c>
      <c r="O479" s="6">
        <f ca="1">IFERROR(__xludf.DUMMYFUNCTION("""COMPUTED_VALUE"""),39)</f>
        <v>39</v>
      </c>
      <c r="P479" s="4" t="str">
        <f ca="1">IFERROR(__xludf.DUMMYFUNCTION("""COMPUTED_VALUE"""),"")</f>
        <v/>
      </c>
      <c r="Q479" s="6">
        <f ca="1">IFERROR(__xludf.DUMMYFUNCTION("""COMPUTED_VALUE"""),769)</f>
        <v>769</v>
      </c>
      <c r="R479" s="4" t="str">
        <f ca="1">IFERROR(__xludf.DUMMYFUNCTION("""COMPUTED_VALUE"""),"")</f>
        <v/>
      </c>
      <c r="S479" s="6">
        <f ca="1">IFERROR(__xludf.DUMMYFUNCTION("""COMPUTED_VALUE"""),1865)</f>
        <v>1865</v>
      </c>
      <c r="T479" s="4"/>
      <c r="U479" s="4"/>
      <c r="V479" s="4"/>
      <c r="W479" s="4"/>
      <c r="X479" s="4"/>
      <c r="Y479" s="4"/>
      <c r="Z479" s="4"/>
      <c r="AA479" s="4"/>
      <c r="AB479" s="4"/>
    </row>
    <row r="480" spans="1:28" x14ac:dyDescent="0.2">
      <c r="A480" s="4" t="str">
        <f t="shared" si="2"/>
        <v/>
      </c>
      <c r="B480" s="4" t="str">
        <f t="shared" si="3"/>
        <v/>
      </c>
      <c r="C480" s="4"/>
      <c r="D480" s="4"/>
      <c r="E480" s="4"/>
      <c r="F480" s="4"/>
      <c r="G480" s="4"/>
      <c r="H480" s="4"/>
      <c r="I480" s="4"/>
      <c r="J480" s="4"/>
      <c r="K480" s="4"/>
      <c r="L480" s="4"/>
      <c r="M480" s="4"/>
      <c r="N480" s="6">
        <f ca="1">IFERROR(__xludf.DUMMYFUNCTION("""COMPUTED_VALUE"""),38)</f>
        <v>38</v>
      </c>
      <c r="O480" s="6">
        <f ca="1">IFERROR(__xludf.DUMMYFUNCTION("""COMPUTED_VALUE"""),39)</f>
        <v>39</v>
      </c>
      <c r="P480" s="4" t="str">
        <f ca="1">IFERROR(__xludf.DUMMYFUNCTION("""COMPUTED_VALUE"""),"")</f>
        <v/>
      </c>
      <c r="Q480" s="6">
        <f ca="1">IFERROR(__xludf.DUMMYFUNCTION("""COMPUTED_VALUE"""),769)</f>
        <v>769</v>
      </c>
      <c r="R480" s="4" t="str">
        <f ca="1">IFERROR(__xludf.DUMMYFUNCTION("""COMPUTED_VALUE"""),"")</f>
        <v/>
      </c>
      <c r="S480" s="6">
        <f ca="1">IFERROR(__xludf.DUMMYFUNCTION("""COMPUTED_VALUE"""),1865)</f>
        <v>1865</v>
      </c>
      <c r="T480" s="4"/>
      <c r="U480" s="4"/>
      <c r="V480" s="4"/>
      <c r="W480" s="4"/>
      <c r="X480" s="4"/>
      <c r="Y480" s="4"/>
      <c r="Z480" s="4"/>
      <c r="AA480" s="4"/>
      <c r="AB480" s="4"/>
    </row>
    <row r="481" spans="1:28" x14ac:dyDescent="0.2">
      <c r="A481" s="4" t="str">
        <f t="shared" si="2"/>
        <v/>
      </c>
      <c r="B481" s="4" t="str">
        <f t="shared" si="3"/>
        <v/>
      </c>
      <c r="C481" s="4"/>
      <c r="D481" s="4"/>
      <c r="E481" s="4"/>
      <c r="F481" s="4"/>
      <c r="G481" s="4"/>
      <c r="H481" s="4"/>
      <c r="I481" s="4"/>
      <c r="J481" s="4"/>
      <c r="K481" s="4"/>
      <c r="L481" s="4"/>
      <c r="M481" s="4"/>
      <c r="N481" s="6">
        <f ca="1">IFERROR(__xludf.DUMMYFUNCTION("""COMPUTED_VALUE"""),38)</f>
        <v>38</v>
      </c>
      <c r="O481" s="6">
        <f ca="1">IFERROR(__xludf.DUMMYFUNCTION("""COMPUTED_VALUE"""),39)</f>
        <v>39</v>
      </c>
      <c r="P481" s="4" t="str">
        <f ca="1">IFERROR(__xludf.DUMMYFUNCTION("""COMPUTED_VALUE"""),"")</f>
        <v/>
      </c>
      <c r="Q481" s="6">
        <f ca="1">IFERROR(__xludf.DUMMYFUNCTION("""COMPUTED_VALUE"""),769)</f>
        <v>769</v>
      </c>
      <c r="R481" s="4" t="str">
        <f ca="1">IFERROR(__xludf.DUMMYFUNCTION("""COMPUTED_VALUE"""),"")</f>
        <v/>
      </c>
      <c r="S481" s="6">
        <f ca="1">IFERROR(__xludf.DUMMYFUNCTION("""COMPUTED_VALUE"""),1865)</f>
        <v>1865</v>
      </c>
      <c r="T481" s="4"/>
      <c r="U481" s="4"/>
      <c r="V481" s="4"/>
      <c r="W481" s="4"/>
      <c r="X481" s="4"/>
      <c r="Y481" s="4"/>
      <c r="Z481" s="4"/>
      <c r="AA481" s="4"/>
      <c r="AB481" s="4"/>
    </row>
    <row r="482" spans="1:28" x14ac:dyDescent="0.2">
      <c r="A482" s="4" t="str">
        <f t="shared" si="2"/>
        <v/>
      </c>
      <c r="B482" s="4" t="str">
        <f t="shared" si="3"/>
        <v/>
      </c>
      <c r="C482" s="4"/>
      <c r="D482" s="4"/>
      <c r="E482" s="4"/>
      <c r="F482" s="4"/>
      <c r="G482" s="4"/>
      <c r="H482" s="4"/>
      <c r="I482" s="4"/>
      <c r="J482" s="4"/>
      <c r="K482" s="4"/>
      <c r="L482" s="4"/>
      <c r="M482" s="4"/>
      <c r="N482" s="6">
        <f ca="1">IFERROR(__xludf.DUMMYFUNCTION("""COMPUTED_VALUE"""),38)</f>
        <v>38</v>
      </c>
      <c r="O482" s="6">
        <f ca="1">IFERROR(__xludf.DUMMYFUNCTION("""COMPUTED_VALUE"""),39)</f>
        <v>39</v>
      </c>
      <c r="P482" s="4" t="str">
        <f ca="1">IFERROR(__xludf.DUMMYFUNCTION("""COMPUTED_VALUE"""),"")</f>
        <v/>
      </c>
      <c r="Q482" s="6">
        <f ca="1">IFERROR(__xludf.DUMMYFUNCTION("""COMPUTED_VALUE"""),769)</f>
        <v>769</v>
      </c>
      <c r="R482" s="4" t="str">
        <f ca="1">IFERROR(__xludf.DUMMYFUNCTION("""COMPUTED_VALUE"""),"")</f>
        <v/>
      </c>
      <c r="S482" s="6">
        <f ca="1">IFERROR(__xludf.DUMMYFUNCTION("""COMPUTED_VALUE"""),1865)</f>
        <v>1865</v>
      </c>
      <c r="T482" s="4"/>
      <c r="U482" s="4"/>
      <c r="V482" s="4"/>
      <c r="W482" s="4"/>
      <c r="X482" s="4"/>
      <c r="Y482" s="4"/>
      <c r="Z482" s="4"/>
      <c r="AA482" s="4"/>
      <c r="AB482" s="4"/>
    </row>
    <row r="483" spans="1:28" x14ac:dyDescent="0.2">
      <c r="A483" s="4" t="str">
        <f t="shared" si="2"/>
        <v/>
      </c>
      <c r="B483" s="4" t="str">
        <f t="shared" si="3"/>
        <v/>
      </c>
      <c r="C483" s="4"/>
      <c r="D483" s="4"/>
      <c r="E483" s="4"/>
      <c r="F483" s="4"/>
      <c r="G483" s="4"/>
      <c r="H483" s="4"/>
      <c r="I483" s="4"/>
      <c r="J483" s="4"/>
      <c r="K483" s="4"/>
      <c r="L483" s="4"/>
      <c r="M483" s="4"/>
      <c r="N483" s="6">
        <f ca="1">IFERROR(__xludf.DUMMYFUNCTION("""COMPUTED_VALUE"""),38)</f>
        <v>38</v>
      </c>
      <c r="O483" s="6">
        <f ca="1">IFERROR(__xludf.DUMMYFUNCTION("""COMPUTED_VALUE"""),39)</f>
        <v>39</v>
      </c>
      <c r="P483" s="4" t="str">
        <f ca="1">IFERROR(__xludf.DUMMYFUNCTION("""COMPUTED_VALUE"""),"")</f>
        <v/>
      </c>
      <c r="Q483" s="6">
        <f ca="1">IFERROR(__xludf.DUMMYFUNCTION("""COMPUTED_VALUE"""),769)</f>
        <v>769</v>
      </c>
      <c r="R483" s="4" t="str">
        <f ca="1">IFERROR(__xludf.DUMMYFUNCTION("""COMPUTED_VALUE"""),"")</f>
        <v/>
      </c>
      <c r="S483" s="6">
        <f ca="1">IFERROR(__xludf.DUMMYFUNCTION("""COMPUTED_VALUE"""),1865)</f>
        <v>1865</v>
      </c>
      <c r="T483" s="4"/>
      <c r="U483" s="4"/>
      <c r="V483" s="4"/>
      <c r="W483" s="4"/>
      <c r="X483" s="4"/>
      <c r="Y483" s="4"/>
      <c r="Z483" s="4"/>
      <c r="AA483" s="4"/>
      <c r="AB483" s="4"/>
    </row>
    <row r="484" spans="1:28" x14ac:dyDescent="0.2">
      <c r="A484" s="4" t="str">
        <f t="shared" si="2"/>
        <v/>
      </c>
      <c r="B484" s="4" t="str">
        <f t="shared" si="3"/>
        <v/>
      </c>
      <c r="C484" s="4"/>
      <c r="D484" s="4"/>
      <c r="E484" s="4"/>
      <c r="F484" s="4"/>
      <c r="G484" s="4"/>
      <c r="H484" s="4"/>
      <c r="I484" s="4"/>
      <c r="J484" s="4"/>
      <c r="K484" s="4"/>
      <c r="L484" s="4"/>
      <c r="M484" s="4"/>
      <c r="N484" s="6">
        <f ca="1">IFERROR(__xludf.DUMMYFUNCTION("""COMPUTED_VALUE"""),38)</f>
        <v>38</v>
      </c>
      <c r="O484" s="6">
        <f ca="1">IFERROR(__xludf.DUMMYFUNCTION("""COMPUTED_VALUE"""),39)</f>
        <v>39</v>
      </c>
      <c r="P484" s="4" t="str">
        <f ca="1">IFERROR(__xludf.DUMMYFUNCTION("""COMPUTED_VALUE"""),"")</f>
        <v/>
      </c>
      <c r="Q484" s="6">
        <f ca="1">IFERROR(__xludf.DUMMYFUNCTION("""COMPUTED_VALUE"""),769)</f>
        <v>769</v>
      </c>
      <c r="R484" s="4" t="str">
        <f ca="1">IFERROR(__xludf.DUMMYFUNCTION("""COMPUTED_VALUE"""),"")</f>
        <v/>
      </c>
      <c r="S484" s="6">
        <f ca="1">IFERROR(__xludf.DUMMYFUNCTION("""COMPUTED_VALUE"""),1865)</f>
        <v>1865</v>
      </c>
      <c r="T484" s="4"/>
      <c r="U484" s="4"/>
      <c r="V484" s="4"/>
      <c r="W484" s="4"/>
      <c r="X484" s="4"/>
      <c r="Y484" s="4"/>
      <c r="Z484" s="4"/>
      <c r="AA484" s="4"/>
      <c r="AB484" s="4"/>
    </row>
    <row r="485" spans="1:28" x14ac:dyDescent="0.2">
      <c r="A485" s="4" t="str">
        <f t="shared" si="2"/>
        <v/>
      </c>
      <c r="B485" s="4" t="str">
        <f t="shared" si="3"/>
        <v/>
      </c>
      <c r="C485" s="4"/>
      <c r="D485" s="4"/>
      <c r="E485" s="4"/>
      <c r="F485" s="4"/>
      <c r="G485" s="4"/>
      <c r="H485" s="4"/>
      <c r="I485" s="4"/>
      <c r="J485" s="4"/>
      <c r="K485" s="4"/>
      <c r="L485" s="4"/>
      <c r="M485" s="4"/>
      <c r="N485" s="6">
        <f ca="1">IFERROR(__xludf.DUMMYFUNCTION("""COMPUTED_VALUE"""),38)</f>
        <v>38</v>
      </c>
      <c r="O485" s="6">
        <f ca="1">IFERROR(__xludf.DUMMYFUNCTION("""COMPUTED_VALUE"""),39)</f>
        <v>39</v>
      </c>
      <c r="P485" s="4" t="str">
        <f ca="1">IFERROR(__xludf.DUMMYFUNCTION("""COMPUTED_VALUE"""),"")</f>
        <v/>
      </c>
      <c r="Q485" s="6">
        <f ca="1">IFERROR(__xludf.DUMMYFUNCTION("""COMPUTED_VALUE"""),769)</f>
        <v>769</v>
      </c>
      <c r="R485" s="4" t="str">
        <f ca="1">IFERROR(__xludf.DUMMYFUNCTION("""COMPUTED_VALUE"""),"")</f>
        <v/>
      </c>
      <c r="S485" s="6">
        <f ca="1">IFERROR(__xludf.DUMMYFUNCTION("""COMPUTED_VALUE"""),1865)</f>
        <v>1865</v>
      </c>
      <c r="T485" s="4"/>
      <c r="U485" s="4"/>
      <c r="V485" s="4"/>
      <c r="W485" s="4"/>
      <c r="X485" s="4"/>
      <c r="Y485" s="4"/>
      <c r="Z485" s="4"/>
      <c r="AA485" s="4"/>
      <c r="AB485" s="4"/>
    </row>
    <row r="486" spans="1:28" x14ac:dyDescent="0.2">
      <c r="A486" s="4" t="str">
        <f t="shared" si="2"/>
        <v/>
      </c>
      <c r="B486" s="4" t="str">
        <f t="shared" si="3"/>
        <v/>
      </c>
      <c r="C486" s="4"/>
      <c r="D486" s="4"/>
      <c r="E486" s="4"/>
      <c r="F486" s="4"/>
      <c r="G486" s="4"/>
      <c r="H486" s="4"/>
      <c r="I486" s="4"/>
      <c r="J486" s="4"/>
      <c r="K486" s="4"/>
      <c r="L486" s="4"/>
      <c r="M486" s="4"/>
      <c r="N486" s="6">
        <f ca="1">IFERROR(__xludf.DUMMYFUNCTION("""COMPUTED_VALUE"""),38)</f>
        <v>38</v>
      </c>
      <c r="O486" s="6">
        <f ca="1">IFERROR(__xludf.DUMMYFUNCTION("""COMPUTED_VALUE"""),39)</f>
        <v>39</v>
      </c>
      <c r="P486" s="4" t="str">
        <f ca="1">IFERROR(__xludf.DUMMYFUNCTION("""COMPUTED_VALUE"""),"")</f>
        <v/>
      </c>
      <c r="Q486" s="6">
        <f ca="1">IFERROR(__xludf.DUMMYFUNCTION("""COMPUTED_VALUE"""),769)</f>
        <v>769</v>
      </c>
      <c r="R486" s="4" t="str">
        <f ca="1">IFERROR(__xludf.DUMMYFUNCTION("""COMPUTED_VALUE"""),"")</f>
        <v/>
      </c>
      <c r="S486" s="6">
        <f ca="1">IFERROR(__xludf.DUMMYFUNCTION("""COMPUTED_VALUE"""),1865)</f>
        <v>1865</v>
      </c>
      <c r="T486" s="4"/>
      <c r="U486" s="4"/>
      <c r="V486" s="4"/>
      <c r="W486" s="4"/>
      <c r="X486" s="4"/>
      <c r="Y486" s="4"/>
      <c r="Z486" s="4"/>
      <c r="AA486" s="4"/>
      <c r="AB486" s="4"/>
    </row>
    <row r="487" spans="1:28" x14ac:dyDescent="0.2">
      <c r="A487" s="4" t="str">
        <f t="shared" si="2"/>
        <v/>
      </c>
      <c r="B487" s="4" t="str">
        <f t="shared" si="3"/>
        <v/>
      </c>
      <c r="C487" s="4"/>
      <c r="D487" s="4"/>
      <c r="E487" s="4"/>
      <c r="F487" s="4"/>
      <c r="G487" s="4"/>
      <c r="H487" s="4"/>
      <c r="I487" s="4"/>
      <c r="J487" s="4"/>
      <c r="K487" s="4"/>
      <c r="L487" s="4"/>
      <c r="M487" s="4"/>
      <c r="N487" s="6">
        <f ca="1">IFERROR(__xludf.DUMMYFUNCTION("""COMPUTED_VALUE"""),38)</f>
        <v>38</v>
      </c>
      <c r="O487" s="6">
        <f ca="1">IFERROR(__xludf.DUMMYFUNCTION("""COMPUTED_VALUE"""),39)</f>
        <v>39</v>
      </c>
      <c r="P487" s="4" t="str">
        <f ca="1">IFERROR(__xludf.DUMMYFUNCTION("""COMPUTED_VALUE"""),"")</f>
        <v/>
      </c>
      <c r="Q487" s="6">
        <f ca="1">IFERROR(__xludf.DUMMYFUNCTION("""COMPUTED_VALUE"""),769)</f>
        <v>769</v>
      </c>
      <c r="R487" s="4" t="str">
        <f ca="1">IFERROR(__xludf.DUMMYFUNCTION("""COMPUTED_VALUE"""),"")</f>
        <v/>
      </c>
      <c r="S487" s="6">
        <f ca="1">IFERROR(__xludf.DUMMYFUNCTION("""COMPUTED_VALUE"""),1865)</f>
        <v>1865</v>
      </c>
      <c r="T487" s="4"/>
      <c r="U487" s="4"/>
      <c r="V487" s="4"/>
      <c r="W487" s="4"/>
      <c r="X487" s="4"/>
      <c r="Y487" s="4"/>
      <c r="Z487" s="4"/>
      <c r="AA487" s="4"/>
      <c r="AB487" s="4"/>
    </row>
    <row r="488" spans="1:28" x14ac:dyDescent="0.2">
      <c r="A488" s="4" t="str">
        <f t="shared" si="2"/>
        <v/>
      </c>
      <c r="B488" s="4" t="str">
        <f t="shared" si="3"/>
        <v/>
      </c>
      <c r="C488" s="4"/>
      <c r="D488" s="4"/>
      <c r="E488" s="4"/>
      <c r="F488" s="4"/>
      <c r="G488" s="4"/>
      <c r="H488" s="4"/>
      <c r="I488" s="4"/>
      <c r="J488" s="4"/>
      <c r="K488" s="4"/>
      <c r="L488" s="4"/>
      <c r="M488" s="4"/>
      <c r="N488" s="6">
        <f ca="1">IFERROR(__xludf.DUMMYFUNCTION("""COMPUTED_VALUE"""),38)</f>
        <v>38</v>
      </c>
      <c r="O488" s="6">
        <f ca="1">IFERROR(__xludf.DUMMYFUNCTION("""COMPUTED_VALUE"""),39)</f>
        <v>39</v>
      </c>
      <c r="P488" s="4" t="str">
        <f ca="1">IFERROR(__xludf.DUMMYFUNCTION("""COMPUTED_VALUE"""),"")</f>
        <v/>
      </c>
      <c r="Q488" s="6">
        <f ca="1">IFERROR(__xludf.DUMMYFUNCTION("""COMPUTED_VALUE"""),769)</f>
        <v>769</v>
      </c>
      <c r="R488" s="4" t="str">
        <f ca="1">IFERROR(__xludf.DUMMYFUNCTION("""COMPUTED_VALUE"""),"")</f>
        <v/>
      </c>
      <c r="S488" s="6">
        <f ca="1">IFERROR(__xludf.DUMMYFUNCTION("""COMPUTED_VALUE"""),1865)</f>
        <v>1865</v>
      </c>
      <c r="T488" s="4"/>
      <c r="U488" s="4"/>
      <c r="V488" s="4"/>
      <c r="W488" s="4"/>
      <c r="X488" s="4"/>
      <c r="Y488" s="4"/>
      <c r="Z488" s="4"/>
      <c r="AA488" s="4"/>
      <c r="AB488" s="4"/>
    </row>
    <row r="489" spans="1:28" x14ac:dyDescent="0.2">
      <c r="A489" s="4" t="str">
        <f t="shared" si="2"/>
        <v/>
      </c>
      <c r="B489" s="4" t="str">
        <f t="shared" si="3"/>
        <v/>
      </c>
      <c r="C489" s="4"/>
      <c r="D489" s="4"/>
      <c r="E489" s="4"/>
      <c r="F489" s="4"/>
      <c r="G489" s="4"/>
      <c r="H489" s="4"/>
      <c r="I489" s="4"/>
      <c r="J489" s="4"/>
      <c r="K489" s="4"/>
      <c r="L489" s="4"/>
      <c r="M489" s="4"/>
      <c r="N489" s="6">
        <f ca="1">IFERROR(__xludf.DUMMYFUNCTION("""COMPUTED_VALUE"""),38)</f>
        <v>38</v>
      </c>
      <c r="O489" s="6">
        <f ca="1">IFERROR(__xludf.DUMMYFUNCTION("""COMPUTED_VALUE"""),39)</f>
        <v>39</v>
      </c>
      <c r="P489" s="4" t="str">
        <f ca="1">IFERROR(__xludf.DUMMYFUNCTION("""COMPUTED_VALUE"""),"")</f>
        <v/>
      </c>
      <c r="Q489" s="6">
        <f ca="1">IFERROR(__xludf.DUMMYFUNCTION("""COMPUTED_VALUE"""),769)</f>
        <v>769</v>
      </c>
      <c r="R489" s="4" t="str">
        <f ca="1">IFERROR(__xludf.DUMMYFUNCTION("""COMPUTED_VALUE"""),"")</f>
        <v/>
      </c>
      <c r="S489" s="6">
        <f ca="1">IFERROR(__xludf.DUMMYFUNCTION("""COMPUTED_VALUE"""),1865)</f>
        <v>1865</v>
      </c>
      <c r="T489" s="4"/>
      <c r="U489" s="4"/>
      <c r="V489" s="4"/>
      <c r="W489" s="4"/>
      <c r="X489" s="4"/>
      <c r="Y489" s="4"/>
      <c r="Z489" s="4"/>
      <c r="AA489" s="4"/>
      <c r="AB489" s="4"/>
    </row>
    <row r="490" spans="1:28" x14ac:dyDescent="0.2">
      <c r="A490" s="4" t="str">
        <f t="shared" si="2"/>
        <v/>
      </c>
      <c r="B490" s="4" t="str">
        <f t="shared" si="3"/>
        <v/>
      </c>
      <c r="C490" s="4"/>
      <c r="D490" s="4"/>
      <c r="E490" s="4"/>
      <c r="F490" s="4"/>
      <c r="G490" s="4"/>
      <c r="H490" s="4"/>
      <c r="I490" s="4"/>
      <c r="J490" s="4"/>
      <c r="K490" s="4"/>
      <c r="L490" s="4"/>
      <c r="M490" s="4"/>
      <c r="N490" s="6">
        <f ca="1">IFERROR(__xludf.DUMMYFUNCTION("""COMPUTED_VALUE"""),38)</f>
        <v>38</v>
      </c>
      <c r="O490" s="6">
        <f ca="1">IFERROR(__xludf.DUMMYFUNCTION("""COMPUTED_VALUE"""),39)</f>
        <v>39</v>
      </c>
      <c r="P490" s="4" t="str">
        <f ca="1">IFERROR(__xludf.DUMMYFUNCTION("""COMPUTED_VALUE"""),"")</f>
        <v/>
      </c>
      <c r="Q490" s="6">
        <f ca="1">IFERROR(__xludf.DUMMYFUNCTION("""COMPUTED_VALUE"""),769)</f>
        <v>769</v>
      </c>
      <c r="R490" s="4" t="str">
        <f ca="1">IFERROR(__xludf.DUMMYFUNCTION("""COMPUTED_VALUE"""),"")</f>
        <v/>
      </c>
      <c r="S490" s="6">
        <f ca="1">IFERROR(__xludf.DUMMYFUNCTION("""COMPUTED_VALUE"""),1865)</f>
        <v>1865</v>
      </c>
      <c r="T490" s="4"/>
      <c r="U490" s="4"/>
      <c r="V490" s="4"/>
      <c r="W490" s="4"/>
      <c r="X490" s="4"/>
      <c r="Y490" s="4"/>
      <c r="Z490" s="4"/>
      <c r="AA490" s="4"/>
      <c r="AB490" s="4"/>
    </row>
    <row r="491" spans="1:28" x14ac:dyDescent="0.2">
      <c r="A491" s="4" t="str">
        <f t="shared" si="2"/>
        <v/>
      </c>
      <c r="B491" s="4" t="str">
        <f t="shared" si="3"/>
        <v/>
      </c>
      <c r="C491" s="4"/>
      <c r="D491" s="4"/>
      <c r="E491" s="4"/>
      <c r="F491" s="4"/>
      <c r="G491" s="4"/>
      <c r="H491" s="4"/>
      <c r="I491" s="4"/>
      <c r="J491" s="4"/>
      <c r="K491" s="4"/>
      <c r="L491" s="4"/>
      <c r="M491" s="4"/>
      <c r="N491" s="6">
        <f ca="1">IFERROR(__xludf.DUMMYFUNCTION("""COMPUTED_VALUE"""),38)</f>
        <v>38</v>
      </c>
      <c r="O491" s="6">
        <f ca="1">IFERROR(__xludf.DUMMYFUNCTION("""COMPUTED_VALUE"""),39)</f>
        <v>39</v>
      </c>
      <c r="P491" s="4" t="str">
        <f ca="1">IFERROR(__xludf.DUMMYFUNCTION("""COMPUTED_VALUE"""),"")</f>
        <v/>
      </c>
      <c r="Q491" s="6">
        <f ca="1">IFERROR(__xludf.DUMMYFUNCTION("""COMPUTED_VALUE"""),769)</f>
        <v>769</v>
      </c>
      <c r="R491" s="4" t="str">
        <f ca="1">IFERROR(__xludf.DUMMYFUNCTION("""COMPUTED_VALUE"""),"")</f>
        <v/>
      </c>
      <c r="S491" s="6">
        <f ca="1">IFERROR(__xludf.DUMMYFUNCTION("""COMPUTED_VALUE"""),1865)</f>
        <v>1865</v>
      </c>
      <c r="T491" s="4"/>
      <c r="U491" s="4"/>
      <c r="V491" s="4"/>
      <c r="W491" s="4"/>
      <c r="X491" s="4"/>
      <c r="Y491" s="4"/>
      <c r="Z491" s="4"/>
      <c r="AA491" s="4"/>
      <c r="AB491" s="4"/>
    </row>
    <row r="492" spans="1:28" x14ac:dyDescent="0.2">
      <c r="A492" s="4" t="str">
        <f t="shared" si="2"/>
        <v/>
      </c>
      <c r="B492" s="4" t="str">
        <f t="shared" si="3"/>
        <v/>
      </c>
      <c r="C492" s="4"/>
      <c r="D492" s="4"/>
      <c r="E492" s="4"/>
      <c r="F492" s="4"/>
      <c r="G492" s="4"/>
      <c r="H492" s="4"/>
      <c r="I492" s="4"/>
      <c r="J492" s="4"/>
      <c r="K492" s="4"/>
      <c r="L492" s="4"/>
      <c r="M492" s="4"/>
      <c r="N492" s="6">
        <f ca="1">IFERROR(__xludf.DUMMYFUNCTION("""COMPUTED_VALUE"""),38)</f>
        <v>38</v>
      </c>
      <c r="O492" s="6">
        <f ca="1">IFERROR(__xludf.DUMMYFUNCTION("""COMPUTED_VALUE"""),39)</f>
        <v>39</v>
      </c>
      <c r="P492" s="4" t="str">
        <f ca="1">IFERROR(__xludf.DUMMYFUNCTION("""COMPUTED_VALUE"""),"")</f>
        <v/>
      </c>
      <c r="Q492" s="6">
        <f ca="1">IFERROR(__xludf.DUMMYFUNCTION("""COMPUTED_VALUE"""),769)</f>
        <v>769</v>
      </c>
      <c r="R492" s="4" t="str">
        <f ca="1">IFERROR(__xludf.DUMMYFUNCTION("""COMPUTED_VALUE"""),"")</f>
        <v/>
      </c>
      <c r="S492" s="6">
        <f ca="1">IFERROR(__xludf.DUMMYFUNCTION("""COMPUTED_VALUE"""),1865)</f>
        <v>1865</v>
      </c>
      <c r="T492" s="4"/>
      <c r="U492" s="4"/>
      <c r="V492" s="4"/>
      <c r="W492" s="4"/>
      <c r="X492" s="4"/>
      <c r="Y492" s="4"/>
      <c r="Z492" s="4"/>
      <c r="AA492" s="4"/>
      <c r="AB492" s="4"/>
    </row>
    <row r="493" spans="1:28" x14ac:dyDescent="0.2">
      <c r="A493" s="4" t="str">
        <f t="shared" si="2"/>
        <v/>
      </c>
      <c r="B493" s="4" t="str">
        <f t="shared" si="3"/>
        <v/>
      </c>
      <c r="C493" s="4"/>
      <c r="D493" s="4"/>
      <c r="E493" s="4"/>
      <c r="F493" s="4"/>
      <c r="G493" s="4"/>
      <c r="H493" s="4"/>
      <c r="I493" s="4"/>
      <c r="J493" s="4"/>
      <c r="K493" s="4"/>
      <c r="L493" s="4"/>
      <c r="M493" s="4"/>
      <c r="N493" s="6">
        <f ca="1">IFERROR(__xludf.DUMMYFUNCTION("""COMPUTED_VALUE"""),38)</f>
        <v>38</v>
      </c>
      <c r="O493" s="6">
        <f ca="1">IFERROR(__xludf.DUMMYFUNCTION("""COMPUTED_VALUE"""),39)</f>
        <v>39</v>
      </c>
      <c r="P493" s="4" t="str">
        <f ca="1">IFERROR(__xludf.DUMMYFUNCTION("""COMPUTED_VALUE"""),"")</f>
        <v/>
      </c>
      <c r="Q493" s="6">
        <f ca="1">IFERROR(__xludf.DUMMYFUNCTION("""COMPUTED_VALUE"""),769)</f>
        <v>769</v>
      </c>
      <c r="R493" s="4" t="str">
        <f ca="1">IFERROR(__xludf.DUMMYFUNCTION("""COMPUTED_VALUE"""),"")</f>
        <v/>
      </c>
      <c r="S493" s="6">
        <f ca="1">IFERROR(__xludf.DUMMYFUNCTION("""COMPUTED_VALUE"""),1865)</f>
        <v>1865</v>
      </c>
      <c r="T493" s="4"/>
      <c r="U493" s="4"/>
      <c r="V493" s="4"/>
      <c r="W493" s="4"/>
      <c r="X493" s="4"/>
      <c r="Y493" s="4"/>
      <c r="Z493" s="4"/>
      <c r="AA493" s="4"/>
      <c r="AB493" s="4"/>
    </row>
    <row r="494" spans="1:28" x14ac:dyDescent="0.2">
      <c r="A494" s="4" t="str">
        <f t="shared" si="2"/>
        <v/>
      </c>
      <c r="B494" s="4" t="str">
        <f t="shared" si="3"/>
        <v/>
      </c>
      <c r="C494" s="4"/>
      <c r="D494" s="4"/>
      <c r="E494" s="4"/>
      <c r="F494" s="4"/>
      <c r="G494" s="4"/>
      <c r="H494" s="4"/>
      <c r="I494" s="4"/>
      <c r="J494" s="4"/>
      <c r="K494" s="4"/>
      <c r="L494" s="4"/>
      <c r="M494" s="4"/>
      <c r="N494" s="6">
        <f ca="1">IFERROR(__xludf.DUMMYFUNCTION("""COMPUTED_VALUE"""),38)</f>
        <v>38</v>
      </c>
      <c r="O494" s="6">
        <f ca="1">IFERROR(__xludf.DUMMYFUNCTION("""COMPUTED_VALUE"""),39)</f>
        <v>39</v>
      </c>
      <c r="P494" s="4" t="str">
        <f ca="1">IFERROR(__xludf.DUMMYFUNCTION("""COMPUTED_VALUE"""),"")</f>
        <v/>
      </c>
      <c r="Q494" s="6">
        <f ca="1">IFERROR(__xludf.DUMMYFUNCTION("""COMPUTED_VALUE"""),769)</f>
        <v>769</v>
      </c>
      <c r="R494" s="4" t="str">
        <f ca="1">IFERROR(__xludf.DUMMYFUNCTION("""COMPUTED_VALUE"""),"")</f>
        <v/>
      </c>
      <c r="S494" s="6">
        <f ca="1">IFERROR(__xludf.DUMMYFUNCTION("""COMPUTED_VALUE"""),1865)</f>
        <v>1865</v>
      </c>
      <c r="T494" s="4"/>
      <c r="U494" s="4"/>
      <c r="V494" s="4"/>
      <c r="W494" s="4"/>
      <c r="X494" s="4"/>
      <c r="Y494" s="4"/>
      <c r="Z494" s="4"/>
      <c r="AA494" s="4"/>
      <c r="AB494" s="4"/>
    </row>
    <row r="495" spans="1:28" x14ac:dyDescent="0.2">
      <c r="A495" s="4" t="str">
        <f t="shared" si="2"/>
        <v/>
      </c>
      <c r="B495" s="4" t="str">
        <f t="shared" si="3"/>
        <v/>
      </c>
      <c r="C495" s="4"/>
      <c r="D495" s="4"/>
      <c r="E495" s="4"/>
      <c r="F495" s="4"/>
      <c r="G495" s="4"/>
      <c r="H495" s="4"/>
      <c r="I495" s="4"/>
      <c r="J495" s="4"/>
      <c r="K495" s="4"/>
      <c r="L495" s="4"/>
      <c r="M495" s="4"/>
      <c r="N495" s="6">
        <f ca="1">IFERROR(__xludf.DUMMYFUNCTION("""COMPUTED_VALUE"""),38)</f>
        <v>38</v>
      </c>
      <c r="O495" s="6">
        <f ca="1">IFERROR(__xludf.DUMMYFUNCTION("""COMPUTED_VALUE"""),39)</f>
        <v>39</v>
      </c>
      <c r="P495" s="4" t="str">
        <f ca="1">IFERROR(__xludf.DUMMYFUNCTION("""COMPUTED_VALUE"""),"")</f>
        <v/>
      </c>
      <c r="Q495" s="6">
        <f ca="1">IFERROR(__xludf.DUMMYFUNCTION("""COMPUTED_VALUE"""),769)</f>
        <v>769</v>
      </c>
      <c r="R495" s="4" t="str">
        <f ca="1">IFERROR(__xludf.DUMMYFUNCTION("""COMPUTED_VALUE"""),"")</f>
        <v/>
      </c>
      <c r="S495" s="6">
        <f ca="1">IFERROR(__xludf.DUMMYFUNCTION("""COMPUTED_VALUE"""),1865)</f>
        <v>1865</v>
      </c>
      <c r="T495" s="4"/>
      <c r="U495" s="4"/>
      <c r="V495" s="4"/>
      <c r="W495" s="4"/>
      <c r="X495" s="4"/>
      <c r="Y495" s="4"/>
      <c r="Z495" s="4"/>
      <c r="AA495" s="4"/>
      <c r="AB495" s="4"/>
    </row>
    <row r="496" spans="1:28" x14ac:dyDescent="0.2">
      <c r="A496" s="4" t="str">
        <f t="shared" si="2"/>
        <v/>
      </c>
      <c r="B496" s="4" t="str">
        <f t="shared" si="3"/>
        <v/>
      </c>
      <c r="C496" s="4"/>
      <c r="D496" s="4"/>
      <c r="E496" s="4"/>
      <c r="F496" s="4"/>
      <c r="G496" s="4"/>
      <c r="H496" s="4"/>
      <c r="I496" s="4"/>
      <c r="J496" s="4"/>
      <c r="K496" s="4"/>
      <c r="L496" s="4"/>
      <c r="M496" s="4"/>
      <c r="N496" s="6">
        <f ca="1">IFERROR(__xludf.DUMMYFUNCTION("""COMPUTED_VALUE"""),38)</f>
        <v>38</v>
      </c>
      <c r="O496" s="6">
        <f ca="1">IFERROR(__xludf.DUMMYFUNCTION("""COMPUTED_VALUE"""),39)</f>
        <v>39</v>
      </c>
      <c r="P496" s="4" t="str">
        <f ca="1">IFERROR(__xludf.DUMMYFUNCTION("""COMPUTED_VALUE"""),"")</f>
        <v/>
      </c>
      <c r="Q496" s="6">
        <f ca="1">IFERROR(__xludf.DUMMYFUNCTION("""COMPUTED_VALUE"""),769)</f>
        <v>769</v>
      </c>
      <c r="R496" s="4" t="str">
        <f ca="1">IFERROR(__xludf.DUMMYFUNCTION("""COMPUTED_VALUE"""),"")</f>
        <v/>
      </c>
      <c r="S496" s="6">
        <f ca="1">IFERROR(__xludf.DUMMYFUNCTION("""COMPUTED_VALUE"""),1865)</f>
        <v>1865</v>
      </c>
      <c r="T496" s="4"/>
      <c r="U496" s="4"/>
      <c r="V496" s="4"/>
      <c r="W496" s="4"/>
      <c r="X496" s="4"/>
      <c r="Y496" s="4"/>
      <c r="Z496" s="4"/>
      <c r="AA496" s="4"/>
      <c r="AB496" s="4"/>
    </row>
    <row r="497" spans="1:28" x14ac:dyDescent="0.2">
      <c r="A497" s="4" t="str">
        <f t="shared" si="2"/>
        <v/>
      </c>
      <c r="B497" s="4" t="str">
        <f t="shared" si="3"/>
        <v/>
      </c>
      <c r="C497" s="4"/>
      <c r="D497" s="4"/>
      <c r="E497" s="4"/>
      <c r="F497" s="4"/>
      <c r="G497" s="4"/>
      <c r="H497" s="4"/>
      <c r="I497" s="4"/>
      <c r="J497" s="4"/>
      <c r="K497" s="4"/>
      <c r="L497" s="4"/>
      <c r="M497" s="4"/>
      <c r="N497" s="6">
        <f ca="1">IFERROR(__xludf.DUMMYFUNCTION("""COMPUTED_VALUE"""),38)</f>
        <v>38</v>
      </c>
      <c r="O497" s="6">
        <f ca="1">IFERROR(__xludf.DUMMYFUNCTION("""COMPUTED_VALUE"""),39)</f>
        <v>39</v>
      </c>
      <c r="P497" s="4" t="str">
        <f ca="1">IFERROR(__xludf.DUMMYFUNCTION("""COMPUTED_VALUE"""),"")</f>
        <v/>
      </c>
      <c r="Q497" s="6">
        <f ca="1">IFERROR(__xludf.DUMMYFUNCTION("""COMPUTED_VALUE"""),769)</f>
        <v>769</v>
      </c>
      <c r="R497" s="4" t="str">
        <f ca="1">IFERROR(__xludf.DUMMYFUNCTION("""COMPUTED_VALUE"""),"")</f>
        <v/>
      </c>
      <c r="S497" s="6">
        <f ca="1">IFERROR(__xludf.DUMMYFUNCTION("""COMPUTED_VALUE"""),1865)</f>
        <v>1865</v>
      </c>
      <c r="T497" s="4"/>
      <c r="U497" s="4"/>
      <c r="V497" s="4"/>
      <c r="W497" s="4"/>
      <c r="X497" s="4"/>
      <c r="Y497" s="4"/>
      <c r="Z497" s="4"/>
      <c r="AA497" s="4"/>
      <c r="AB497" s="4"/>
    </row>
    <row r="498" spans="1:28" x14ac:dyDescent="0.2">
      <c r="A498" s="4"/>
      <c r="B498" s="4"/>
      <c r="C498" s="4"/>
      <c r="D498" s="4"/>
      <c r="E498" s="4"/>
      <c r="F498" s="4"/>
      <c r="G498" s="4"/>
      <c r="H498" s="4"/>
      <c r="I498" s="4"/>
      <c r="J498" s="4"/>
      <c r="K498" s="4"/>
      <c r="L498" s="4"/>
      <c r="M498" s="4"/>
      <c r="N498" s="6">
        <f ca="1">IFERROR(__xludf.DUMMYFUNCTION("""COMPUTED_VALUE"""),38)</f>
        <v>38</v>
      </c>
      <c r="O498" s="6">
        <f ca="1">IFERROR(__xludf.DUMMYFUNCTION("""COMPUTED_VALUE"""),39)</f>
        <v>39</v>
      </c>
      <c r="P498" s="4" t="str">
        <f ca="1">IFERROR(__xludf.DUMMYFUNCTION("""COMPUTED_VALUE"""),"")</f>
        <v/>
      </c>
      <c r="Q498" s="6">
        <f ca="1">IFERROR(__xludf.DUMMYFUNCTION("""COMPUTED_VALUE"""),769)</f>
        <v>769</v>
      </c>
      <c r="R498" s="4" t="str">
        <f ca="1">IFERROR(__xludf.DUMMYFUNCTION("""COMPUTED_VALUE"""),"")</f>
        <v/>
      </c>
      <c r="S498" s="6">
        <f ca="1">IFERROR(__xludf.DUMMYFUNCTION("""COMPUTED_VALUE"""),1865)</f>
        <v>1865</v>
      </c>
      <c r="T498" s="4"/>
      <c r="U498" s="4"/>
      <c r="V498" s="4"/>
      <c r="W498" s="4"/>
      <c r="X498" s="4"/>
      <c r="Y498" s="4"/>
      <c r="Z498" s="4"/>
      <c r="AA498" s="4"/>
      <c r="AB498" s="4"/>
    </row>
    <row r="499" spans="1:28" x14ac:dyDescent="0.2">
      <c r="A499" s="4"/>
      <c r="B499" s="4"/>
      <c r="C499" s="4"/>
      <c r="D499" s="4"/>
      <c r="E499" s="4"/>
      <c r="F499" s="4"/>
      <c r="G499" s="4"/>
      <c r="H499" s="4"/>
      <c r="I499" s="4"/>
      <c r="J499" s="4"/>
      <c r="K499" s="4"/>
      <c r="L499" s="4"/>
      <c r="M499" s="4"/>
      <c r="N499" s="6">
        <f ca="1">IFERROR(__xludf.DUMMYFUNCTION("""COMPUTED_VALUE"""),38)</f>
        <v>38</v>
      </c>
      <c r="O499" s="6">
        <f ca="1">IFERROR(__xludf.DUMMYFUNCTION("""COMPUTED_VALUE"""),39)</f>
        <v>39</v>
      </c>
      <c r="P499" s="4" t="str">
        <f ca="1">IFERROR(__xludf.DUMMYFUNCTION("""COMPUTED_VALUE"""),"")</f>
        <v/>
      </c>
      <c r="Q499" s="6">
        <f ca="1">IFERROR(__xludf.DUMMYFUNCTION("""COMPUTED_VALUE"""),769)</f>
        <v>769</v>
      </c>
      <c r="R499" s="4" t="str">
        <f ca="1">IFERROR(__xludf.DUMMYFUNCTION("""COMPUTED_VALUE"""),"")</f>
        <v/>
      </c>
      <c r="S499" s="6">
        <f ca="1">IFERROR(__xludf.DUMMYFUNCTION("""COMPUTED_VALUE"""),1865)</f>
        <v>1865</v>
      </c>
      <c r="T499" s="4"/>
      <c r="U499" s="4"/>
      <c r="V499" s="4"/>
      <c r="W499" s="4"/>
      <c r="X499" s="4"/>
      <c r="Y499" s="4"/>
      <c r="Z499" s="4"/>
      <c r="AA499" s="4"/>
      <c r="AB499" s="4"/>
    </row>
    <row r="500" spans="1:28" x14ac:dyDescent="0.2">
      <c r="A500" s="4"/>
      <c r="B500" s="4"/>
      <c r="C500" s="4"/>
      <c r="D500" s="4"/>
      <c r="E500" s="4"/>
      <c r="F500" s="4"/>
      <c r="G500" s="4"/>
      <c r="H500" s="4"/>
      <c r="I500" s="4"/>
      <c r="J500" s="4"/>
      <c r="K500" s="4"/>
      <c r="L500" s="4"/>
      <c r="M500" s="4"/>
      <c r="N500" s="6">
        <f ca="1">IFERROR(__xludf.DUMMYFUNCTION("""COMPUTED_VALUE"""),38)</f>
        <v>38</v>
      </c>
      <c r="O500" s="6">
        <f ca="1">IFERROR(__xludf.DUMMYFUNCTION("""COMPUTED_VALUE"""),39)</f>
        <v>39</v>
      </c>
      <c r="P500" s="4" t="str">
        <f ca="1">IFERROR(__xludf.DUMMYFUNCTION("""COMPUTED_VALUE"""),"")</f>
        <v/>
      </c>
      <c r="Q500" s="6">
        <f ca="1">IFERROR(__xludf.DUMMYFUNCTION("""COMPUTED_VALUE"""),769)</f>
        <v>769</v>
      </c>
      <c r="R500" s="4" t="str">
        <f ca="1">IFERROR(__xludf.DUMMYFUNCTION("""COMPUTED_VALUE"""),"")</f>
        <v/>
      </c>
      <c r="S500" s="6">
        <f ca="1">IFERROR(__xludf.DUMMYFUNCTION("""COMPUTED_VALUE"""),1865)</f>
        <v>1865</v>
      </c>
      <c r="T500" s="4"/>
      <c r="U500" s="4"/>
      <c r="V500" s="4"/>
      <c r="W500" s="4"/>
      <c r="X500" s="4"/>
      <c r="Y500" s="4"/>
      <c r="Z500" s="4"/>
      <c r="AA500" s="4"/>
      <c r="AB500" s="4"/>
    </row>
    <row r="501" spans="1:28" x14ac:dyDescent="0.2">
      <c r="A501" s="4"/>
      <c r="B501" s="4"/>
      <c r="C501" s="4"/>
      <c r="D501" s="4"/>
      <c r="E501" s="4"/>
      <c r="F501" s="4"/>
      <c r="G501" s="4"/>
      <c r="H501" s="4"/>
      <c r="I501" s="4"/>
      <c r="J501" s="4"/>
      <c r="K501" s="4"/>
      <c r="L501" s="4"/>
      <c r="M501" s="4"/>
      <c r="N501" s="6">
        <f ca="1">IFERROR(__xludf.DUMMYFUNCTION("""COMPUTED_VALUE"""),38)</f>
        <v>38</v>
      </c>
      <c r="O501" s="6">
        <f ca="1">IFERROR(__xludf.DUMMYFUNCTION("""COMPUTED_VALUE"""),39)</f>
        <v>39</v>
      </c>
      <c r="P501" s="4" t="str">
        <f ca="1">IFERROR(__xludf.DUMMYFUNCTION("""COMPUTED_VALUE"""),"")</f>
        <v/>
      </c>
      <c r="Q501" s="6">
        <f ca="1">IFERROR(__xludf.DUMMYFUNCTION("""COMPUTED_VALUE"""),769)</f>
        <v>769</v>
      </c>
      <c r="R501" s="4" t="str">
        <f ca="1">IFERROR(__xludf.DUMMYFUNCTION("""COMPUTED_VALUE"""),"")</f>
        <v/>
      </c>
      <c r="S501" s="6">
        <f ca="1">IFERROR(__xludf.DUMMYFUNCTION("""COMPUTED_VALUE"""),1865)</f>
        <v>1865</v>
      </c>
      <c r="T501" s="4"/>
      <c r="U501" s="4"/>
      <c r="V501" s="4"/>
      <c r="W501" s="4"/>
      <c r="X501" s="4"/>
      <c r="Y501" s="4"/>
      <c r="Z501" s="4"/>
      <c r="AA501" s="4"/>
      <c r="AB501" s="4"/>
    </row>
    <row r="502" spans="1:28" x14ac:dyDescent="0.2">
      <c r="A502" s="4"/>
      <c r="B502" s="4"/>
      <c r="C502" s="4"/>
      <c r="D502" s="4"/>
      <c r="E502" s="4"/>
      <c r="F502" s="4"/>
      <c r="G502" s="4"/>
      <c r="H502" s="4"/>
      <c r="I502" s="4"/>
      <c r="J502" s="4"/>
      <c r="K502" s="4"/>
      <c r="L502" s="4"/>
      <c r="M502" s="4"/>
      <c r="N502" s="6">
        <f ca="1">IFERROR(__xludf.DUMMYFUNCTION("""COMPUTED_VALUE"""),38)</f>
        <v>38</v>
      </c>
      <c r="O502" s="6">
        <f ca="1">IFERROR(__xludf.DUMMYFUNCTION("""COMPUTED_VALUE"""),39)</f>
        <v>39</v>
      </c>
      <c r="P502" s="4" t="str">
        <f ca="1">IFERROR(__xludf.DUMMYFUNCTION("""COMPUTED_VALUE"""),"")</f>
        <v/>
      </c>
      <c r="Q502" s="6">
        <f ca="1">IFERROR(__xludf.DUMMYFUNCTION("""COMPUTED_VALUE"""),769)</f>
        <v>769</v>
      </c>
      <c r="R502" s="4" t="str">
        <f ca="1">IFERROR(__xludf.DUMMYFUNCTION("""COMPUTED_VALUE"""),"")</f>
        <v/>
      </c>
      <c r="S502" s="6">
        <f ca="1">IFERROR(__xludf.DUMMYFUNCTION("""COMPUTED_VALUE"""),1865)</f>
        <v>1865</v>
      </c>
      <c r="T502" s="4"/>
      <c r="U502" s="4"/>
      <c r="V502" s="4"/>
      <c r="W502" s="4"/>
      <c r="X502" s="4"/>
      <c r="Y502" s="4"/>
      <c r="Z502" s="4"/>
      <c r="AA502" s="4"/>
      <c r="AB502" s="4"/>
    </row>
    <row r="503" spans="1:28" x14ac:dyDescent="0.2">
      <c r="A503" s="4"/>
      <c r="B503" s="4"/>
      <c r="C503" s="4"/>
      <c r="D503" s="4"/>
      <c r="E503" s="4"/>
      <c r="F503" s="4"/>
      <c r="G503" s="4"/>
      <c r="H503" s="4"/>
      <c r="I503" s="4"/>
      <c r="J503" s="4"/>
      <c r="K503" s="4"/>
      <c r="L503" s="4"/>
      <c r="M503" s="4"/>
      <c r="N503" s="6">
        <f ca="1">IFERROR(__xludf.DUMMYFUNCTION("""COMPUTED_VALUE"""),38)</f>
        <v>38</v>
      </c>
      <c r="O503" s="6">
        <f ca="1">IFERROR(__xludf.DUMMYFUNCTION("""COMPUTED_VALUE"""),39)</f>
        <v>39</v>
      </c>
      <c r="P503" s="4" t="str">
        <f ca="1">IFERROR(__xludf.DUMMYFUNCTION("""COMPUTED_VALUE"""),"")</f>
        <v/>
      </c>
      <c r="Q503" s="6">
        <f ca="1">IFERROR(__xludf.DUMMYFUNCTION("""COMPUTED_VALUE"""),769)</f>
        <v>769</v>
      </c>
      <c r="R503" s="4" t="str">
        <f ca="1">IFERROR(__xludf.DUMMYFUNCTION("""COMPUTED_VALUE"""),"")</f>
        <v/>
      </c>
      <c r="S503" s="6">
        <f ca="1">IFERROR(__xludf.DUMMYFUNCTION("""COMPUTED_VALUE"""),1865)</f>
        <v>1865</v>
      </c>
      <c r="T503" s="4"/>
      <c r="U503" s="4"/>
      <c r="V503" s="4"/>
      <c r="W503" s="4"/>
      <c r="X503" s="4"/>
      <c r="Y503" s="4"/>
      <c r="Z503" s="4"/>
      <c r="AA503" s="4"/>
      <c r="AB503" s="4"/>
    </row>
    <row r="504" spans="1:28" x14ac:dyDescent="0.2">
      <c r="A504" s="4"/>
      <c r="B504" s="4"/>
      <c r="C504" s="4"/>
      <c r="D504" s="4"/>
      <c r="E504" s="4"/>
      <c r="F504" s="4"/>
      <c r="G504" s="4"/>
      <c r="H504" s="4"/>
      <c r="I504" s="4"/>
      <c r="J504" s="4"/>
      <c r="K504" s="4"/>
      <c r="L504" s="4"/>
      <c r="M504" s="4"/>
      <c r="N504" s="6">
        <f ca="1">IFERROR(__xludf.DUMMYFUNCTION("""COMPUTED_VALUE"""),38)</f>
        <v>38</v>
      </c>
      <c r="O504" s="6">
        <f ca="1">IFERROR(__xludf.DUMMYFUNCTION("""COMPUTED_VALUE"""),39)</f>
        <v>39</v>
      </c>
      <c r="P504" s="4" t="str">
        <f ca="1">IFERROR(__xludf.DUMMYFUNCTION("""COMPUTED_VALUE"""),"")</f>
        <v/>
      </c>
      <c r="Q504" s="6">
        <f ca="1">IFERROR(__xludf.DUMMYFUNCTION("""COMPUTED_VALUE"""),769)</f>
        <v>769</v>
      </c>
      <c r="R504" s="4" t="str">
        <f ca="1">IFERROR(__xludf.DUMMYFUNCTION("""COMPUTED_VALUE"""),"")</f>
        <v/>
      </c>
      <c r="S504" s="6">
        <f ca="1">IFERROR(__xludf.DUMMYFUNCTION("""COMPUTED_VALUE"""),1865)</f>
        <v>1865</v>
      </c>
      <c r="T504" s="4"/>
      <c r="U504" s="4"/>
      <c r="V504" s="4"/>
      <c r="W504" s="4"/>
      <c r="X504" s="4"/>
      <c r="Y504" s="4"/>
      <c r="Z504" s="4"/>
      <c r="AA504" s="4"/>
      <c r="AB504" s="4"/>
    </row>
    <row r="505" spans="1:28" x14ac:dyDescent="0.2">
      <c r="A505" s="4"/>
      <c r="B505" s="4"/>
      <c r="C505" s="4"/>
      <c r="D505" s="4"/>
      <c r="E505" s="4"/>
      <c r="F505" s="4"/>
      <c r="G505" s="4"/>
      <c r="H505" s="4"/>
      <c r="I505" s="4"/>
      <c r="J505" s="4"/>
      <c r="K505" s="4"/>
      <c r="L505" s="4"/>
      <c r="M505" s="4"/>
      <c r="N505" s="6">
        <f ca="1">IFERROR(__xludf.DUMMYFUNCTION("""COMPUTED_VALUE"""),38)</f>
        <v>38</v>
      </c>
      <c r="O505" s="6">
        <f ca="1">IFERROR(__xludf.DUMMYFUNCTION("""COMPUTED_VALUE"""),39)</f>
        <v>39</v>
      </c>
      <c r="P505" s="4" t="str">
        <f ca="1">IFERROR(__xludf.DUMMYFUNCTION("""COMPUTED_VALUE"""),"")</f>
        <v/>
      </c>
      <c r="Q505" s="6">
        <f ca="1">IFERROR(__xludf.DUMMYFUNCTION("""COMPUTED_VALUE"""),769)</f>
        <v>769</v>
      </c>
      <c r="R505" s="4" t="str">
        <f ca="1">IFERROR(__xludf.DUMMYFUNCTION("""COMPUTED_VALUE"""),"")</f>
        <v/>
      </c>
      <c r="S505" s="6">
        <f ca="1">IFERROR(__xludf.DUMMYFUNCTION("""COMPUTED_VALUE"""),1865)</f>
        <v>1865</v>
      </c>
      <c r="T505" s="4"/>
      <c r="U505" s="4"/>
      <c r="V505" s="4"/>
      <c r="W505" s="4"/>
      <c r="X505" s="4"/>
      <c r="Y505" s="4"/>
      <c r="Z505" s="4"/>
      <c r="AA505" s="4"/>
      <c r="AB505" s="4"/>
    </row>
    <row r="506" spans="1:28" x14ac:dyDescent="0.2">
      <c r="A506" s="4"/>
      <c r="B506" s="4"/>
      <c r="C506" s="4"/>
      <c r="D506" s="4"/>
      <c r="E506" s="4"/>
      <c r="F506" s="4"/>
      <c r="G506" s="4"/>
      <c r="H506" s="4"/>
      <c r="I506" s="4"/>
      <c r="J506" s="4"/>
      <c r="K506" s="4"/>
      <c r="L506" s="4"/>
      <c r="M506" s="4"/>
      <c r="N506" s="6">
        <f ca="1">IFERROR(__xludf.DUMMYFUNCTION("""COMPUTED_VALUE"""),38)</f>
        <v>38</v>
      </c>
      <c r="O506" s="6">
        <f ca="1">IFERROR(__xludf.DUMMYFUNCTION("""COMPUTED_VALUE"""),39)</f>
        <v>39</v>
      </c>
      <c r="P506" s="4" t="str">
        <f ca="1">IFERROR(__xludf.DUMMYFUNCTION("""COMPUTED_VALUE"""),"")</f>
        <v/>
      </c>
      <c r="Q506" s="6">
        <f ca="1">IFERROR(__xludf.DUMMYFUNCTION("""COMPUTED_VALUE"""),769)</f>
        <v>769</v>
      </c>
      <c r="R506" s="4" t="str">
        <f ca="1">IFERROR(__xludf.DUMMYFUNCTION("""COMPUTED_VALUE"""),"")</f>
        <v/>
      </c>
      <c r="S506" s="6">
        <f ca="1">IFERROR(__xludf.DUMMYFUNCTION("""COMPUTED_VALUE"""),1865)</f>
        <v>1865</v>
      </c>
      <c r="T506" s="4"/>
      <c r="U506" s="4"/>
      <c r="V506" s="4"/>
      <c r="W506" s="4"/>
      <c r="X506" s="4"/>
      <c r="Y506" s="4"/>
      <c r="Z506" s="4"/>
      <c r="AA506" s="4"/>
      <c r="AB506" s="4"/>
    </row>
    <row r="507" spans="1:28" x14ac:dyDescent="0.2">
      <c r="A507" s="4"/>
      <c r="B507" s="4"/>
      <c r="C507" s="4"/>
      <c r="D507" s="4"/>
      <c r="E507" s="4"/>
      <c r="F507" s="4"/>
      <c r="G507" s="4"/>
      <c r="H507" s="4"/>
      <c r="I507" s="4"/>
      <c r="J507" s="4"/>
      <c r="K507" s="4"/>
      <c r="L507" s="4"/>
      <c r="M507" s="4"/>
      <c r="N507" s="6">
        <f ca="1">IFERROR(__xludf.DUMMYFUNCTION("""COMPUTED_VALUE"""),38)</f>
        <v>38</v>
      </c>
      <c r="O507" s="6">
        <f ca="1">IFERROR(__xludf.DUMMYFUNCTION("""COMPUTED_VALUE"""),39)</f>
        <v>39</v>
      </c>
      <c r="P507" s="4" t="str">
        <f ca="1">IFERROR(__xludf.DUMMYFUNCTION("""COMPUTED_VALUE"""),"")</f>
        <v/>
      </c>
      <c r="Q507" s="6">
        <f ca="1">IFERROR(__xludf.DUMMYFUNCTION("""COMPUTED_VALUE"""),769)</f>
        <v>769</v>
      </c>
      <c r="R507" s="4" t="str">
        <f ca="1">IFERROR(__xludf.DUMMYFUNCTION("""COMPUTED_VALUE"""),"")</f>
        <v/>
      </c>
      <c r="S507" s="6">
        <f ca="1">IFERROR(__xludf.DUMMYFUNCTION("""COMPUTED_VALUE"""),1865)</f>
        <v>1865</v>
      </c>
      <c r="T507" s="4"/>
      <c r="U507" s="4"/>
      <c r="V507" s="4"/>
      <c r="W507" s="4"/>
      <c r="X507" s="4"/>
      <c r="Y507" s="4"/>
      <c r="Z507" s="4"/>
      <c r="AA507" s="4"/>
      <c r="AB507" s="4"/>
    </row>
    <row r="508" spans="1:28" x14ac:dyDescent="0.2">
      <c r="A508" s="4"/>
      <c r="B508" s="4"/>
      <c r="C508" s="4"/>
      <c r="D508" s="4"/>
      <c r="E508" s="4"/>
      <c r="F508" s="4"/>
      <c r="G508" s="4"/>
      <c r="H508" s="4"/>
      <c r="I508" s="4"/>
      <c r="J508" s="4"/>
      <c r="K508" s="4"/>
      <c r="L508" s="4"/>
      <c r="M508" s="4"/>
      <c r="N508" s="6">
        <f ca="1">IFERROR(__xludf.DUMMYFUNCTION("""COMPUTED_VALUE"""),38)</f>
        <v>38</v>
      </c>
      <c r="O508" s="6">
        <f ca="1">IFERROR(__xludf.DUMMYFUNCTION("""COMPUTED_VALUE"""),39)</f>
        <v>39</v>
      </c>
      <c r="P508" s="4" t="str">
        <f ca="1">IFERROR(__xludf.DUMMYFUNCTION("""COMPUTED_VALUE"""),"")</f>
        <v/>
      </c>
      <c r="Q508" s="6">
        <f ca="1">IFERROR(__xludf.DUMMYFUNCTION("""COMPUTED_VALUE"""),769)</f>
        <v>769</v>
      </c>
      <c r="R508" s="4" t="str">
        <f ca="1">IFERROR(__xludf.DUMMYFUNCTION("""COMPUTED_VALUE"""),"")</f>
        <v/>
      </c>
      <c r="S508" s="6">
        <f ca="1">IFERROR(__xludf.DUMMYFUNCTION("""COMPUTED_VALUE"""),1865)</f>
        <v>1865</v>
      </c>
      <c r="T508" s="4"/>
      <c r="U508" s="4"/>
      <c r="V508" s="4"/>
      <c r="W508" s="4"/>
      <c r="X508" s="4"/>
      <c r="Y508" s="4"/>
      <c r="Z508" s="4"/>
      <c r="AA508" s="4"/>
      <c r="AB508" s="4"/>
    </row>
    <row r="509" spans="1:28" x14ac:dyDescent="0.2">
      <c r="A509" s="4"/>
      <c r="B509" s="4"/>
      <c r="C509" s="4"/>
      <c r="D509" s="4"/>
      <c r="E509" s="4"/>
      <c r="F509" s="4"/>
      <c r="G509" s="4"/>
      <c r="H509" s="4"/>
      <c r="I509" s="4"/>
      <c r="J509" s="4"/>
      <c r="K509" s="4"/>
      <c r="L509" s="4"/>
      <c r="M509" s="4"/>
      <c r="N509" s="6">
        <f ca="1">IFERROR(__xludf.DUMMYFUNCTION("""COMPUTED_VALUE"""),38)</f>
        <v>38</v>
      </c>
      <c r="O509" s="6">
        <f ca="1">IFERROR(__xludf.DUMMYFUNCTION("""COMPUTED_VALUE"""),39)</f>
        <v>39</v>
      </c>
      <c r="P509" s="4" t="str">
        <f ca="1">IFERROR(__xludf.DUMMYFUNCTION("""COMPUTED_VALUE"""),"")</f>
        <v/>
      </c>
      <c r="Q509" s="6">
        <f ca="1">IFERROR(__xludf.DUMMYFUNCTION("""COMPUTED_VALUE"""),769)</f>
        <v>769</v>
      </c>
      <c r="R509" s="4" t="str">
        <f ca="1">IFERROR(__xludf.DUMMYFUNCTION("""COMPUTED_VALUE"""),"")</f>
        <v/>
      </c>
      <c r="S509" s="6">
        <f ca="1">IFERROR(__xludf.DUMMYFUNCTION("""COMPUTED_VALUE"""),1865)</f>
        <v>1865</v>
      </c>
      <c r="T509" s="4"/>
      <c r="U509" s="4"/>
      <c r="V509" s="4"/>
      <c r="W509" s="4"/>
      <c r="X509" s="4"/>
      <c r="Y509" s="4"/>
      <c r="Z509" s="4"/>
      <c r="AA509" s="4"/>
      <c r="AB509" s="4"/>
    </row>
    <row r="510" spans="1:28" x14ac:dyDescent="0.2">
      <c r="A510" s="4"/>
      <c r="B510" s="4"/>
      <c r="C510" s="4"/>
      <c r="D510" s="4"/>
      <c r="E510" s="4"/>
      <c r="F510" s="4"/>
      <c r="G510" s="4"/>
      <c r="H510" s="4"/>
      <c r="I510" s="4"/>
      <c r="J510" s="4"/>
      <c r="K510" s="4"/>
      <c r="L510" s="4"/>
      <c r="M510" s="4"/>
      <c r="N510" s="6">
        <f ca="1">IFERROR(__xludf.DUMMYFUNCTION("""COMPUTED_VALUE"""),38)</f>
        <v>38</v>
      </c>
      <c r="O510" s="6">
        <f ca="1">IFERROR(__xludf.DUMMYFUNCTION("""COMPUTED_VALUE"""),39)</f>
        <v>39</v>
      </c>
      <c r="P510" s="4" t="str">
        <f ca="1">IFERROR(__xludf.DUMMYFUNCTION("""COMPUTED_VALUE"""),"")</f>
        <v/>
      </c>
      <c r="Q510" s="6">
        <f ca="1">IFERROR(__xludf.DUMMYFUNCTION("""COMPUTED_VALUE"""),769)</f>
        <v>769</v>
      </c>
      <c r="R510" s="4" t="str">
        <f ca="1">IFERROR(__xludf.DUMMYFUNCTION("""COMPUTED_VALUE"""),"")</f>
        <v/>
      </c>
      <c r="S510" s="6">
        <f ca="1">IFERROR(__xludf.DUMMYFUNCTION("""COMPUTED_VALUE"""),1865)</f>
        <v>1865</v>
      </c>
      <c r="T510" s="4"/>
      <c r="U510" s="4"/>
      <c r="V510" s="4"/>
      <c r="W510" s="4"/>
      <c r="X510" s="4"/>
      <c r="Y510" s="4"/>
      <c r="Z510" s="4"/>
      <c r="AA510" s="4"/>
      <c r="AB510" s="4"/>
    </row>
    <row r="511" spans="1:28" x14ac:dyDescent="0.2">
      <c r="A511" s="4"/>
      <c r="B511" s="4"/>
      <c r="C511" s="4"/>
      <c r="D511" s="4"/>
      <c r="E511" s="4"/>
      <c r="F511" s="4"/>
      <c r="G511" s="4"/>
      <c r="H511" s="4"/>
      <c r="I511" s="4"/>
      <c r="J511" s="4"/>
      <c r="K511" s="4"/>
      <c r="L511" s="4"/>
      <c r="M511" s="4"/>
      <c r="N511" s="6">
        <f ca="1">IFERROR(__xludf.DUMMYFUNCTION("""COMPUTED_VALUE"""),38)</f>
        <v>38</v>
      </c>
      <c r="O511" s="6">
        <f ca="1">IFERROR(__xludf.DUMMYFUNCTION("""COMPUTED_VALUE"""),39)</f>
        <v>39</v>
      </c>
      <c r="P511" s="4" t="str">
        <f ca="1">IFERROR(__xludf.DUMMYFUNCTION("""COMPUTED_VALUE"""),"")</f>
        <v/>
      </c>
      <c r="Q511" s="6">
        <f ca="1">IFERROR(__xludf.DUMMYFUNCTION("""COMPUTED_VALUE"""),769)</f>
        <v>769</v>
      </c>
      <c r="R511" s="4" t="str">
        <f ca="1">IFERROR(__xludf.DUMMYFUNCTION("""COMPUTED_VALUE"""),"")</f>
        <v/>
      </c>
      <c r="S511" s="6">
        <f ca="1">IFERROR(__xludf.DUMMYFUNCTION("""COMPUTED_VALUE"""),1865)</f>
        <v>1865</v>
      </c>
      <c r="T511" s="4"/>
      <c r="U511" s="4"/>
      <c r="V511" s="4"/>
      <c r="W511" s="4"/>
      <c r="X511" s="4"/>
      <c r="Y511" s="4"/>
      <c r="Z511" s="4"/>
      <c r="AA511" s="4"/>
      <c r="AB511" s="4"/>
    </row>
    <row r="512" spans="1:28" x14ac:dyDescent="0.2">
      <c r="A512" s="4"/>
      <c r="B512" s="4"/>
      <c r="C512" s="4"/>
      <c r="D512" s="4"/>
      <c r="E512" s="4"/>
      <c r="F512" s="4"/>
      <c r="G512" s="4"/>
      <c r="H512" s="4"/>
      <c r="I512" s="4"/>
      <c r="J512" s="4"/>
      <c r="K512" s="4"/>
      <c r="L512" s="4"/>
      <c r="M512" s="4"/>
      <c r="N512" s="6">
        <f ca="1">IFERROR(__xludf.DUMMYFUNCTION("""COMPUTED_VALUE"""),38)</f>
        <v>38</v>
      </c>
      <c r="O512" s="6">
        <f ca="1">IFERROR(__xludf.DUMMYFUNCTION("""COMPUTED_VALUE"""),39)</f>
        <v>39</v>
      </c>
      <c r="P512" s="4" t="str">
        <f ca="1">IFERROR(__xludf.DUMMYFUNCTION("""COMPUTED_VALUE"""),"")</f>
        <v/>
      </c>
      <c r="Q512" s="6">
        <f ca="1">IFERROR(__xludf.DUMMYFUNCTION("""COMPUTED_VALUE"""),769)</f>
        <v>769</v>
      </c>
      <c r="R512" s="4" t="str">
        <f ca="1">IFERROR(__xludf.DUMMYFUNCTION("""COMPUTED_VALUE"""),"")</f>
        <v/>
      </c>
      <c r="S512" s="6">
        <f ca="1">IFERROR(__xludf.DUMMYFUNCTION("""COMPUTED_VALUE"""),1865)</f>
        <v>1865</v>
      </c>
      <c r="T512" s="4"/>
      <c r="U512" s="4"/>
      <c r="V512" s="4"/>
      <c r="W512" s="4"/>
      <c r="X512" s="4"/>
      <c r="Y512" s="4"/>
      <c r="Z512" s="4"/>
      <c r="AA512" s="4"/>
      <c r="AB512" s="4"/>
    </row>
    <row r="513" spans="1:28" x14ac:dyDescent="0.2">
      <c r="A513" s="4"/>
      <c r="B513" s="4"/>
      <c r="C513" s="4"/>
      <c r="D513" s="4"/>
      <c r="E513" s="4"/>
      <c r="F513" s="4"/>
      <c r="G513" s="4"/>
      <c r="H513" s="4"/>
      <c r="I513" s="4"/>
      <c r="J513" s="4"/>
      <c r="K513" s="4"/>
      <c r="L513" s="4"/>
      <c r="M513" s="4"/>
      <c r="N513" s="6">
        <f ca="1">IFERROR(__xludf.DUMMYFUNCTION("""COMPUTED_VALUE"""),38)</f>
        <v>38</v>
      </c>
      <c r="O513" s="6">
        <f ca="1">IFERROR(__xludf.DUMMYFUNCTION("""COMPUTED_VALUE"""),39)</f>
        <v>39</v>
      </c>
      <c r="P513" s="4" t="str">
        <f ca="1">IFERROR(__xludf.DUMMYFUNCTION("""COMPUTED_VALUE"""),"")</f>
        <v/>
      </c>
      <c r="Q513" s="6">
        <f ca="1">IFERROR(__xludf.DUMMYFUNCTION("""COMPUTED_VALUE"""),769)</f>
        <v>769</v>
      </c>
      <c r="R513" s="4" t="str">
        <f ca="1">IFERROR(__xludf.DUMMYFUNCTION("""COMPUTED_VALUE"""),"")</f>
        <v/>
      </c>
      <c r="S513" s="6">
        <f ca="1">IFERROR(__xludf.DUMMYFUNCTION("""COMPUTED_VALUE"""),1865)</f>
        <v>1865</v>
      </c>
      <c r="T513" s="4"/>
      <c r="U513" s="4"/>
      <c r="V513" s="4"/>
      <c r="W513" s="4"/>
      <c r="X513" s="4"/>
      <c r="Y513" s="4"/>
      <c r="Z513" s="4"/>
      <c r="AA513" s="4"/>
      <c r="AB513" s="4"/>
    </row>
    <row r="514" spans="1:28" x14ac:dyDescent="0.2">
      <c r="A514" s="4"/>
      <c r="B514" s="4"/>
      <c r="C514" s="4"/>
      <c r="D514" s="4"/>
      <c r="E514" s="4"/>
      <c r="F514" s="4"/>
      <c r="G514" s="4"/>
      <c r="H514" s="4"/>
      <c r="I514" s="4"/>
      <c r="J514" s="4"/>
      <c r="K514" s="4"/>
      <c r="L514" s="4"/>
      <c r="M514" s="4"/>
      <c r="N514" s="6">
        <f ca="1">IFERROR(__xludf.DUMMYFUNCTION("""COMPUTED_VALUE"""),38)</f>
        <v>38</v>
      </c>
      <c r="O514" s="6">
        <f ca="1">IFERROR(__xludf.DUMMYFUNCTION("""COMPUTED_VALUE"""),39)</f>
        <v>39</v>
      </c>
      <c r="P514" s="4" t="str">
        <f ca="1">IFERROR(__xludf.DUMMYFUNCTION("""COMPUTED_VALUE"""),"")</f>
        <v/>
      </c>
      <c r="Q514" s="6">
        <f ca="1">IFERROR(__xludf.DUMMYFUNCTION("""COMPUTED_VALUE"""),769)</f>
        <v>769</v>
      </c>
      <c r="R514" s="4" t="str">
        <f ca="1">IFERROR(__xludf.DUMMYFUNCTION("""COMPUTED_VALUE"""),"")</f>
        <v/>
      </c>
      <c r="S514" s="6">
        <f ca="1">IFERROR(__xludf.DUMMYFUNCTION("""COMPUTED_VALUE"""),1865)</f>
        <v>1865</v>
      </c>
      <c r="T514" s="4"/>
      <c r="U514" s="4"/>
      <c r="V514" s="4"/>
      <c r="W514" s="4"/>
      <c r="X514" s="4"/>
      <c r="Y514" s="4"/>
      <c r="Z514" s="4"/>
      <c r="AA514" s="4"/>
      <c r="AB514" s="4"/>
    </row>
    <row r="515" spans="1:28" x14ac:dyDescent="0.2">
      <c r="A515" s="4"/>
      <c r="B515" s="4"/>
      <c r="C515" s="4"/>
      <c r="D515" s="4"/>
      <c r="E515" s="4"/>
      <c r="F515" s="4"/>
      <c r="G515" s="4"/>
      <c r="H515" s="4"/>
      <c r="I515" s="4"/>
      <c r="J515" s="4"/>
      <c r="K515" s="4"/>
      <c r="L515" s="4"/>
      <c r="M515" s="4"/>
      <c r="N515" s="6">
        <f ca="1">IFERROR(__xludf.DUMMYFUNCTION("""COMPUTED_VALUE"""),38)</f>
        <v>38</v>
      </c>
      <c r="O515" s="6">
        <f ca="1">IFERROR(__xludf.DUMMYFUNCTION("""COMPUTED_VALUE"""),39)</f>
        <v>39</v>
      </c>
      <c r="P515" s="4" t="str">
        <f ca="1">IFERROR(__xludf.DUMMYFUNCTION("""COMPUTED_VALUE"""),"")</f>
        <v/>
      </c>
      <c r="Q515" s="6">
        <f ca="1">IFERROR(__xludf.DUMMYFUNCTION("""COMPUTED_VALUE"""),769)</f>
        <v>769</v>
      </c>
      <c r="R515" s="4" t="str">
        <f ca="1">IFERROR(__xludf.DUMMYFUNCTION("""COMPUTED_VALUE"""),"")</f>
        <v/>
      </c>
      <c r="S515" s="6">
        <f ca="1">IFERROR(__xludf.DUMMYFUNCTION("""COMPUTED_VALUE"""),1865)</f>
        <v>1865</v>
      </c>
      <c r="T515" s="4"/>
      <c r="U515" s="4"/>
      <c r="V515" s="4"/>
      <c r="W515" s="4"/>
      <c r="X515" s="4"/>
      <c r="Y515" s="4"/>
      <c r="Z515" s="4"/>
      <c r="AA515" s="4"/>
      <c r="AB515" s="4"/>
    </row>
    <row r="516" spans="1:28" x14ac:dyDescent="0.2">
      <c r="A516" s="4"/>
      <c r="B516" s="4"/>
      <c r="C516" s="4"/>
      <c r="D516" s="4"/>
      <c r="E516" s="4"/>
      <c r="F516" s="4"/>
      <c r="G516" s="4"/>
      <c r="H516" s="4"/>
      <c r="I516" s="4"/>
      <c r="J516" s="4"/>
      <c r="K516" s="4"/>
      <c r="L516" s="4"/>
      <c r="M516" s="4"/>
      <c r="N516" s="6">
        <f ca="1">IFERROR(__xludf.DUMMYFUNCTION("""COMPUTED_VALUE"""),38)</f>
        <v>38</v>
      </c>
      <c r="O516" s="6">
        <f ca="1">IFERROR(__xludf.DUMMYFUNCTION("""COMPUTED_VALUE"""),39)</f>
        <v>39</v>
      </c>
      <c r="P516" s="4" t="str">
        <f ca="1">IFERROR(__xludf.DUMMYFUNCTION("""COMPUTED_VALUE"""),"")</f>
        <v/>
      </c>
      <c r="Q516" s="6">
        <f ca="1">IFERROR(__xludf.DUMMYFUNCTION("""COMPUTED_VALUE"""),769)</f>
        <v>769</v>
      </c>
      <c r="R516" s="4" t="str">
        <f ca="1">IFERROR(__xludf.DUMMYFUNCTION("""COMPUTED_VALUE"""),"")</f>
        <v/>
      </c>
      <c r="S516" s="6">
        <f ca="1">IFERROR(__xludf.DUMMYFUNCTION("""COMPUTED_VALUE"""),1865)</f>
        <v>1865</v>
      </c>
      <c r="T516" s="4"/>
      <c r="U516" s="4"/>
      <c r="V516" s="4"/>
      <c r="W516" s="4"/>
      <c r="X516" s="4"/>
      <c r="Y516" s="4"/>
      <c r="Z516" s="4"/>
      <c r="AA516" s="4"/>
      <c r="AB516" s="4"/>
    </row>
    <row r="517" spans="1:28" x14ac:dyDescent="0.2">
      <c r="A517" s="4"/>
      <c r="B517" s="4"/>
      <c r="C517" s="4"/>
      <c r="D517" s="4"/>
      <c r="E517" s="4"/>
      <c r="F517" s="4"/>
      <c r="G517" s="4"/>
      <c r="H517" s="4"/>
      <c r="I517" s="4"/>
      <c r="J517" s="4"/>
      <c r="K517" s="4"/>
      <c r="L517" s="4"/>
      <c r="M517" s="4"/>
      <c r="N517" s="6">
        <f ca="1">IFERROR(__xludf.DUMMYFUNCTION("""COMPUTED_VALUE"""),38)</f>
        <v>38</v>
      </c>
      <c r="O517" s="6">
        <f ca="1">IFERROR(__xludf.DUMMYFUNCTION("""COMPUTED_VALUE"""),39)</f>
        <v>39</v>
      </c>
      <c r="P517" s="4" t="str">
        <f ca="1">IFERROR(__xludf.DUMMYFUNCTION("""COMPUTED_VALUE"""),"")</f>
        <v/>
      </c>
      <c r="Q517" s="6">
        <f ca="1">IFERROR(__xludf.DUMMYFUNCTION("""COMPUTED_VALUE"""),769)</f>
        <v>769</v>
      </c>
      <c r="R517" s="4" t="str">
        <f ca="1">IFERROR(__xludf.DUMMYFUNCTION("""COMPUTED_VALUE"""),"")</f>
        <v/>
      </c>
      <c r="S517" s="6">
        <f ca="1">IFERROR(__xludf.DUMMYFUNCTION("""COMPUTED_VALUE"""),1865)</f>
        <v>1865</v>
      </c>
      <c r="T517" s="4"/>
      <c r="U517" s="4"/>
      <c r="V517" s="4"/>
      <c r="W517" s="4"/>
      <c r="X517" s="4"/>
      <c r="Y517" s="4"/>
      <c r="Z517" s="4"/>
      <c r="AA517" s="4"/>
      <c r="AB517" s="4"/>
    </row>
    <row r="518" spans="1:28" x14ac:dyDescent="0.2">
      <c r="A518" s="4"/>
      <c r="B518" s="4"/>
      <c r="C518" s="4"/>
      <c r="D518" s="4"/>
      <c r="E518" s="4"/>
      <c r="F518" s="4"/>
      <c r="G518" s="4"/>
      <c r="H518" s="4"/>
      <c r="I518" s="4"/>
      <c r="J518" s="4"/>
      <c r="K518" s="4"/>
      <c r="L518" s="4"/>
      <c r="M518" s="4"/>
      <c r="N518" s="6">
        <f ca="1">IFERROR(__xludf.DUMMYFUNCTION("""COMPUTED_VALUE"""),38)</f>
        <v>38</v>
      </c>
      <c r="O518" s="6">
        <f ca="1">IFERROR(__xludf.DUMMYFUNCTION("""COMPUTED_VALUE"""),39)</f>
        <v>39</v>
      </c>
      <c r="P518" s="4" t="str">
        <f ca="1">IFERROR(__xludf.DUMMYFUNCTION("""COMPUTED_VALUE"""),"")</f>
        <v/>
      </c>
      <c r="Q518" s="6">
        <f ca="1">IFERROR(__xludf.DUMMYFUNCTION("""COMPUTED_VALUE"""),769)</f>
        <v>769</v>
      </c>
      <c r="R518" s="4" t="str">
        <f ca="1">IFERROR(__xludf.DUMMYFUNCTION("""COMPUTED_VALUE"""),"")</f>
        <v/>
      </c>
      <c r="S518" s="6">
        <f ca="1">IFERROR(__xludf.DUMMYFUNCTION("""COMPUTED_VALUE"""),1865)</f>
        <v>1865</v>
      </c>
      <c r="T518" s="4"/>
      <c r="U518" s="4"/>
      <c r="V518" s="4"/>
      <c r="W518" s="4"/>
      <c r="X518" s="4"/>
      <c r="Y518" s="4"/>
      <c r="Z518" s="4"/>
      <c r="AA518" s="4"/>
      <c r="AB518" s="4"/>
    </row>
    <row r="519" spans="1:28" x14ac:dyDescent="0.2">
      <c r="A519" s="4"/>
      <c r="B519" s="4"/>
      <c r="C519" s="4"/>
      <c r="D519" s="4"/>
      <c r="E519" s="4"/>
      <c r="F519" s="4"/>
      <c r="G519" s="4"/>
      <c r="H519" s="4"/>
      <c r="I519" s="4"/>
      <c r="J519" s="4"/>
      <c r="K519" s="4"/>
      <c r="L519" s="4"/>
      <c r="M519" s="4"/>
      <c r="N519" s="6">
        <f ca="1">IFERROR(__xludf.DUMMYFUNCTION("""COMPUTED_VALUE"""),38)</f>
        <v>38</v>
      </c>
      <c r="O519" s="6">
        <f ca="1">IFERROR(__xludf.DUMMYFUNCTION("""COMPUTED_VALUE"""),39)</f>
        <v>39</v>
      </c>
      <c r="P519" s="4" t="str">
        <f ca="1">IFERROR(__xludf.DUMMYFUNCTION("""COMPUTED_VALUE"""),"")</f>
        <v/>
      </c>
      <c r="Q519" s="6">
        <f ca="1">IFERROR(__xludf.DUMMYFUNCTION("""COMPUTED_VALUE"""),769)</f>
        <v>769</v>
      </c>
      <c r="R519" s="4" t="str">
        <f ca="1">IFERROR(__xludf.DUMMYFUNCTION("""COMPUTED_VALUE"""),"")</f>
        <v/>
      </c>
      <c r="S519" s="6">
        <f ca="1">IFERROR(__xludf.DUMMYFUNCTION("""COMPUTED_VALUE"""),1865)</f>
        <v>1865</v>
      </c>
      <c r="T519" s="4"/>
      <c r="U519" s="4"/>
      <c r="V519" s="4"/>
      <c r="W519" s="4"/>
      <c r="X519" s="4"/>
      <c r="Y519" s="4"/>
      <c r="Z519" s="4"/>
      <c r="AA519" s="4"/>
      <c r="AB519" s="4"/>
    </row>
    <row r="520" spans="1:28" x14ac:dyDescent="0.2">
      <c r="A520" s="4"/>
      <c r="B520" s="4"/>
      <c r="C520" s="4"/>
      <c r="D520" s="4"/>
      <c r="E520" s="4"/>
      <c r="F520" s="4"/>
      <c r="G520" s="4"/>
      <c r="H520" s="4"/>
      <c r="I520" s="4"/>
      <c r="J520" s="4"/>
      <c r="K520" s="4"/>
      <c r="L520" s="4"/>
      <c r="M520" s="4"/>
      <c r="N520" s="6">
        <f ca="1">IFERROR(__xludf.DUMMYFUNCTION("""COMPUTED_VALUE"""),38)</f>
        <v>38</v>
      </c>
      <c r="O520" s="6">
        <f ca="1">IFERROR(__xludf.DUMMYFUNCTION("""COMPUTED_VALUE"""),39)</f>
        <v>39</v>
      </c>
      <c r="P520" s="4" t="str">
        <f ca="1">IFERROR(__xludf.DUMMYFUNCTION("""COMPUTED_VALUE"""),"")</f>
        <v/>
      </c>
      <c r="Q520" s="6">
        <f ca="1">IFERROR(__xludf.DUMMYFUNCTION("""COMPUTED_VALUE"""),769)</f>
        <v>769</v>
      </c>
      <c r="R520" s="4" t="str">
        <f ca="1">IFERROR(__xludf.DUMMYFUNCTION("""COMPUTED_VALUE"""),"")</f>
        <v/>
      </c>
      <c r="S520" s="6">
        <f ca="1">IFERROR(__xludf.DUMMYFUNCTION("""COMPUTED_VALUE"""),1865)</f>
        <v>1865</v>
      </c>
      <c r="T520" s="4"/>
      <c r="U520" s="4"/>
      <c r="V520" s="4"/>
      <c r="W520" s="4"/>
      <c r="X520" s="4"/>
      <c r="Y520" s="4"/>
      <c r="Z520" s="4"/>
      <c r="AA520" s="4"/>
      <c r="AB520" s="4"/>
    </row>
    <row r="521" spans="1:28" x14ac:dyDescent="0.2">
      <c r="A521" s="4"/>
      <c r="B521" s="4"/>
      <c r="C521" s="4"/>
      <c r="D521" s="4"/>
      <c r="E521" s="4"/>
      <c r="F521" s="4"/>
      <c r="G521" s="4"/>
      <c r="H521" s="4"/>
      <c r="I521" s="4"/>
      <c r="J521" s="4"/>
      <c r="K521" s="4"/>
      <c r="L521" s="4"/>
      <c r="M521" s="4"/>
      <c r="N521" s="6">
        <f ca="1">IFERROR(__xludf.DUMMYFUNCTION("""COMPUTED_VALUE"""),38)</f>
        <v>38</v>
      </c>
      <c r="O521" s="6">
        <f ca="1">IFERROR(__xludf.DUMMYFUNCTION("""COMPUTED_VALUE"""),39)</f>
        <v>39</v>
      </c>
      <c r="P521" s="4" t="str">
        <f ca="1">IFERROR(__xludf.DUMMYFUNCTION("""COMPUTED_VALUE"""),"")</f>
        <v/>
      </c>
      <c r="Q521" s="6">
        <f ca="1">IFERROR(__xludf.DUMMYFUNCTION("""COMPUTED_VALUE"""),769)</f>
        <v>769</v>
      </c>
      <c r="R521" s="4" t="str">
        <f ca="1">IFERROR(__xludf.DUMMYFUNCTION("""COMPUTED_VALUE"""),"")</f>
        <v/>
      </c>
      <c r="S521" s="6">
        <f ca="1">IFERROR(__xludf.DUMMYFUNCTION("""COMPUTED_VALUE"""),1865)</f>
        <v>1865</v>
      </c>
      <c r="T521" s="4"/>
      <c r="U521" s="4"/>
      <c r="V521" s="4"/>
      <c r="W521" s="4"/>
      <c r="X521" s="4"/>
      <c r="Y521" s="4"/>
      <c r="Z521" s="4"/>
      <c r="AA521" s="4"/>
      <c r="AB521" s="4"/>
    </row>
    <row r="522" spans="1:28" x14ac:dyDescent="0.2">
      <c r="A522" s="4"/>
      <c r="B522" s="4"/>
      <c r="C522" s="4"/>
      <c r="D522" s="4"/>
      <c r="E522" s="4"/>
      <c r="F522" s="4"/>
      <c r="G522" s="4"/>
      <c r="H522" s="4"/>
      <c r="I522" s="4"/>
      <c r="J522" s="4"/>
      <c r="K522" s="4"/>
      <c r="L522" s="4"/>
      <c r="M522" s="4"/>
      <c r="N522" s="6">
        <f ca="1">IFERROR(__xludf.DUMMYFUNCTION("""COMPUTED_VALUE"""),38)</f>
        <v>38</v>
      </c>
      <c r="O522" s="6">
        <f ca="1">IFERROR(__xludf.DUMMYFUNCTION("""COMPUTED_VALUE"""),39)</f>
        <v>39</v>
      </c>
      <c r="P522" s="4" t="str">
        <f ca="1">IFERROR(__xludf.DUMMYFUNCTION("""COMPUTED_VALUE"""),"")</f>
        <v/>
      </c>
      <c r="Q522" s="6">
        <f ca="1">IFERROR(__xludf.DUMMYFUNCTION("""COMPUTED_VALUE"""),769)</f>
        <v>769</v>
      </c>
      <c r="R522" s="4" t="str">
        <f ca="1">IFERROR(__xludf.DUMMYFUNCTION("""COMPUTED_VALUE"""),"")</f>
        <v/>
      </c>
      <c r="S522" s="6">
        <f ca="1">IFERROR(__xludf.DUMMYFUNCTION("""COMPUTED_VALUE"""),1865)</f>
        <v>1865</v>
      </c>
      <c r="T522" s="4"/>
      <c r="U522" s="4"/>
      <c r="V522" s="4"/>
      <c r="W522" s="4"/>
      <c r="X522" s="4"/>
      <c r="Y522" s="4"/>
      <c r="Z522" s="4"/>
      <c r="AA522" s="4"/>
      <c r="AB522" s="4"/>
    </row>
    <row r="523" spans="1:28" x14ac:dyDescent="0.2">
      <c r="A523" s="4"/>
      <c r="B523" s="4"/>
      <c r="C523" s="4"/>
      <c r="D523" s="4"/>
      <c r="E523" s="4"/>
      <c r="F523" s="4"/>
      <c r="G523" s="4"/>
      <c r="H523" s="4"/>
      <c r="I523" s="4"/>
      <c r="J523" s="4"/>
      <c r="K523" s="4"/>
      <c r="L523" s="4"/>
      <c r="M523" s="4"/>
      <c r="N523" s="6">
        <f ca="1">IFERROR(__xludf.DUMMYFUNCTION("""COMPUTED_VALUE"""),38)</f>
        <v>38</v>
      </c>
      <c r="O523" s="6">
        <f ca="1">IFERROR(__xludf.DUMMYFUNCTION("""COMPUTED_VALUE"""),39)</f>
        <v>39</v>
      </c>
      <c r="P523" s="4" t="str">
        <f ca="1">IFERROR(__xludf.DUMMYFUNCTION("""COMPUTED_VALUE"""),"")</f>
        <v/>
      </c>
      <c r="Q523" s="6">
        <f ca="1">IFERROR(__xludf.DUMMYFUNCTION("""COMPUTED_VALUE"""),769)</f>
        <v>769</v>
      </c>
      <c r="R523" s="4" t="str">
        <f ca="1">IFERROR(__xludf.DUMMYFUNCTION("""COMPUTED_VALUE"""),"")</f>
        <v/>
      </c>
      <c r="S523" s="6">
        <f ca="1">IFERROR(__xludf.DUMMYFUNCTION("""COMPUTED_VALUE"""),1865)</f>
        <v>1865</v>
      </c>
      <c r="T523" s="4"/>
      <c r="U523" s="4"/>
      <c r="V523" s="4"/>
      <c r="W523" s="4"/>
      <c r="X523" s="4"/>
      <c r="Y523" s="4"/>
      <c r="Z523" s="4"/>
      <c r="AA523" s="4"/>
      <c r="AB523" s="4"/>
    </row>
    <row r="524" spans="1:28" x14ac:dyDescent="0.2">
      <c r="A524" s="4"/>
      <c r="B524" s="4"/>
      <c r="C524" s="4"/>
      <c r="D524" s="4"/>
      <c r="E524" s="4"/>
      <c r="F524" s="4"/>
      <c r="G524" s="4"/>
      <c r="H524" s="4"/>
      <c r="I524" s="4"/>
      <c r="J524" s="4"/>
      <c r="K524" s="4"/>
      <c r="L524" s="4"/>
      <c r="M524" s="4"/>
      <c r="N524" s="6">
        <f ca="1">IFERROR(__xludf.DUMMYFUNCTION("""COMPUTED_VALUE"""),38)</f>
        <v>38</v>
      </c>
      <c r="O524" s="6">
        <f ca="1">IFERROR(__xludf.DUMMYFUNCTION("""COMPUTED_VALUE"""),39)</f>
        <v>39</v>
      </c>
      <c r="P524" s="4" t="str">
        <f ca="1">IFERROR(__xludf.DUMMYFUNCTION("""COMPUTED_VALUE"""),"")</f>
        <v/>
      </c>
      <c r="Q524" s="6">
        <f ca="1">IFERROR(__xludf.DUMMYFUNCTION("""COMPUTED_VALUE"""),769)</f>
        <v>769</v>
      </c>
      <c r="R524" s="4" t="str">
        <f ca="1">IFERROR(__xludf.DUMMYFUNCTION("""COMPUTED_VALUE"""),"")</f>
        <v/>
      </c>
      <c r="S524" s="6">
        <f ca="1">IFERROR(__xludf.DUMMYFUNCTION("""COMPUTED_VALUE"""),1865)</f>
        <v>1865</v>
      </c>
      <c r="T524" s="4"/>
      <c r="U524" s="4"/>
      <c r="V524" s="4"/>
      <c r="W524" s="4"/>
      <c r="X524" s="4"/>
      <c r="Y524" s="4"/>
      <c r="Z524" s="4"/>
      <c r="AA524" s="4"/>
      <c r="AB524" s="4"/>
    </row>
    <row r="525" spans="1:28" x14ac:dyDescent="0.2">
      <c r="A525" s="4"/>
      <c r="B525" s="4"/>
      <c r="C525" s="4"/>
      <c r="D525" s="4"/>
      <c r="E525" s="4"/>
      <c r="F525" s="4"/>
      <c r="G525" s="4"/>
      <c r="H525" s="4"/>
      <c r="I525" s="4"/>
      <c r="J525" s="4"/>
      <c r="K525" s="4"/>
      <c r="L525" s="4"/>
      <c r="M525" s="4"/>
      <c r="N525" s="6">
        <f ca="1">IFERROR(__xludf.DUMMYFUNCTION("""COMPUTED_VALUE"""),38)</f>
        <v>38</v>
      </c>
      <c r="O525" s="6">
        <f ca="1">IFERROR(__xludf.DUMMYFUNCTION("""COMPUTED_VALUE"""),39)</f>
        <v>39</v>
      </c>
      <c r="P525" s="4" t="str">
        <f ca="1">IFERROR(__xludf.DUMMYFUNCTION("""COMPUTED_VALUE"""),"")</f>
        <v/>
      </c>
      <c r="Q525" s="6">
        <f ca="1">IFERROR(__xludf.DUMMYFUNCTION("""COMPUTED_VALUE"""),769)</f>
        <v>769</v>
      </c>
      <c r="R525" s="4" t="str">
        <f ca="1">IFERROR(__xludf.DUMMYFUNCTION("""COMPUTED_VALUE"""),"")</f>
        <v/>
      </c>
      <c r="S525" s="6">
        <f ca="1">IFERROR(__xludf.DUMMYFUNCTION("""COMPUTED_VALUE"""),1865)</f>
        <v>1865</v>
      </c>
      <c r="T525" s="4"/>
      <c r="U525" s="4"/>
      <c r="V525" s="4"/>
      <c r="W525" s="4"/>
      <c r="X525" s="4"/>
      <c r="Y525" s="4"/>
      <c r="Z525" s="4"/>
      <c r="AA525" s="4"/>
      <c r="AB525" s="4"/>
    </row>
    <row r="526" spans="1:28" x14ac:dyDescent="0.2">
      <c r="A526" s="4"/>
      <c r="B526" s="4"/>
      <c r="C526" s="4"/>
      <c r="D526" s="4"/>
      <c r="E526" s="4"/>
      <c r="F526" s="4"/>
      <c r="G526" s="4"/>
      <c r="H526" s="4"/>
      <c r="I526" s="4"/>
      <c r="J526" s="4"/>
      <c r="K526" s="4"/>
      <c r="L526" s="4"/>
      <c r="M526" s="4"/>
      <c r="N526" s="6">
        <f ca="1">IFERROR(__xludf.DUMMYFUNCTION("""COMPUTED_VALUE"""),38)</f>
        <v>38</v>
      </c>
      <c r="O526" s="6">
        <f ca="1">IFERROR(__xludf.DUMMYFUNCTION("""COMPUTED_VALUE"""),39)</f>
        <v>39</v>
      </c>
      <c r="P526" s="4" t="str">
        <f ca="1">IFERROR(__xludf.DUMMYFUNCTION("""COMPUTED_VALUE"""),"")</f>
        <v/>
      </c>
      <c r="Q526" s="6">
        <f ca="1">IFERROR(__xludf.DUMMYFUNCTION("""COMPUTED_VALUE"""),769)</f>
        <v>769</v>
      </c>
      <c r="R526" s="4" t="str">
        <f ca="1">IFERROR(__xludf.DUMMYFUNCTION("""COMPUTED_VALUE"""),"")</f>
        <v/>
      </c>
      <c r="S526" s="6">
        <f ca="1">IFERROR(__xludf.DUMMYFUNCTION("""COMPUTED_VALUE"""),1865)</f>
        <v>1865</v>
      </c>
      <c r="T526" s="4"/>
      <c r="U526" s="4"/>
      <c r="V526" s="4"/>
      <c r="W526" s="4"/>
      <c r="X526" s="4"/>
      <c r="Y526" s="4"/>
      <c r="Z526" s="4"/>
      <c r="AA526" s="4"/>
      <c r="AB526" s="4"/>
    </row>
    <row r="527" spans="1:28" x14ac:dyDescent="0.2">
      <c r="A527" s="4"/>
      <c r="B527" s="4"/>
      <c r="C527" s="4"/>
      <c r="D527" s="4"/>
      <c r="E527" s="4"/>
      <c r="F527" s="4"/>
      <c r="G527" s="4"/>
      <c r="H527" s="4"/>
      <c r="I527" s="4"/>
      <c r="J527" s="4"/>
      <c r="K527" s="4"/>
      <c r="L527" s="4"/>
      <c r="M527" s="4"/>
      <c r="N527" s="6">
        <f ca="1">IFERROR(__xludf.DUMMYFUNCTION("""COMPUTED_VALUE"""),38)</f>
        <v>38</v>
      </c>
      <c r="O527" s="6">
        <f ca="1">IFERROR(__xludf.DUMMYFUNCTION("""COMPUTED_VALUE"""),39)</f>
        <v>39</v>
      </c>
      <c r="P527" s="4" t="str">
        <f ca="1">IFERROR(__xludf.DUMMYFUNCTION("""COMPUTED_VALUE"""),"")</f>
        <v/>
      </c>
      <c r="Q527" s="6">
        <f ca="1">IFERROR(__xludf.DUMMYFUNCTION("""COMPUTED_VALUE"""),769)</f>
        <v>769</v>
      </c>
      <c r="R527" s="4" t="str">
        <f ca="1">IFERROR(__xludf.DUMMYFUNCTION("""COMPUTED_VALUE"""),"")</f>
        <v/>
      </c>
      <c r="S527" s="6">
        <f ca="1">IFERROR(__xludf.DUMMYFUNCTION("""COMPUTED_VALUE"""),1865)</f>
        <v>1865</v>
      </c>
      <c r="T527" s="4"/>
      <c r="U527" s="4"/>
      <c r="V527" s="4"/>
      <c r="W527" s="4"/>
      <c r="X527" s="4"/>
      <c r="Y527" s="4"/>
      <c r="Z527" s="4"/>
      <c r="AA527" s="4"/>
      <c r="AB527" s="4"/>
    </row>
    <row r="528" spans="1:28" x14ac:dyDescent="0.2">
      <c r="A528" s="4"/>
      <c r="B528" s="4"/>
      <c r="C528" s="4"/>
      <c r="D528" s="4"/>
      <c r="E528" s="4"/>
      <c r="F528" s="4"/>
      <c r="G528" s="4"/>
      <c r="H528" s="4"/>
      <c r="I528" s="4"/>
      <c r="J528" s="4"/>
      <c r="K528" s="4"/>
      <c r="L528" s="4"/>
      <c r="M528" s="4"/>
      <c r="N528" s="6">
        <f ca="1">IFERROR(__xludf.DUMMYFUNCTION("""COMPUTED_VALUE"""),38)</f>
        <v>38</v>
      </c>
      <c r="O528" s="6">
        <f ca="1">IFERROR(__xludf.DUMMYFUNCTION("""COMPUTED_VALUE"""),39)</f>
        <v>39</v>
      </c>
      <c r="P528" s="4" t="str">
        <f ca="1">IFERROR(__xludf.DUMMYFUNCTION("""COMPUTED_VALUE"""),"")</f>
        <v/>
      </c>
      <c r="Q528" s="6">
        <f ca="1">IFERROR(__xludf.DUMMYFUNCTION("""COMPUTED_VALUE"""),769)</f>
        <v>769</v>
      </c>
      <c r="R528" s="4" t="str">
        <f ca="1">IFERROR(__xludf.DUMMYFUNCTION("""COMPUTED_VALUE"""),"")</f>
        <v/>
      </c>
      <c r="S528" s="6">
        <f ca="1">IFERROR(__xludf.DUMMYFUNCTION("""COMPUTED_VALUE"""),1865)</f>
        <v>1865</v>
      </c>
      <c r="T528" s="4"/>
      <c r="U528" s="4"/>
      <c r="V528" s="4"/>
      <c r="W528" s="4"/>
      <c r="X528" s="4"/>
      <c r="Y528" s="4"/>
      <c r="Z528" s="4"/>
      <c r="AA528" s="4"/>
      <c r="AB528" s="4"/>
    </row>
    <row r="529" spans="1:28" x14ac:dyDescent="0.2">
      <c r="A529" s="4"/>
      <c r="B529" s="4"/>
      <c r="C529" s="4"/>
      <c r="D529" s="4"/>
      <c r="E529" s="4"/>
      <c r="F529" s="4"/>
      <c r="G529" s="4"/>
      <c r="H529" s="4"/>
      <c r="I529" s="4"/>
      <c r="J529" s="4"/>
      <c r="K529" s="4"/>
      <c r="L529" s="4"/>
      <c r="M529" s="4"/>
      <c r="N529" s="6">
        <f ca="1">IFERROR(__xludf.DUMMYFUNCTION("""COMPUTED_VALUE"""),38)</f>
        <v>38</v>
      </c>
      <c r="O529" s="6">
        <f ca="1">IFERROR(__xludf.DUMMYFUNCTION("""COMPUTED_VALUE"""),39)</f>
        <v>39</v>
      </c>
      <c r="P529" s="4" t="str">
        <f ca="1">IFERROR(__xludf.DUMMYFUNCTION("""COMPUTED_VALUE"""),"")</f>
        <v/>
      </c>
      <c r="Q529" s="6">
        <f ca="1">IFERROR(__xludf.DUMMYFUNCTION("""COMPUTED_VALUE"""),769)</f>
        <v>769</v>
      </c>
      <c r="R529" s="4" t="str">
        <f ca="1">IFERROR(__xludf.DUMMYFUNCTION("""COMPUTED_VALUE"""),"")</f>
        <v/>
      </c>
      <c r="S529" s="6">
        <f ca="1">IFERROR(__xludf.DUMMYFUNCTION("""COMPUTED_VALUE"""),1865)</f>
        <v>1865</v>
      </c>
      <c r="T529" s="4"/>
      <c r="U529" s="4"/>
      <c r="V529" s="4"/>
      <c r="W529" s="4"/>
      <c r="X529" s="4"/>
      <c r="Y529" s="4"/>
      <c r="Z529" s="4"/>
      <c r="AA529" s="4"/>
      <c r="AB529" s="4"/>
    </row>
    <row r="530" spans="1:28" x14ac:dyDescent="0.2">
      <c r="A530" s="4"/>
      <c r="B530" s="4"/>
      <c r="C530" s="4"/>
      <c r="D530" s="4"/>
      <c r="E530" s="4"/>
      <c r="F530" s="4"/>
      <c r="G530" s="4"/>
      <c r="H530" s="4"/>
      <c r="I530" s="4"/>
      <c r="J530" s="4"/>
      <c r="K530" s="4"/>
      <c r="L530" s="4"/>
      <c r="M530" s="4"/>
      <c r="N530" s="6">
        <f ca="1">IFERROR(__xludf.DUMMYFUNCTION("""COMPUTED_VALUE"""),38)</f>
        <v>38</v>
      </c>
      <c r="O530" s="6">
        <f ca="1">IFERROR(__xludf.DUMMYFUNCTION("""COMPUTED_VALUE"""),39)</f>
        <v>39</v>
      </c>
      <c r="P530" s="4" t="str">
        <f ca="1">IFERROR(__xludf.DUMMYFUNCTION("""COMPUTED_VALUE"""),"")</f>
        <v/>
      </c>
      <c r="Q530" s="6">
        <f ca="1">IFERROR(__xludf.DUMMYFUNCTION("""COMPUTED_VALUE"""),769)</f>
        <v>769</v>
      </c>
      <c r="R530" s="4" t="str">
        <f ca="1">IFERROR(__xludf.DUMMYFUNCTION("""COMPUTED_VALUE"""),"")</f>
        <v/>
      </c>
      <c r="S530" s="6">
        <f ca="1">IFERROR(__xludf.DUMMYFUNCTION("""COMPUTED_VALUE"""),1865)</f>
        <v>1865</v>
      </c>
      <c r="T530" s="4"/>
      <c r="U530" s="4"/>
      <c r="V530" s="4"/>
      <c r="W530" s="4"/>
      <c r="X530" s="4"/>
      <c r="Y530" s="4"/>
      <c r="Z530" s="4"/>
      <c r="AA530" s="4"/>
      <c r="AB530" s="4"/>
    </row>
    <row r="531" spans="1:28" x14ac:dyDescent="0.2">
      <c r="A531" s="4"/>
      <c r="B531" s="4"/>
      <c r="C531" s="4"/>
      <c r="D531" s="4"/>
      <c r="E531" s="4"/>
      <c r="F531" s="4"/>
      <c r="G531" s="4"/>
      <c r="H531" s="4"/>
      <c r="I531" s="4"/>
      <c r="J531" s="4"/>
      <c r="K531" s="4"/>
      <c r="L531" s="4"/>
      <c r="M531" s="4"/>
      <c r="N531" s="6">
        <f ca="1">IFERROR(__xludf.DUMMYFUNCTION("""COMPUTED_VALUE"""),38)</f>
        <v>38</v>
      </c>
      <c r="O531" s="6">
        <f ca="1">IFERROR(__xludf.DUMMYFUNCTION("""COMPUTED_VALUE"""),39)</f>
        <v>39</v>
      </c>
      <c r="P531" s="4" t="str">
        <f ca="1">IFERROR(__xludf.DUMMYFUNCTION("""COMPUTED_VALUE"""),"")</f>
        <v/>
      </c>
      <c r="Q531" s="6">
        <f ca="1">IFERROR(__xludf.DUMMYFUNCTION("""COMPUTED_VALUE"""),769)</f>
        <v>769</v>
      </c>
      <c r="R531" s="4" t="str">
        <f ca="1">IFERROR(__xludf.DUMMYFUNCTION("""COMPUTED_VALUE"""),"")</f>
        <v/>
      </c>
      <c r="S531" s="6">
        <f ca="1">IFERROR(__xludf.DUMMYFUNCTION("""COMPUTED_VALUE"""),1865)</f>
        <v>1865</v>
      </c>
      <c r="T531" s="4"/>
      <c r="U531" s="4"/>
      <c r="V531" s="4"/>
      <c r="W531" s="4"/>
      <c r="X531" s="4"/>
      <c r="Y531" s="4"/>
      <c r="Z531" s="4"/>
      <c r="AA531" s="4"/>
      <c r="AB531" s="4"/>
    </row>
    <row r="532" spans="1:28" x14ac:dyDescent="0.2">
      <c r="A532" s="4"/>
      <c r="B532" s="4"/>
      <c r="C532" s="4"/>
      <c r="D532" s="4"/>
      <c r="E532" s="4"/>
      <c r="F532" s="4"/>
      <c r="G532" s="4"/>
      <c r="H532" s="4"/>
      <c r="I532" s="4"/>
      <c r="J532" s="4"/>
      <c r="K532" s="4"/>
      <c r="L532" s="4"/>
      <c r="M532" s="4"/>
      <c r="N532" s="6">
        <f ca="1">IFERROR(__xludf.DUMMYFUNCTION("""COMPUTED_VALUE"""),38)</f>
        <v>38</v>
      </c>
      <c r="O532" s="6">
        <f ca="1">IFERROR(__xludf.DUMMYFUNCTION("""COMPUTED_VALUE"""),39)</f>
        <v>39</v>
      </c>
      <c r="P532" s="4" t="str">
        <f ca="1">IFERROR(__xludf.DUMMYFUNCTION("""COMPUTED_VALUE"""),"")</f>
        <v/>
      </c>
      <c r="Q532" s="6">
        <f ca="1">IFERROR(__xludf.DUMMYFUNCTION("""COMPUTED_VALUE"""),769)</f>
        <v>769</v>
      </c>
      <c r="R532" s="4" t="str">
        <f ca="1">IFERROR(__xludf.DUMMYFUNCTION("""COMPUTED_VALUE"""),"")</f>
        <v/>
      </c>
      <c r="S532" s="6">
        <f ca="1">IFERROR(__xludf.DUMMYFUNCTION("""COMPUTED_VALUE"""),1865)</f>
        <v>1865</v>
      </c>
      <c r="T532" s="4"/>
      <c r="U532" s="4"/>
      <c r="V532" s="4"/>
      <c r="W532" s="4"/>
      <c r="X532" s="4"/>
      <c r="Y532" s="4"/>
      <c r="Z532" s="4"/>
      <c r="AA532" s="4"/>
      <c r="AB532" s="4"/>
    </row>
    <row r="533" spans="1:28" x14ac:dyDescent="0.2">
      <c r="A533" s="4"/>
      <c r="B533" s="4"/>
      <c r="C533" s="4"/>
      <c r="D533" s="4"/>
      <c r="E533" s="4"/>
      <c r="F533" s="4"/>
      <c r="G533" s="4"/>
      <c r="H533" s="4"/>
      <c r="I533" s="4"/>
      <c r="J533" s="4"/>
      <c r="K533" s="4"/>
      <c r="L533" s="4"/>
      <c r="M533" s="4"/>
      <c r="N533" s="6">
        <f ca="1">IFERROR(__xludf.DUMMYFUNCTION("""COMPUTED_VALUE"""),38)</f>
        <v>38</v>
      </c>
      <c r="O533" s="6">
        <f ca="1">IFERROR(__xludf.DUMMYFUNCTION("""COMPUTED_VALUE"""),39)</f>
        <v>39</v>
      </c>
      <c r="P533" s="4" t="str">
        <f ca="1">IFERROR(__xludf.DUMMYFUNCTION("""COMPUTED_VALUE"""),"")</f>
        <v/>
      </c>
      <c r="Q533" s="6">
        <f ca="1">IFERROR(__xludf.DUMMYFUNCTION("""COMPUTED_VALUE"""),769)</f>
        <v>769</v>
      </c>
      <c r="R533" s="4" t="str">
        <f ca="1">IFERROR(__xludf.DUMMYFUNCTION("""COMPUTED_VALUE"""),"")</f>
        <v/>
      </c>
      <c r="S533" s="6">
        <f ca="1">IFERROR(__xludf.DUMMYFUNCTION("""COMPUTED_VALUE"""),1865)</f>
        <v>1865</v>
      </c>
      <c r="T533" s="4"/>
      <c r="U533" s="4"/>
      <c r="V533" s="4"/>
      <c r="W533" s="4"/>
      <c r="X533" s="4"/>
      <c r="Y533" s="4"/>
      <c r="Z533" s="4"/>
      <c r="AA533" s="4"/>
      <c r="AB533" s="4"/>
    </row>
    <row r="534" spans="1:28" x14ac:dyDescent="0.2">
      <c r="A534" s="4"/>
      <c r="B534" s="4"/>
      <c r="C534" s="4"/>
      <c r="D534" s="4"/>
      <c r="E534" s="4"/>
      <c r="F534" s="4"/>
      <c r="G534" s="4"/>
      <c r="H534" s="4"/>
      <c r="I534" s="4"/>
      <c r="J534" s="4"/>
      <c r="K534" s="4"/>
      <c r="L534" s="4"/>
      <c r="M534" s="4"/>
      <c r="N534" s="6">
        <f ca="1">IFERROR(__xludf.DUMMYFUNCTION("""COMPUTED_VALUE"""),38)</f>
        <v>38</v>
      </c>
      <c r="O534" s="6">
        <f ca="1">IFERROR(__xludf.DUMMYFUNCTION("""COMPUTED_VALUE"""),39)</f>
        <v>39</v>
      </c>
      <c r="P534" s="4" t="str">
        <f ca="1">IFERROR(__xludf.DUMMYFUNCTION("""COMPUTED_VALUE"""),"")</f>
        <v/>
      </c>
      <c r="Q534" s="6">
        <f ca="1">IFERROR(__xludf.DUMMYFUNCTION("""COMPUTED_VALUE"""),769)</f>
        <v>769</v>
      </c>
      <c r="R534" s="4" t="str">
        <f ca="1">IFERROR(__xludf.DUMMYFUNCTION("""COMPUTED_VALUE"""),"")</f>
        <v/>
      </c>
      <c r="S534" s="6">
        <f ca="1">IFERROR(__xludf.DUMMYFUNCTION("""COMPUTED_VALUE"""),1865)</f>
        <v>1865</v>
      </c>
      <c r="T534" s="4"/>
      <c r="U534" s="4"/>
      <c r="V534" s="4"/>
      <c r="W534" s="4"/>
      <c r="X534" s="4"/>
      <c r="Y534" s="4"/>
      <c r="Z534" s="4"/>
      <c r="AA534" s="4"/>
      <c r="AB534" s="4"/>
    </row>
    <row r="535" spans="1:28" x14ac:dyDescent="0.2">
      <c r="A535" s="4"/>
      <c r="B535" s="4"/>
      <c r="C535" s="4"/>
      <c r="D535" s="4"/>
      <c r="E535" s="4"/>
      <c r="F535" s="4"/>
      <c r="G535" s="4"/>
      <c r="H535" s="4"/>
      <c r="I535" s="4"/>
      <c r="J535" s="4"/>
      <c r="K535" s="4"/>
      <c r="L535" s="4"/>
      <c r="M535" s="4"/>
      <c r="N535" s="6">
        <f ca="1">IFERROR(__xludf.DUMMYFUNCTION("""COMPUTED_VALUE"""),38)</f>
        <v>38</v>
      </c>
      <c r="O535" s="6">
        <f ca="1">IFERROR(__xludf.DUMMYFUNCTION("""COMPUTED_VALUE"""),39)</f>
        <v>39</v>
      </c>
      <c r="P535" s="4" t="str">
        <f ca="1">IFERROR(__xludf.DUMMYFUNCTION("""COMPUTED_VALUE"""),"")</f>
        <v/>
      </c>
      <c r="Q535" s="6">
        <f ca="1">IFERROR(__xludf.DUMMYFUNCTION("""COMPUTED_VALUE"""),769)</f>
        <v>769</v>
      </c>
      <c r="R535" s="4" t="str">
        <f ca="1">IFERROR(__xludf.DUMMYFUNCTION("""COMPUTED_VALUE"""),"")</f>
        <v/>
      </c>
      <c r="S535" s="6">
        <f ca="1">IFERROR(__xludf.DUMMYFUNCTION("""COMPUTED_VALUE"""),1865)</f>
        <v>1865</v>
      </c>
      <c r="T535" s="4"/>
      <c r="U535" s="4"/>
      <c r="V535" s="4"/>
      <c r="W535" s="4"/>
      <c r="X535" s="4"/>
      <c r="Y535" s="4"/>
      <c r="Z535" s="4"/>
      <c r="AA535" s="4"/>
      <c r="AB535" s="4"/>
    </row>
    <row r="536" spans="1:28" x14ac:dyDescent="0.2">
      <c r="A536" s="4"/>
      <c r="B536" s="4"/>
      <c r="C536" s="4"/>
      <c r="D536" s="4"/>
      <c r="E536" s="4"/>
      <c r="F536" s="4"/>
      <c r="G536" s="4"/>
      <c r="H536" s="4"/>
      <c r="I536" s="4"/>
      <c r="J536" s="4"/>
      <c r="K536" s="4"/>
      <c r="L536" s="4"/>
      <c r="M536" s="4"/>
      <c r="N536" s="6">
        <f ca="1">IFERROR(__xludf.DUMMYFUNCTION("""COMPUTED_VALUE"""),38)</f>
        <v>38</v>
      </c>
      <c r="O536" s="6">
        <f ca="1">IFERROR(__xludf.DUMMYFUNCTION("""COMPUTED_VALUE"""),39)</f>
        <v>39</v>
      </c>
      <c r="P536" s="4" t="str">
        <f ca="1">IFERROR(__xludf.DUMMYFUNCTION("""COMPUTED_VALUE"""),"")</f>
        <v/>
      </c>
      <c r="Q536" s="6">
        <f ca="1">IFERROR(__xludf.DUMMYFUNCTION("""COMPUTED_VALUE"""),769)</f>
        <v>769</v>
      </c>
      <c r="R536" s="4" t="str">
        <f ca="1">IFERROR(__xludf.DUMMYFUNCTION("""COMPUTED_VALUE"""),"")</f>
        <v/>
      </c>
      <c r="S536" s="6">
        <f ca="1">IFERROR(__xludf.DUMMYFUNCTION("""COMPUTED_VALUE"""),1865)</f>
        <v>1865</v>
      </c>
      <c r="T536" s="4"/>
      <c r="U536" s="4"/>
      <c r="V536" s="4"/>
      <c r="W536" s="4"/>
      <c r="X536" s="4"/>
      <c r="Y536" s="4"/>
      <c r="Z536" s="4"/>
      <c r="AA536" s="4"/>
      <c r="AB536" s="4"/>
    </row>
    <row r="537" spans="1:28" x14ac:dyDescent="0.2">
      <c r="A537" s="4"/>
      <c r="B537" s="4"/>
      <c r="C537" s="4"/>
      <c r="D537" s="4"/>
      <c r="E537" s="4"/>
      <c r="F537" s="4"/>
      <c r="G537" s="4"/>
      <c r="H537" s="4"/>
      <c r="I537" s="4"/>
      <c r="J537" s="4"/>
      <c r="K537" s="4"/>
      <c r="L537" s="4"/>
      <c r="M537" s="4"/>
      <c r="N537" s="6">
        <f ca="1">IFERROR(__xludf.DUMMYFUNCTION("""COMPUTED_VALUE"""),38)</f>
        <v>38</v>
      </c>
      <c r="O537" s="6">
        <f ca="1">IFERROR(__xludf.DUMMYFUNCTION("""COMPUTED_VALUE"""),39)</f>
        <v>39</v>
      </c>
      <c r="P537" s="4" t="str">
        <f ca="1">IFERROR(__xludf.DUMMYFUNCTION("""COMPUTED_VALUE"""),"")</f>
        <v/>
      </c>
      <c r="Q537" s="6">
        <f ca="1">IFERROR(__xludf.DUMMYFUNCTION("""COMPUTED_VALUE"""),769)</f>
        <v>769</v>
      </c>
      <c r="R537" s="4" t="str">
        <f ca="1">IFERROR(__xludf.DUMMYFUNCTION("""COMPUTED_VALUE"""),"")</f>
        <v/>
      </c>
      <c r="S537" s="6">
        <f ca="1">IFERROR(__xludf.DUMMYFUNCTION("""COMPUTED_VALUE"""),1865)</f>
        <v>1865</v>
      </c>
      <c r="T537" s="4"/>
      <c r="U537" s="4"/>
      <c r="V537" s="4"/>
      <c r="W537" s="4"/>
      <c r="X537" s="4"/>
      <c r="Y537" s="4"/>
      <c r="Z537" s="4"/>
      <c r="AA537" s="4"/>
      <c r="AB537" s="4"/>
    </row>
    <row r="538" spans="1:28" x14ac:dyDescent="0.2">
      <c r="A538" s="4"/>
      <c r="B538" s="4"/>
      <c r="C538" s="4"/>
      <c r="D538" s="4"/>
      <c r="E538" s="4"/>
      <c r="F538" s="4"/>
      <c r="G538" s="4"/>
      <c r="H538" s="4"/>
      <c r="I538" s="4"/>
      <c r="J538" s="4"/>
      <c r="K538" s="4"/>
      <c r="L538" s="4"/>
      <c r="M538" s="4"/>
      <c r="N538" s="6">
        <f ca="1">IFERROR(__xludf.DUMMYFUNCTION("""COMPUTED_VALUE"""),38)</f>
        <v>38</v>
      </c>
      <c r="O538" s="6">
        <f ca="1">IFERROR(__xludf.DUMMYFUNCTION("""COMPUTED_VALUE"""),39)</f>
        <v>39</v>
      </c>
      <c r="P538" s="4" t="str">
        <f ca="1">IFERROR(__xludf.DUMMYFUNCTION("""COMPUTED_VALUE"""),"")</f>
        <v/>
      </c>
      <c r="Q538" s="6">
        <f ca="1">IFERROR(__xludf.DUMMYFUNCTION("""COMPUTED_VALUE"""),769)</f>
        <v>769</v>
      </c>
      <c r="R538" s="4" t="str">
        <f ca="1">IFERROR(__xludf.DUMMYFUNCTION("""COMPUTED_VALUE"""),"")</f>
        <v/>
      </c>
      <c r="S538" s="6">
        <f ca="1">IFERROR(__xludf.DUMMYFUNCTION("""COMPUTED_VALUE"""),1865)</f>
        <v>1865</v>
      </c>
      <c r="T538" s="4"/>
      <c r="U538" s="4"/>
      <c r="V538" s="4"/>
      <c r="W538" s="4"/>
      <c r="X538" s="4"/>
      <c r="Y538" s="4"/>
      <c r="Z538" s="4"/>
      <c r="AA538" s="4"/>
      <c r="AB538" s="4"/>
    </row>
    <row r="539" spans="1:28" x14ac:dyDescent="0.2">
      <c r="A539" s="4"/>
      <c r="B539" s="4"/>
      <c r="C539" s="4"/>
      <c r="D539" s="4"/>
      <c r="E539" s="4"/>
      <c r="F539" s="4"/>
      <c r="G539" s="4"/>
      <c r="H539" s="4"/>
      <c r="I539" s="4"/>
      <c r="J539" s="4"/>
      <c r="K539" s="4"/>
      <c r="L539" s="4"/>
      <c r="M539" s="4"/>
      <c r="N539" s="6">
        <f ca="1">IFERROR(__xludf.DUMMYFUNCTION("""COMPUTED_VALUE"""),38)</f>
        <v>38</v>
      </c>
      <c r="O539" s="6">
        <f ca="1">IFERROR(__xludf.DUMMYFUNCTION("""COMPUTED_VALUE"""),39)</f>
        <v>39</v>
      </c>
      <c r="P539" s="4" t="str">
        <f ca="1">IFERROR(__xludf.DUMMYFUNCTION("""COMPUTED_VALUE"""),"")</f>
        <v/>
      </c>
      <c r="Q539" s="6">
        <f ca="1">IFERROR(__xludf.DUMMYFUNCTION("""COMPUTED_VALUE"""),769)</f>
        <v>769</v>
      </c>
      <c r="R539" s="4" t="str">
        <f ca="1">IFERROR(__xludf.DUMMYFUNCTION("""COMPUTED_VALUE"""),"")</f>
        <v/>
      </c>
      <c r="S539" s="6">
        <f ca="1">IFERROR(__xludf.DUMMYFUNCTION("""COMPUTED_VALUE"""),1865)</f>
        <v>1865</v>
      </c>
      <c r="T539" s="4"/>
      <c r="U539" s="4"/>
      <c r="V539" s="4"/>
      <c r="W539" s="4"/>
      <c r="X539" s="4"/>
      <c r="Y539" s="4"/>
      <c r="Z539" s="4"/>
      <c r="AA539" s="4"/>
      <c r="AB539" s="4"/>
    </row>
    <row r="540" spans="1:28" x14ac:dyDescent="0.2">
      <c r="A540" s="4"/>
      <c r="B540" s="4"/>
      <c r="C540" s="4"/>
      <c r="D540" s="4"/>
      <c r="E540" s="4"/>
      <c r="F540" s="4"/>
      <c r="G540" s="4"/>
      <c r="H540" s="4"/>
      <c r="I540" s="4"/>
      <c r="J540" s="4"/>
      <c r="K540" s="4"/>
      <c r="L540" s="4"/>
      <c r="M540" s="4"/>
      <c r="N540" s="6">
        <f ca="1">IFERROR(__xludf.DUMMYFUNCTION("""COMPUTED_VALUE"""),38)</f>
        <v>38</v>
      </c>
      <c r="O540" s="6">
        <f ca="1">IFERROR(__xludf.DUMMYFUNCTION("""COMPUTED_VALUE"""),39)</f>
        <v>39</v>
      </c>
      <c r="P540" s="4" t="str">
        <f ca="1">IFERROR(__xludf.DUMMYFUNCTION("""COMPUTED_VALUE"""),"")</f>
        <v/>
      </c>
      <c r="Q540" s="6">
        <f ca="1">IFERROR(__xludf.DUMMYFUNCTION("""COMPUTED_VALUE"""),769)</f>
        <v>769</v>
      </c>
      <c r="R540" s="4" t="str">
        <f ca="1">IFERROR(__xludf.DUMMYFUNCTION("""COMPUTED_VALUE"""),"")</f>
        <v/>
      </c>
      <c r="S540" s="6">
        <f ca="1">IFERROR(__xludf.DUMMYFUNCTION("""COMPUTED_VALUE"""),1865)</f>
        <v>1865</v>
      </c>
      <c r="T540" s="4"/>
      <c r="U540" s="4"/>
      <c r="V540" s="4"/>
      <c r="W540" s="4"/>
      <c r="X540" s="4"/>
      <c r="Y540" s="4"/>
      <c r="Z540" s="4"/>
      <c r="AA540" s="4"/>
      <c r="AB540" s="4"/>
    </row>
    <row r="541" spans="1:28" x14ac:dyDescent="0.2">
      <c r="A541" s="4"/>
      <c r="B541" s="4"/>
      <c r="C541" s="4"/>
      <c r="D541" s="4"/>
      <c r="E541" s="4"/>
      <c r="F541" s="4"/>
      <c r="G541" s="4"/>
      <c r="H541" s="4"/>
      <c r="I541" s="4"/>
      <c r="J541" s="4"/>
      <c r="K541" s="4"/>
      <c r="L541" s="4"/>
      <c r="M541" s="4"/>
      <c r="N541" s="6">
        <f ca="1">IFERROR(__xludf.DUMMYFUNCTION("""COMPUTED_VALUE"""),38)</f>
        <v>38</v>
      </c>
      <c r="O541" s="6">
        <f ca="1">IFERROR(__xludf.DUMMYFUNCTION("""COMPUTED_VALUE"""),39)</f>
        <v>39</v>
      </c>
      <c r="P541" s="4" t="str">
        <f ca="1">IFERROR(__xludf.DUMMYFUNCTION("""COMPUTED_VALUE"""),"")</f>
        <v/>
      </c>
      <c r="Q541" s="6">
        <f ca="1">IFERROR(__xludf.DUMMYFUNCTION("""COMPUTED_VALUE"""),769)</f>
        <v>769</v>
      </c>
      <c r="R541" s="4" t="str">
        <f ca="1">IFERROR(__xludf.DUMMYFUNCTION("""COMPUTED_VALUE"""),"")</f>
        <v/>
      </c>
      <c r="S541" s="6">
        <f ca="1">IFERROR(__xludf.DUMMYFUNCTION("""COMPUTED_VALUE"""),1865)</f>
        <v>1865</v>
      </c>
      <c r="T541" s="4"/>
      <c r="U541" s="4"/>
      <c r="V541" s="4"/>
      <c r="W541" s="4"/>
      <c r="X541" s="4"/>
      <c r="Y541" s="4"/>
      <c r="Z541" s="4"/>
      <c r="AA541" s="4"/>
      <c r="AB541" s="4"/>
    </row>
    <row r="542" spans="1:28" x14ac:dyDescent="0.2">
      <c r="A542" s="4"/>
      <c r="B542" s="4"/>
      <c r="C542" s="4"/>
      <c r="D542" s="4"/>
      <c r="E542" s="4"/>
      <c r="F542" s="4"/>
      <c r="G542" s="4"/>
      <c r="H542" s="4"/>
      <c r="I542" s="4"/>
      <c r="J542" s="4"/>
      <c r="K542" s="4"/>
      <c r="L542" s="4"/>
      <c r="M542" s="4"/>
      <c r="N542" s="6">
        <f ca="1">IFERROR(__xludf.DUMMYFUNCTION("""COMPUTED_VALUE"""),38)</f>
        <v>38</v>
      </c>
      <c r="O542" s="6">
        <f ca="1">IFERROR(__xludf.DUMMYFUNCTION("""COMPUTED_VALUE"""),39)</f>
        <v>39</v>
      </c>
      <c r="P542" s="4" t="str">
        <f ca="1">IFERROR(__xludf.DUMMYFUNCTION("""COMPUTED_VALUE"""),"")</f>
        <v/>
      </c>
      <c r="Q542" s="6">
        <f ca="1">IFERROR(__xludf.DUMMYFUNCTION("""COMPUTED_VALUE"""),769)</f>
        <v>769</v>
      </c>
      <c r="R542" s="4" t="str">
        <f ca="1">IFERROR(__xludf.DUMMYFUNCTION("""COMPUTED_VALUE"""),"")</f>
        <v/>
      </c>
      <c r="S542" s="6">
        <f ca="1">IFERROR(__xludf.DUMMYFUNCTION("""COMPUTED_VALUE"""),1865)</f>
        <v>1865</v>
      </c>
      <c r="T542" s="4"/>
      <c r="U542" s="4"/>
      <c r="V542" s="4"/>
      <c r="W542" s="4"/>
      <c r="X542" s="4"/>
      <c r="Y542" s="4"/>
      <c r="Z542" s="4"/>
      <c r="AA542" s="4"/>
      <c r="AB542" s="4"/>
    </row>
    <row r="543" spans="1:28" x14ac:dyDescent="0.2">
      <c r="A543" s="4"/>
      <c r="B543" s="4"/>
      <c r="C543" s="4"/>
      <c r="D543" s="4"/>
      <c r="E543" s="4"/>
      <c r="F543" s="4"/>
      <c r="G543" s="4"/>
      <c r="H543" s="4"/>
      <c r="I543" s="4"/>
      <c r="J543" s="4"/>
      <c r="K543" s="4"/>
      <c r="L543" s="4"/>
      <c r="M543" s="4"/>
      <c r="N543" s="6">
        <f ca="1">IFERROR(__xludf.DUMMYFUNCTION("""COMPUTED_VALUE"""),38)</f>
        <v>38</v>
      </c>
      <c r="O543" s="6">
        <f ca="1">IFERROR(__xludf.DUMMYFUNCTION("""COMPUTED_VALUE"""),39)</f>
        <v>39</v>
      </c>
      <c r="P543" s="4" t="str">
        <f ca="1">IFERROR(__xludf.DUMMYFUNCTION("""COMPUTED_VALUE"""),"")</f>
        <v/>
      </c>
      <c r="Q543" s="6">
        <f ca="1">IFERROR(__xludf.DUMMYFUNCTION("""COMPUTED_VALUE"""),769)</f>
        <v>769</v>
      </c>
      <c r="R543" s="4" t="str">
        <f ca="1">IFERROR(__xludf.DUMMYFUNCTION("""COMPUTED_VALUE"""),"")</f>
        <v/>
      </c>
      <c r="S543" s="6">
        <f ca="1">IFERROR(__xludf.DUMMYFUNCTION("""COMPUTED_VALUE"""),1865)</f>
        <v>1865</v>
      </c>
      <c r="T543" s="4"/>
      <c r="U543" s="4"/>
      <c r="V543" s="4"/>
      <c r="W543" s="4"/>
      <c r="X543" s="4"/>
      <c r="Y543" s="4"/>
      <c r="Z543" s="4"/>
      <c r="AA543" s="4"/>
      <c r="AB543" s="4"/>
    </row>
    <row r="544" spans="1:28" x14ac:dyDescent="0.2">
      <c r="A544" s="4"/>
      <c r="B544" s="4"/>
      <c r="C544" s="4"/>
      <c r="D544" s="4"/>
      <c r="E544" s="4"/>
      <c r="F544" s="4"/>
      <c r="G544" s="4"/>
      <c r="H544" s="4"/>
      <c r="I544" s="4"/>
      <c r="J544" s="4"/>
      <c r="K544" s="4"/>
      <c r="L544" s="4"/>
      <c r="M544" s="4"/>
      <c r="N544" s="6">
        <f ca="1">IFERROR(__xludf.DUMMYFUNCTION("""COMPUTED_VALUE"""),38)</f>
        <v>38</v>
      </c>
      <c r="O544" s="6">
        <f ca="1">IFERROR(__xludf.DUMMYFUNCTION("""COMPUTED_VALUE"""),39)</f>
        <v>39</v>
      </c>
      <c r="P544" s="4" t="str">
        <f ca="1">IFERROR(__xludf.DUMMYFUNCTION("""COMPUTED_VALUE"""),"")</f>
        <v/>
      </c>
      <c r="Q544" s="6">
        <f ca="1">IFERROR(__xludf.DUMMYFUNCTION("""COMPUTED_VALUE"""),769)</f>
        <v>769</v>
      </c>
      <c r="R544" s="4" t="str">
        <f ca="1">IFERROR(__xludf.DUMMYFUNCTION("""COMPUTED_VALUE"""),"")</f>
        <v/>
      </c>
      <c r="S544" s="6">
        <f ca="1">IFERROR(__xludf.DUMMYFUNCTION("""COMPUTED_VALUE"""),1865)</f>
        <v>1865</v>
      </c>
      <c r="T544" s="4"/>
      <c r="U544" s="4"/>
      <c r="V544" s="4"/>
      <c r="W544" s="4"/>
      <c r="X544" s="4"/>
      <c r="Y544" s="4"/>
      <c r="Z544" s="4"/>
      <c r="AA544" s="4"/>
      <c r="AB544" s="4"/>
    </row>
    <row r="545" spans="1:28" x14ac:dyDescent="0.2">
      <c r="A545" s="4"/>
      <c r="B545" s="4"/>
      <c r="C545" s="4"/>
      <c r="D545" s="4"/>
      <c r="E545" s="4"/>
      <c r="F545" s="4"/>
      <c r="G545" s="4"/>
      <c r="H545" s="4"/>
      <c r="I545" s="4"/>
      <c r="J545" s="4"/>
      <c r="K545" s="4"/>
      <c r="L545" s="4"/>
      <c r="M545" s="4"/>
      <c r="N545" s="6">
        <f ca="1">IFERROR(__xludf.DUMMYFUNCTION("""COMPUTED_VALUE"""),38)</f>
        <v>38</v>
      </c>
      <c r="O545" s="6">
        <f ca="1">IFERROR(__xludf.DUMMYFUNCTION("""COMPUTED_VALUE"""),39)</f>
        <v>39</v>
      </c>
      <c r="P545" s="4" t="str">
        <f ca="1">IFERROR(__xludf.DUMMYFUNCTION("""COMPUTED_VALUE"""),"")</f>
        <v/>
      </c>
      <c r="Q545" s="6">
        <f ca="1">IFERROR(__xludf.DUMMYFUNCTION("""COMPUTED_VALUE"""),769)</f>
        <v>769</v>
      </c>
      <c r="R545" s="4" t="str">
        <f ca="1">IFERROR(__xludf.DUMMYFUNCTION("""COMPUTED_VALUE"""),"")</f>
        <v/>
      </c>
      <c r="S545" s="6">
        <f ca="1">IFERROR(__xludf.DUMMYFUNCTION("""COMPUTED_VALUE"""),1865)</f>
        <v>1865</v>
      </c>
      <c r="T545" s="4"/>
      <c r="U545" s="4"/>
      <c r="V545" s="4"/>
      <c r="W545" s="4"/>
      <c r="X545" s="4"/>
      <c r="Y545" s="4"/>
      <c r="Z545" s="4"/>
      <c r="AA545" s="4"/>
      <c r="AB545" s="4"/>
    </row>
    <row r="546" spans="1:28" x14ac:dyDescent="0.2">
      <c r="A546" s="4"/>
      <c r="B546" s="4"/>
      <c r="C546" s="4"/>
      <c r="D546" s="4"/>
      <c r="E546" s="4"/>
      <c r="F546" s="4"/>
      <c r="G546" s="4"/>
      <c r="H546" s="4"/>
      <c r="I546" s="4"/>
      <c r="J546" s="4"/>
      <c r="K546" s="4"/>
      <c r="L546" s="4"/>
      <c r="M546" s="4"/>
      <c r="N546" s="6">
        <f ca="1">IFERROR(__xludf.DUMMYFUNCTION("""COMPUTED_VALUE"""),38)</f>
        <v>38</v>
      </c>
      <c r="O546" s="6">
        <f ca="1">IFERROR(__xludf.DUMMYFUNCTION("""COMPUTED_VALUE"""),39)</f>
        <v>39</v>
      </c>
      <c r="P546" s="4" t="str">
        <f ca="1">IFERROR(__xludf.DUMMYFUNCTION("""COMPUTED_VALUE"""),"")</f>
        <v/>
      </c>
      <c r="Q546" s="6">
        <f ca="1">IFERROR(__xludf.DUMMYFUNCTION("""COMPUTED_VALUE"""),769)</f>
        <v>769</v>
      </c>
      <c r="R546" s="4" t="str">
        <f ca="1">IFERROR(__xludf.DUMMYFUNCTION("""COMPUTED_VALUE"""),"")</f>
        <v/>
      </c>
      <c r="S546" s="6">
        <f ca="1">IFERROR(__xludf.DUMMYFUNCTION("""COMPUTED_VALUE"""),1865)</f>
        <v>1865</v>
      </c>
      <c r="T546" s="4"/>
      <c r="U546" s="4"/>
      <c r="V546" s="4"/>
      <c r="W546" s="4"/>
      <c r="X546" s="4"/>
      <c r="Y546" s="4"/>
      <c r="Z546" s="4"/>
      <c r="AA546" s="4"/>
      <c r="AB546" s="4"/>
    </row>
    <row r="547" spans="1:28" x14ac:dyDescent="0.2">
      <c r="A547" s="4"/>
      <c r="B547" s="4"/>
      <c r="C547" s="4"/>
      <c r="D547" s="4"/>
      <c r="E547" s="4"/>
      <c r="F547" s="4"/>
      <c r="G547" s="4"/>
      <c r="H547" s="4"/>
      <c r="I547" s="4"/>
      <c r="J547" s="4"/>
      <c r="K547" s="4"/>
      <c r="L547" s="4"/>
      <c r="M547" s="4"/>
      <c r="N547" s="6">
        <f ca="1">IFERROR(__xludf.DUMMYFUNCTION("""COMPUTED_VALUE"""),38)</f>
        <v>38</v>
      </c>
      <c r="O547" s="6">
        <f ca="1">IFERROR(__xludf.DUMMYFUNCTION("""COMPUTED_VALUE"""),39)</f>
        <v>39</v>
      </c>
      <c r="P547" s="4" t="str">
        <f ca="1">IFERROR(__xludf.DUMMYFUNCTION("""COMPUTED_VALUE"""),"")</f>
        <v/>
      </c>
      <c r="Q547" s="6">
        <f ca="1">IFERROR(__xludf.DUMMYFUNCTION("""COMPUTED_VALUE"""),769)</f>
        <v>769</v>
      </c>
      <c r="R547" s="4" t="str">
        <f ca="1">IFERROR(__xludf.DUMMYFUNCTION("""COMPUTED_VALUE"""),"")</f>
        <v/>
      </c>
      <c r="S547" s="6">
        <f ca="1">IFERROR(__xludf.DUMMYFUNCTION("""COMPUTED_VALUE"""),1865)</f>
        <v>1865</v>
      </c>
      <c r="T547" s="4"/>
      <c r="U547" s="4"/>
      <c r="V547" s="4"/>
      <c r="W547" s="4"/>
      <c r="X547" s="4"/>
      <c r="Y547" s="4"/>
      <c r="Z547" s="4"/>
      <c r="AA547" s="4"/>
      <c r="AB547" s="4"/>
    </row>
    <row r="548" spans="1:28" x14ac:dyDescent="0.2">
      <c r="A548" s="4"/>
      <c r="B548" s="4"/>
      <c r="C548" s="4"/>
      <c r="D548" s="4"/>
      <c r="E548" s="4"/>
      <c r="F548" s="4"/>
      <c r="G548" s="4"/>
      <c r="H548" s="4"/>
      <c r="I548" s="4"/>
      <c r="J548" s="4"/>
      <c r="K548" s="4"/>
      <c r="L548" s="4"/>
      <c r="M548" s="4"/>
      <c r="N548" s="6">
        <f ca="1">IFERROR(__xludf.DUMMYFUNCTION("""COMPUTED_VALUE"""),38)</f>
        <v>38</v>
      </c>
      <c r="O548" s="6">
        <f ca="1">IFERROR(__xludf.DUMMYFUNCTION("""COMPUTED_VALUE"""),39)</f>
        <v>39</v>
      </c>
      <c r="P548" s="4" t="str">
        <f ca="1">IFERROR(__xludf.DUMMYFUNCTION("""COMPUTED_VALUE"""),"")</f>
        <v/>
      </c>
      <c r="Q548" s="6">
        <f ca="1">IFERROR(__xludf.DUMMYFUNCTION("""COMPUTED_VALUE"""),769)</f>
        <v>769</v>
      </c>
      <c r="R548" s="4" t="str">
        <f ca="1">IFERROR(__xludf.DUMMYFUNCTION("""COMPUTED_VALUE"""),"")</f>
        <v/>
      </c>
      <c r="S548" s="6">
        <f ca="1">IFERROR(__xludf.DUMMYFUNCTION("""COMPUTED_VALUE"""),1865)</f>
        <v>1865</v>
      </c>
      <c r="T548" s="4"/>
      <c r="U548" s="4"/>
      <c r="V548" s="4"/>
      <c r="W548" s="4"/>
      <c r="X548" s="4"/>
      <c r="Y548" s="4"/>
      <c r="Z548" s="4"/>
      <c r="AA548" s="4"/>
      <c r="AB548" s="4"/>
    </row>
    <row r="549" spans="1:28" x14ac:dyDescent="0.2">
      <c r="A549" s="4"/>
      <c r="B549" s="4"/>
      <c r="C549" s="4"/>
      <c r="D549" s="4"/>
      <c r="E549" s="4"/>
      <c r="F549" s="4"/>
      <c r="G549" s="4"/>
      <c r="H549" s="4"/>
      <c r="I549" s="4"/>
      <c r="J549" s="4"/>
      <c r="K549" s="4"/>
      <c r="L549" s="4"/>
      <c r="M549" s="4"/>
      <c r="N549" s="6">
        <f ca="1">IFERROR(__xludf.DUMMYFUNCTION("""COMPUTED_VALUE"""),38)</f>
        <v>38</v>
      </c>
      <c r="O549" s="6">
        <f ca="1">IFERROR(__xludf.DUMMYFUNCTION("""COMPUTED_VALUE"""),39)</f>
        <v>39</v>
      </c>
      <c r="P549" s="4" t="str">
        <f ca="1">IFERROR(__xludf.DUMMYFUNCTION("""COMPUTED_VALUE"""),"")</f>
        <v/>
      </c>
      <c r="Q549" s="6">
        <f ca="1">IFERROR(__xludf.DUMMYFUNCTION("""COMPUTED_VALUE"""),769)</f>
        <v>769</v>
      </c>
      <c r="R549" s="4" t="str">
        <f ca="1">IFERROR(__xludf.DUMMYFUNCTION("""COMPUTED_VALUE"""),"")</f>
        <v/>
      </c>
      <c r="S549" s="6">
        <f ca="1">IFERROR(__xludf.DUMMYFUNCTION("""COMPUTED_VALUE"""),1865)</f>
        <v>1865</v>
      </c>
      <c r="T549" s="4"/>
      <c r="U549" s="4"/>
      <c r="V549" s="4"/>
      <c r="W549" s="4"/>
      <c r="X549" s="4"/>
      <c r="Y549" s="4"/>
      <c r="Z549" s="4"/>
      <c r="AA549" s="4"/>
      <c r="AB549" s="4"/>
    </row>
    <row r="550" spans="1:28" x14ac:dyDescent="0.2">
      <c r="A550" s="4"/>
      <c r="B550" s="4"/>
      <c r="C550" s="4"/>
      <c r="D550" s="4"/>
      <c r="E550" s="4"/>
      <c r="F550" s="4"/>
      <c r="G550" s="4"/>
      <c r="H550" s="4"/>
      <c r="I550" s="4"/>
      <c r="J550" s="4"/>
      <c r="K550" s="4"/>
      <c r="L550" s="4"/>
      <c r="M550" s="4"/>
      <c r="N550" s="6">
        <f ca="1">IFERROR(__xludf.DUMMYFUNCTION("""COMPUTED_VALUE"""),38)</f>
        <v>38</v>
      </c>
      <c r="O550" s="6">
        <f ca="1">IFERROR(__xludf.DUMMYFUNCTION("""COMPUTED_VALUE"""),39)</f>
        <v>39</v>
      </c>
      <c r="P550" s="4" t="str">
        <f ca="1">IFERROR(__xludf.DUMMYFUNCTION("""COMPUTED_VALUE"""),"")</f>
        <v/>
      </c>
      <c r="Q550" s="6">
        <f ca="1">IFERROR(__xludf.DUMMYFUNCTION("""COMPUTED_VALUE"""),769)</f>
        <v>769</v>
      </c>
      <c r="R550" s="4" t="str">
        <f ca="1">IFERROR(__xludf.DUMMYFUNCTION("""COMPUTED_VALUE"""),"")</f>
        <v/>
      </c>
      <c r="S550" s="6">
        <f ca="1">IFERROR(__xludf.DUMMYFUNCTION("""COMPUTED_VALUE"""),1865)</f>
        <v>1865</v>
      </c>
      <c r="T550" s="4"/>
      <c r="U550" s="4"/>
      <c r="V550" s="4"/>
      <c r="W550" s="4"/>
      <c r="X550" s="4"/>
      <c r="Y550" s="4"/>
      <c r="Z550" s="4"/>
      <c r="AA550" s="4"/>
      <c r="AB550" s="4"/>
    </row>
    <row r="551" spans="1:28" x14ac:dyDescent="0.2">
      <c r="A551" s="4"/>
      <c r="B551" s="4"/>
      <c r="C551" s="4"/>
      <c r="D551" s="4"/>
      <c r="E551" s="4"/>
      <c r="F551" s="4"/>
      <c r="G551" s="4"/>
      <c r="H551" s="4"/>
      <c r="I551" s="4"/>
      <c r="J551" s="4"/>
      <c r="K551" s="4"/>
      <c r="L551" s="4"/>
      <c r="M551" s="4"/>
      <c r="N551" s="6">
        <f ca="1">IFERROR(__xludf.DUMMYFUNCTION("""COMPUTED_VALUE"""),38)</f>
        <v>38</v>
      </c>
      <c r="O551" s="6">
        <f ca="1">IFERROR(__xludf.DUMMYFUNCTION("""COMPUTED_VALUE"""),39)</f>
        <v>39</v>
      </c>
      <c r="P551" s="4" t="str">
        <f ca="1">IFERROR(__xludf.DUMMYFUNCTION("""COMPUTED_VALUE"""),"")</f>
        <v/>
      </c>
      <c r="Q551" s="6">
        <f ca="1">IFERROR(__xludf.DUMMYFUNCTION("""COMPUTED_VALUE"""),769)</f>
        <v>769</v>
      </c>
      <c r="R551" s="4" t="str">
        <f ca="1">IFERROR(__xludf.DUMMYFUNCTION("""COMPUTED_VALUE"""),"")</f>
        <v/>
      </c>
      <c r="S551" s="6">
        <f ca="1">IFERROR(__xludf.DUMMYFUNCTION("""COMPUTED_VALUE"""),1865)</f>
        <v>1865</v>
      </c>
      <c r="T551" s="4"/>
      <c r="U551" s="4"/>
      <c r="V551" s="4"/>
      <c r="W551" s="4"/>
      <c r="X551" s="4"/>
      <c r="Y551" s="4"/>
      <c r="Z551" s="4"/>
      <c r="AA551" s="4"/>
      <c r="AB551" s="4"/>
    </row>
    <row r="552" spans="1:28" x14ac:dyDescent="0.2">
      <c r="A552" s="4"/>
      <c r="B552" s="4"/>
      <c r="C552" s="4"/>
      <c r="D552" s="4"/>
      <c r="E552" s="4"/>
      <c r="F552" s="4"/>
      <c r="G552" s="4"/>
      <c r="H552" s="4"/>
      <c r="I552" s="4"/>
      <c r="J552" s="4"/>
      <c r="K552" s="4"/>
      <c r="L552" s="4"/>
      <c r="M552" s="4"/>
      <c r="N552" s="6">
        <f ca="1">IFERROR(__xludf.DUMMYFUNCTION("""COMPUTED_VALUE"""),38)</f>
        <v>38</v>
      </c>
      <c r="O552" s="6">
        <f ca="1">IFERROR(__xludf.DUMMYFUNCTION("""COMPUTED_VALUE"""),39)</f>
        <v>39</v>
      </c>
      <c r="P552" s="4" t="str">
        <f ca="1">IFERROR(__xludf.DUMMYFUNCTION("""COMPUTED_VALUE"""),"")</f>
        <v/>
      </c>
      <c r="Q552" s="6">
        <f ca="1">IFERROR(__xludf.DUMMYFUNCTION("""COMPUTED_VALUE"""),769)</f>
        <v>769</v>
      </c>
      <c r="R552" s="4" t="str">
        <f ca="1">IFERROR(__xludf.DUMMYFUNCTION("""COMPUTED_VALUE"""),"")</f>
        <v/>
      </c>
      <c r="S552" s="6">
        <f ca="1">IFERROR(__xludf.DUMMYFUNCTION("""COMPUTED_VALUE"""),1865)</f>
        <v>1865</v>
      </c>
      <c r="T552" s="4"/>
      <c r="U552" s="4"/>
      <c r="V552" s="4"/>
      <c r="W552" s="4"/>
      <c r="X552" s="4"/>
      <c r="Y552" s="4"/>
      <c r="Z552" s="4"/>
      <c r="AA552" s="4"/>
      <c r="AB552" s="4"/>
    </row>
    <row r="553" spans="1:28" x14ac:dyDescent="0.2">
      <c r="A553" s="4"/>
      <c r="B553" s="4"/>
      <c r="C553" s="4"/>
      <c r="D553" s="4"/>
      <c r="E553" s="4"/>
      <c r="F553" s="4"/>
      <c r="G553" s="4"/>
      <c r="H553" s="4"/>
      <c r="I553" s="4"/>
      <c r="J553" s="4"/>
      <c r="K553" s="4"/>
      <c r="L553" s="4"/>
      <c r="M553" s="4"/>
      <c r="N553" s="6">
        <f ca="1">IFERROR(__xludf.DUMMYFUNCTION("""COMPUTED_VALUE"""),38)</f>
        <v>38</v>
      </c>
      <c r="O553" s="6">
        <f ca="1">IFERROR(__xludf.DUMMYFUNCTION("""COMPUTED_VALUE"""),39)</f>
        <v>39</v>
      </c>
      <c r="P553" s="4" t="str">
        <f ca="1">IFERROR(__xludf.DUMMYFUNCTION("""COMPUTED_VALUE"""),"")</f>
        <v/>
      </c>
      <c r="Q553" s="6">
        <f ca="1">IFERROR(__xludf.DUMMYFUNCTION("""COMPUTED_VALUE"""),769)</f>
        <v>769</v>
      </c>
      <c r="R553" s="4" t="str">
        <f ca="1">IFERROR(__xludf.DUMMYFUNCTION("""COMPUTED_VALUE"""),"")</f>
        <v/>
      </c>
      <c r="S553" s="6">
        <f ca="1">IFERROR(__xludf.DUMMYFUNCTION("""COMPUTED_VALUE"""),1865)</f>
        <v>1865</v>
      </c>
      <c r="T553" s="4"/>
      <c r="U553" s="4"/>
      <c r="V553" s="4"/>
      <c r="W553" s="4"/>
      <c r="X553" s="4"/>
      <c r="Y553" s="4"/>
      <c r="Z553" s="4"/>
      <c r="AA553" s="4"/>
      <c r="AB553" s="4"/>
    </row>
    <row r="554" spans="1:28" x14ac:dyDescent="0.2">
      <c r="A554" s="4"/>
      <c r="B554" s="4"/>
      <c r="C554" s="4"/>
      <c r="D554" s="4"/>
      <c r="E554" s="4"/>
      <c r="F554" s="4"/>
      <c r="G554" s="4"/>
      <c r="H554" s="4"/>
      <c r="I554" s="4"/>
      <c r="J554" s="4"/>
      <c r="K554" s="4"/>
      <c r="L554" s="4"/>
      <c r="M554" s="4"/>
      <c r="N554" s="6">
        <f ca="1">IFERROR(__xludf.DUMMYFUNCTION("""COMPUTED_VALUE"""),38)</f>
        <v>38</v>
      </c>
      <c r="O554" s="6">
        <f ca="1">IFERROR(__xludf.DUMMYFUNCTION("""COMPUTED_VALUE"""),39)</f>
        <v>39</v>
      </c>
      <c r="P554" s="4" t="str">
        <f ca="1">IFERROR(__xludf.DUMMYFUNCTION("""COMPUTED_VALUE"""),"")</f>
        <v/>
      </c>
      <c r="Q554" s="6">
        <f ca="1">IFERROR(__xludf.DUMMYFUNCTION("""COMPUTED_VALUE"""),769)</f>
        <v>769</v>
      </c>
      <c r="R554" s="4" t="str">
        <f ca="1">IFERROR(__xludf.DUMMYFUNCTION("""COMPUTED_VALUE"""),"")</f>
        <v/>
      </c>
      <c r="S554" s="6">
        <f ca="1">IFERROR(__xludf.DUMMYFUNCTION("""COMPUTED_VALUE"""),1865)</f>
        <v>1865</v>
      </c>
      <c r="T554" s="4"/>
      <c r="U554" s="4"/>
      <c r="V554" s="4"/>
      <c r="W554" s="4"/>
      <c r="X554" s="4"/>
      <c r="Y554" s="4"/>
      <c r="Z554" s="4"/>
      <c r="AA554" s="4"/>
      <c r="AB554" s="4"/>
    </row>
    <row r="555" spans="1:28" x14ac:dyDescent="0.2">
      <c r="A555" s="4"/>
      <c r="B555" s="4"/>
      <c r="C555" s="4"/>
      <c r="D555" s="4"/>
      <c r="E555" s="4"/>
      <c r="F555" s="4"/>
      <c r="G555" s="4"/>
      <c r="H555" s="4"/>
      <c r="I555" s="4"/>
      <c r="J555" s="4"/>
      <c r="K555" s="4"/>
      <c r="L555" s="4"/>
      <c r="M555" s="4"/>
      <c r="N555" s="6">
        <f ca="1">IFERROR(__xludf.DUMMYFUNCTION("""COMPUTED_VALUE"""),38)</f>
        <v>38</v>
      </c>
      <c r="O555" s="6">
        <f ca="1">IFERROR(__xludf.DUMMYFUNCTION("""COMPUTED_VALUE"""),39)</f>
        <v>39</v>
      </c>
      <c r="P555" s="4" t="str">
        <f ca="1">IFERROR(__xludf.DUMMYFUNCTION("""COMPUTED_VALUE"""),"")</f>
        <v/>
      </c>
      <c r="Q555" s="6">
        <f ca="1">IFERROR(__xludf.DUMMYFUNCTION("""COMPUTED_VALUE"""),769)</f>
        <v>769</v>
      </c>
      <c r="R555" s="4" t="str">
        <f ca="1">IFERROR(__xludf.DUMMYFUNCTION("""COMPUTED_VALUE"""),"")</f>
        <v/>
      </c>
      <c r="S555" s="6">
        <f ca="1">IFERROR(__xludf.DUMMYFUNCTION("""COMPUTED_VALUE"""),1865)</f>
        <v>1865</v>
      </c>
      <c r="T555" s="4"/>
      <c r="U555" s="4"/>
      <c r="V555" s="4"/>
      <c r="W555" s="4"/>
      <c r="X555" s="4"/>
      <c r="Y555" s="4"/>
      <c r="Z555" s="4"/>
      <c r="AA555" s="4"/>
      <c r="AB555" s="4"/>
    </row>
    <row r="556" spans="1:28" x14ac:dyDescent="0.2">
      <c r="A556" s="4"/>
      <c r="B556" s="4"/>
      <c r="C556" s="4"/>
      <c r="D556" s="4"/>
      <c r="E556" s="4"/>
      <c r="F556" s="4"/>
      <c r="G556" s="4"/>
      <c r="H556" s="4"/>
      <c r="I556" s="4"/>
      <c r="J556" s="4"/>
      <c r="K556" s="4"/>
      <c r="L556" s="4"/>
      <c r="M556" s="4"/>
      <c r="N556" s="6">
        <f ca="1">IFERROR(__xludf.DUMMYFUNCTION("""COMPUTED_VALUE"""),38)</f>
        <v>38</v>
      </c>
      <c r="O556" s="6">
        <f ca="1">IFERROR(__xludf.DUMMYFUNCTION("""COMPUTED_VALUE"""),39)</f>
        <v>39</v>
      </c>
      <c r="P556" s="4" t="str">
        <f ca="1">IFERROR(__xludf.DUMMYFUNCTION("""COMPUTED_VALUE"""),"")</f>
        <v/>
      </c>
      <c r="Q556" s="6">
        <f ca="1">IFERROR(__xludf.DUMMYFUNCTION("""COMPUTED_VALUE"""),769)</f>
        <v>769</v>
      </c>
      <c r="R556" s="4" t="str">
        <f ca="1">IFERROR(__xludf.DUMMYFUNCTION("""COMPUTED_VALUE"""),"")</f>
        <v/>
      </c>
      <c r="S556" s="6">
        <f ca="1">IFERROR(__xludf.DUMMYFUNCTION("""COMPUTED_VALUE"""),1865)</f>
        <v>1865</v>
      </c>
      <c r="T556" s="4"/>
      <c r="U556" s="4"/>
      <c r="V556" s="4"/>
      <c r="W556" s="4"/>
      <c r="X556" s="4"/>
      <c r="Y556" s="4"/>
      <c r="Z556" s="4"/>
      <c r="AA556" s="4"/>
      <c r="AB556" s="4"/>
    </row>
    <row r="557" spans="1:28" x14ac:dyDescent="0.2">
      <c r="A557" s="4"/>
      <c r="B557" s="4"/>
      <c r="C557" s="4"/>
      <c r="D557" s="4"/>
      <c r="E557" s="4"/>
      <c r="F557" s="4"/>
      <c r="G557" s="4"/>
      <c r="H557" s="4"/>
      <c r="I557" s="4"/>
      <c r="J557" s="4"/>
      <c r="K557" s="4"/>
      <c r="L557" s="4"/>
      <c r="M557" s="4"/>
      <c r="N557" s="6">
        <f ca="1">IFERROR(__xludf.DUMMYFUNCTION("""COMPUTED_VALUE"""),38)</f>
        <v>38</v>
      </c>
      <c r="O557" s="6">
        <f ca="1">IFERROR(__xludf.DUMMYFUNCTION("""COMPUTED_VALUE"""),39)</f>
        <v>39</v>
      </c>
      <c r="P557" s="4" t="str">
        <f ca="1">IFERROR(__xludf.DUMMYFUNCTION("""COMPUTED_VALUE"""),"")</f>
        <v/>
      </c>
      <c r="Q557" s="6">
        <f ca="1">IFERROR(__xludf.DUMMYFUNCTION("""COMPUTED_VALUE"""),769)</f>
        <v>769</v>
      </c>
      <c r="R557" s="4" t="str">
        <f ca="1">IFERROR(__xludf.DUMMYFUNCTION("""COMPUTED_VALUE"""),"")</f>
        <v/>
      </c>
      <c r="S557" s="6">
        <f ca="1">IFERROR(__xludf.DUMMYFUNCTION("""COMPUTED_VALUE"""),1865)</f>
        <v>1865</v>
      </c>
      <c r="T557" s="4"/>
      <c r="U557" s="4"/>
      <c r="V557" s="4"/>
      <c r="W557" s="4"/>
      <c r="X557" s="4"/>
      <c r="Y557" s="4"/>
      <c r="Z557" s="4"/>
      <c r="AA557" s="4"/>
      <c r="AB557" s="4"/>
    </row>
    <row r="558" spans="1:28" x14ac:dyDescent="0.2">
      <c r="A558" s="4"/>
      <c r="B558" s="4"/>
      <c r="C558" s="4"/>
      <c r="D558" s="4"/>
      <c r="E558" s="4"/>
      <c r="F558" s="4"/>
      <c r="G558" s="4"/>
      <c r="H558" s="4"/>
      <c r="I558" s="4"/>
      <c r="J558" s="4"/>
      <c r="K558" s="4"/>
      <c r="L558" s="4"/>
      <c r="M558" s="4"/>
      <c r="N558" s="6">
        <f ca="1">IFERROR(__xludf.DUMMYFUNCTION("""COMPUTED_VALUE"""),38)</f>
        <v>38</v>
      </c>
      <c r="O558" s="6">
        <f ca="1">IFERROR(__xludf.DUMMYFUNCTION("""COMPUTED_VALUE"""),39)</f>
        <v>39</v>
      </c>
      <c r="P558" s="4" t="str">
        <f ca="1">IFERROR(__xludf.DUMMYFUNCTION("""COMPUTED_VALUE"""),"")</f>
        <v/>
      </c>
      <c r="Q558" s="6">
        <f ca="1">IFERROR(__xludf.DUMMYFUNCTION("""COMPUTED_VALUE"""),769)</f>
        <v>769</v>
      </c>
      <c r="R558" s="4" t="str">
        <f ca="1">IFERROR(__xludf.DUMMYFUNCTION("""COMPUTED_VALUE"""),"")</f>
        <v/>
      </c>
      <c r="S558" s="6">
        <f ca="1">IFERROR(__xludf.DUMMYFUNCTION("""COMPUTED_VALUE"""),1865)</f>
        <v>1865</v>
      </c>
      <c r="T558" s="4"/>
      <c r="U558" s="4"/>
      <c r="V558" s="4"/>
      <c r="W558" s="4"/>
      <c r="X558" s="4"/>
      <c r="Y558" s="4"/>
      <c r="Z558" s="4"/>
      <c r="AA558" s="4"/>
      <c r="AB558" s="4"/>
    </row>
    <row r="559" spans="1:28" x14ac:dyDescent="0.2">
      <c r="A559" s="4"/>
      <c r="B559" s="4"/>
      <c r="C559" s="4"/>
      <c r="D559" s="4"/>
      <c r="E559" s="4"/>
      <c r="F559" s="4"/>
      <c r="G559" s="4"/>
      <c r="H559" s="4"/>
      <c r="I559" s="4"/>
      <c r="J559" s="4"/>
      <c r="K559" s="4"/>
      <c r="L559" s="4"/>
      <c r="M559" s="4"/>
      <c r="N559" s="6">
        <f ca="1">IFERROR(__xludf.DUMMYFUNCTION("""COMPUTED_VALUE"""),38)</f>
        <v>38</v>
      </c>
      <c r="O559" s="6">
        <f ca="1">IFERROR(__xludf.DUMMYFUNCTION("""COMPUTED_VALUE"""),39)</f>
        <v>39</v>
      </c>
      <c r="P559" s="4" t="str">
        <f ca="1">IFERROR(__xludf.DUMMYFUNCTION("""COMPUTED_VALUE"""),"")</f>
        <v/>
      </c>
      <c r="Q559" s="6">
        <f ca="1">IFERROR(__xludf.DUMMYFUNCTION("""COMPUTED_VALUE"""),769)</f>
        <v>769</v>
      </c>
      <c r="R559" s="4" t="str">
        <f ca="1">IFERROR(__xludf.DUMMYFUNCTION("""COMPUTED_VALUE"""),"")</f>
        <v/>
      </c>
      <c r="S559" s="6">
        <f ca="1">IFERROR(__xludf.DUMMYFUNCTION("""COMPUTED_VALUE"""),1865)</f>
        <v>1865</v>
      </c>
      <c r="T559" s="4"/>
      <c r="U559" s="4"/>
      <c r="V559" s="4"/>
      <c r="W559" s="4"/>
      <c r="X559" s="4"/>
      <c r="Y559" s="4"/>
      <c r="Z559" s="4"/>
      <c r="AA559" s="4"/>
      <c r="AB559" s="4"/>
    </row>
    <row r="560" spans="1:28" x14ac:dyDescent="0.2">
      <c r="A560" s="4"/>
      <c r="B560" s="4"/>
      <c r="C560" s="4"/>
      <c r="D560" s="4"/>
      <c r="E560" s="4"/>
      <c r="F560" s="4"/>
      <c r="G560" s="4"/>
      <c r="H560" s="4"/>
      <c r="I560" s="4"/>
      <c r="J560" s="4"/>
      <c r="K560" s="4"/>
      <c r="L560" s="4"/>
      <c r="M560" s="4"/>
      <c r="N560" s="6">
        <f ca="1">IFERROR(__xludf.DUMMYFUNCTION("""COMPUTED_VALUE"""),38)</f>
        <v>38</v>
      </c>
      <c r="O560" s="6">
        <f ca="1">IFERROR(__xludf.DUMMYFUNCTION("""COMPUTED_VALUE"""),39)</f>
        <v>39</v>
      </c>
      <c r="P560" s="4" t="str">
        <f ca="1">IFERROR(__xludf.DUMMYFUNCTION("""COMPUTED_VALUE"""),"")</f>
        <v/>
      </c>
      <c r="Q560" s="6">
        <f ca="1">IFERROR(__xludf.DUMMYFUNCTION("""COMPUTED_VALUE"""),769)</f>
        <v>769</v>
      </c>
      <c r="R560" s="4" t="str">
        <f ca="1">IFERROR(__xludf.DUMMYFUNCTION("""COMPUTED_VALUE"""),"")</f>
        <v/>
      </c>
      <c r="S560" s="6">
        <f ca="1">IFERROR(__xludf.DUMMYFUNCTION("""COMPUTED_VALUE"""),1865)</f>
        <v>1865</v>
      </c>
      <c r="T560" s="4"/>
      <c r="U560" s="4"/>
      <c r="V560" s="4"/>
      <c r="W560" s="4"/>
      <c r="X560" s="4"/>
      <c r="Y560" s="4"/>
      <c r="Z560" s="4"/>
      <c r="AA560" s="4"/>
      <c r="AB560" s="4"/>
    </row>
    <row r="561" spans="1:28" x14ac:dyDescent="0.2">
      <c r="A561" s="4"/>
      <c r="B561" s="4"/>
      <c r="C561" s="4"/>
      <c r="D561" s="4"/>
      <c r="E561" s="4"/>
      <c r="F561" s="4"/>
      <c r="G561" s="4"/>
      <c r="H561" s="4"/>
      <c r="I561" s="4"/>
      <c r="J561" s="4"/>
      <c r="K561" s="4"/>
      <c r="L561" s="4"/>
      <c r="M561" s="4"/>
      <c r="N561" s="6">
        <f ca="1">IFERROR(__xludf.DUMMYFUNCTION("""COMPUTED_VALUE"""),38)</f>
        <v>38</v>
      </c>
      <c r="O561" s="6">
        <f ca="1">IFERROR(__xludf.DUMMYFUNCTION("""COMPUTED_VALUE"""),39)</f>
        <v>39</v>
      </c>
      <c r="P561" s="4" t="str">
        <f ca="1">IFERROR(__xludf.DUMMYFUNCTION("""COMPUTED_VALUE"""),"")</f>
        <v/>
      </c>
      <c r="Q561" s="6">
        <f ca="1">IFERROR(__xludf.DUMMYFUNCTION("""COMPUTED_VALUE"""),769)</f>
        <v>769</v>
      </c>
      <c r="R561" s="4" t="str">
        <f ca="1">IFERROR(__xludf.DUMMYFUNCTION("""COMPUTED_VALUE"""),"")</f>
        <v/>
      </c>
      <c r="S561" s="6">
        <f ca="1">IFERROR(__xludf.DUMMYFUNCTION("""COMPUTED_VALUE"""),1865)</f>
        <v>1865</v>
      </c>
      <c r="T561" s="4"/>
      <c r="U561" s="4"/>
      <c r="V561" s="4"/>
      <c r="W561" s="4"/>
      <c r="X561" s="4"/>
      <c r="Y561" s="4"/>
      <c r="Z561" s="4"/>
      <c r="AA561" s="4"/>
      <c r="AB561" s="4"/>
    </row>
    <row r="562" spans="1:28" x14ac:dyDescent="0.2">
      <c r="A562" s="4"/>
      <c r="B562" s="4"/>
      <c r="C562" s="4"/>
      <c r="D562" s="4"/>
      <c r="E562" s="4"/>
      <c r="F562" s="4"/>
      <c r="G562" s="4"/>
      <c r="H562" s="4"/>
      <c r="I562" s="4"/>
      <c r="J562" s="4"/>
      <c r="K562" s="4"/>
      <c r="L562" s="4"/>
      <c r="M562" s="4"/>
      <c r="N562" s="6">
        <f ca="1">IFERROR(__xludf.DUMMYFUNCTION("""COMPUTED_VALUE"""),38)</f>
        <v>38</v>
      </c>
      <c r="O562" s="6">
        <f ca="1">IFERROR(__xludf.DUMMYFUNCTION("""COMPUTED_VALUE"""),39)</f>
        <v>39</v>
      </c>
      <c r="P562" s="4" t="str">
        <f ca="1">IFERROR(__xludf.DUMMYFUNCTION("""COMPUTED_VALUE"""),"")</f>
        <v/>
      </c>
      <c r="Q562" s="6">
        <f ca="1">IFERROR(__xludf.DUMMYFUNCTION("""COMPUTED_VALUE"""),769)</f>
        <v>769</v>
      </c>
      <c r="R562" s="4" t="str">
        <f ca="1">IFERROR(__xludf.DUMMYFUNCTION("""COMPUTED_VALUE"""),"")</f>
        <v/>
      </c>
      <c r="S562" s="6">
        <f ca="1">IFERROR(__xludf.DUMMYFUNCTION("""COMPUTED_VALUE"""),1865)</f>
        <v>1865</v>
      </c>
      <c r="T562" s="4"/>
      <c r="U562" s="4"/>
      <c r="V562" s="4"/>
      <c r="W562" s="4"/>
      <c r="X562" s="4"/>
      <c r="Y562" s="4"/>
      <c r="Z562" s="4"/>
      <c r="AA562" s="4"/>
      <c r="AB562" s="4"/>
    </row>
    <row r="563" spans="1:28" x14ac:dyDescent="0.2">
      <c r="A563" s="4"/>
      <c r="B563" s="4"/>
      <c r="C563" s="4"/>
      <c r="D563" s="4"/>
      <c r="E563" s="4"/>
      <c r="F563" s="4"/>
      <c r="G563" s="4"/>
      <c r="H563" s="4"/>
      <c r="I563" s="4"/>
      <c r="J563" s="4"/>
      <c r="K563" s="4"/>
      <c r="L563" s="4"/>
      <c r="M563" s="4"/>
      <c r="N563" s="6">
        <f ca="1">IFERROR(__xludf.DUMMYFUNCTION("""COMPUTED_VALUE"""),38)</f>
        <v>38</v>
      </c>
      <c r="O563" s="6">
        <f ca="1">IFERROR(__xludf.DUMMYFUNCTION("""COMPUTED_VALUE"""),39)</f>
        <v>39</v>
      </c>
      <c r="P563" s="4" t="str">
        <f ca="1">IFERROR(__xludf.DUMMYFUNCTION("""COMPUTED_VALUE"""),"")</f>
        <v/>
      </c>
      <c r="Q563" s="6">
        <f ca="1">IFERROR(__xludf.DUMMYFUNCTION("""COMPUTED_VALUE"""),769)</f>
        <v>769</v>
      </c>
      <c r="R563" s="4" t="str">
        <f ca="1">IFERROR(__xludf.DUMMYFUNCTION("""COMPUTED_VALUE"""),"")</f>
        <v/>
      </c>
      <c r="S563" s="6">
        <f ca="1">IFERROR(__xludf.DUMMYFUNCTION("""COMPUTED_VALUE"""),1865)</f>
        <v>1865</v>
      </c>
      <c r="T563" s="4"/>
      <c r="U563" s="4"/>
      <c r="V563" s="4"/>
      <c r="W563" s="4"/>
      <c r="X563" s="4"/>
      <c r="Y563" s="4"/>
      <c r="Z563" s="4"/>
      <c r="AA563" s="4"/>
      <c r="AB563" s="4"/>
    </row>
    <row r="564" spans="1:28" x14ac:dyDescent="0.2">
      <c r="A564" s="4"/>
      <c r="B564" s="4"/>
      <c r="C564" s="4"/>
      <c r="D564" s="4"/>
      <c r="E564" s="4"/>
      <c r="F564" s="4"/>
      <c r="G564" s="4"/>
      <c r="H564" s="4"/>
      <c r="I564" s="4"/>
      <c r="J564" s="4"/>
      <c r="K564" s="4"/>
      <c r="L564" s="4"/>
      <c r="M564" s="4"/>
      <c r="N564" s="6">
        <f ca="1">IFERROR(__xludf.DUMMYFUNCTION("""COMPUTED_VALUE"""),38)</f>
        <v>38</v>
      </c>
      <c r="O564" s="6">
        <f ca="1">IFERROR(__xludf.DUMMYFUNCTION("""COMPUTED_VALUE"""),39)</f>
        <v>39</v>
      </c>
      <c r="P564" s="4" t="str">
        <f ca="1">IFERROR(__xludf.DUMMYFUNCTION("""COMPUTED_VALUE"""),"")</f>
        <v/>
      </c>
      <c r="Q564" s="6">
        <f ca="1">IFERROR(__xludf.DUMMYFUNCTION("""COMPUTED_VALUE"""),769)</f>
        <v>769</v>
      </c>
      <c r="R564" s="4" t="str">
        <f ca="1">IFERROR(__xludf.DUMMYFUNCTION("""COMPUTED_VALUE"""),"")</f>
        <v/>
      </c>
      <c r="S564" s="6">
        <f ca="1">IFERROR(__xludf.DUMMYFUNCTION("""COMPUTED_VALUE"""),1865)</f>
        <v>1865</v>
      </c>
      <c r="T564" s="4"/>
      <c r="U564" s="4"/>
      <c r="V564" s="4"/>
      <c r="W564" s="4"/>
      <c r="X564" s="4"/>
      <c r="Y564" s="4"/>
      <c r="Z564" s="4"/>
      <c r="AA564" s="4"/>
      <c r="AB564" s="4"/>
    </row>
    <row r="565" spans="1:28" x14ac:dyDescent="0.2">
      <c r="A565" s="4"/>
      <c r="B565" s="4"/>
      <c r="C565" s="4"/>
      <c r="D565" s="4"/>
      <c r="E565" s="4"/>
      <c r="F565" s="4"/>
      <c r="G565" s="4"/>
      <c r="H565" s="4"/>
      <c r="I565" s="4"/>
      <c r="J565" s="4"/>
      <c r="K565" s="4"/>
      <c r="L565" s="4"/>
      <c r="M565" s="4"/>
      <c r="N565" s="6">
        <f ca="1">IFERROR(__xludf.DUMMYFUNCTION("""COMPUTED_VALUE"""),38)</f>
        <v>38</v>
      </c>
      <c r="O565" s="6">
        <f ca="1">IFERROR(__xludf.DUMMYFUNCTION("""COMPUTED_VALUE"""),39)</f>
        <v>39</v>
      </c>
      <c r="P565" s="4" t="str">
        <f ca="1">IFERROR(__xludf.DUMMYFUNCTION("""COMPUTED_VALUE"""),"")</f>
        <v/>
      </c>
      <c r="Q565" s="6">
        <f ca="1">IFERROR(__xludf.DUMMYFUNCTION("""COMPUTED_VALUE"""),769)</f>
        <v>769</v>
      </c>
      <c r="R565" s="4" t="str">
        <f ca="1">IFERROR(__xludf.DUMMYFUNCTION("""COMPUTED_VALUE"""),"")</f>
        <v/>
      </c>
      <c r="S565" s="6">
        <f ca="1">IFERROR(__xludf.DUMMYFUNCTION("""COMPUTED_VALUE"""),1865)</f>
        <v>1865</v>
      </c>
      <c r="T565" s="4"/>
      <c r="U565" s="4"/>
      <c r="V565" s="4"/>
      <c r="W565" s="4"/>
      <c r="X565" s="4"/>
      <c r="Y565" s="4"/>
      <c r="Z565" s="4"/>
      <c r="AA565" s="4"/>
      <c r="AB565" s="4"/>
    </row>
    <row r="566" spans="1:28" x14ac:dyDescent="0.2">
      <c r="A566" s="4"/>
      <c r="B566" s="4"/>
      <c r="C566" s="4"/>
      <c r="D566" s="4"/>
      <c r="E566" s="4"/>
      <c r="F566" s="4"/>
      <c r="G566" s="4"/>
      <c r="H566" s="4"/>
      <c r="I566" s="4"/>
      <c r="J566" s="4"/>
      <c r="K566" s="4"/>
      <c r="L566" s="4"/>
      <c r="M566" s="4"/>
      <c r="N566" s="6">
        <f ca="1">IFERROR(__xludf.DUMMYFUNCTION("""COMPUTED_VALUE"""),38)</f>
        <v>38</v>
      </c>
      <c r="O566" s="6">
        <f ca="1">IFERROR(__xludf.DUMMYFUNCTION("""COMPUTED_VALUE"""),39)</f>
        <v>39</v>
      </c>
      <c r="P566" s="4" t="str">
        <f ca="1">IFERROR(__xludf.DUMMYFUNCTION("""COMPUTED_VALUE"""),"")</f>
        <v/>
      </c>
      <c r="Q566" s="6">
        <f ca="1">IFERROR(__xludf.DUMMYFUNCTION("""COMPUTED_VALUE"""),769)</f>
        <v>769</v>
      </c>
      <c r="R566" s="4" t="str">
        <f ca="1">IFERROR(__xludf.DUMMYFUNCTION("""COMPUTED_VALUE"""),"")</f>
        <v/>
      </c>
      <c r="S566" s="6">
        <f ca="1">IFERROR(__xludf.DUMMYFUNCTION("""COMPUTED_VALUE"""),1865)</f>
        <v>1865</v>
      </c>
      <c r="T566" s="4"/>
      <c r="U566" s="4"/>
      <c r="V566" s="4"/>
      <c r="W566" s="4"/>
      <c r="X566" s="4"/>
      <c r="Y566" s="4"/>
      <c r="Z566" s="4"/>
      <c r="AA566" s="4"/>
      <c r="AB566" s="4"/>
    </row>
    <row r="567" spans="1:28" x14ac:dyDescent="0.2">
      <c r="A567" s="4"/>
      <c r="B567" s="4"/>
      <c r="C567" s="4"/>
      <c r="D567" s="4"/>
      <c r="E567" s="4"/>
      <c r="F567" s="4"/>
      <c r="G567" s="4"/>
      <c r="H567" s="4"/>
      <c r="I567" s="4"/>
      <c r="J567" s="4"/>
      <c r="K567" s="4"/>
      <c r="L567" s="4"/>
      <c r="M567" s="4"/>
      <c r="N567" s="6">
        <f ca="1">IFERROR(__xludf.DUMMYFUNCTION("""COMPUTED_VALUE"""),38)</f>
        <v>38</v>
      </c>
      <c r="O567" s="6">
        <f ca="1">IFERROR(__xludf.DUMMYFUNCTION("""COMPUTED_VALUE"""),39)</f>
        <v>39</v>
      </c>
      <c r="P567" s="4" t="str">
        <f ca="1">IFERROR(__xludf.DUMMYFUNCTION("""COMPUTED_VALUE"""),"")</f>
        <v/>
      </c>
      <c r="Q567" s="6">
        <f ca="1">IFERROR(__xludf.DUMMYFUNCTION("""COMPUTED_VALUE"""),769)</f>
        <v>769</v>
      </c>
      <c r="R567" s="4" t="str">
        <f ca="1">IFERROR(__xludf.DUMMYFUNCTION("""COMPUTED_VALUE"""),"")</f>
        <v/>
      </c>
      <c r="S567" s="6">
        <f ca="1">IFERROR(__xludf.DUMMYFUNCTION("""COMPUTED_VALUE"""),1865)</f>
        <v>1865</v>
      </c>
      <c r="T567" s="4"/>
      <c r="U567" s="4"/>
      <c r="V567" s="4"/>
      <c r="W567" s="4"/>
      <c r="X567" s="4"/>
      <c r="Y567" s="4"/>
      <c r="Z567" s="4"/>
      <c r="AA567" s="4"/>
      <c r="AB567" s="4"/>
    </row>
    <row r="568" spans="1:28" x14ac:dyDescent="0.2">
      <c r="A568" s="4"/>
      <c r="B568" s="4"/>
      <c r="C568" s="4"/>
      <c r="D568" s="4"/>
      <c r="E568" s="4"/>
      <c r="F568" s="4"/>
      <c r="G568" s="4"/>
      <c r="H568" s="4"/>
      <c r="I568" s="4"/>
      <c r="J568" s="4"/>
      <c r="K568" s="4"/>
      <c r="L568" s="4"/>
      <c r="M568" s="4"/>
      <c r="N568" s="6">
        <f ca="1">IFERROR(__xludf.DUMMYFUNCTION("""COMPUTED_VALUE"""),38)</f>
        <v>38</v>
      </c>
      <c r="O568" s="6">
        <f ca="1">IFERROR(__xludf.DUMMYFUNCTION("""COMPUTED_VALUE"""),39)</f>
        <v>39</v>
      </c>
      <c r="P568" s="4" t="str">
        <f ca="1">IFERROR(__xludf.DUMMYFUNCTION("""COMPUTED_VALUE"""),"")</f>
        <v/>
      </c>
      <c r="Q568" s="6">
        <f ca="1">IFERROR(__xludf.DUMMYFUNCTION("""COMPUTED_VALUE"""),769)</f>
        <v>769</v>
      </c>
      <c r="R568" s="4" t="str">
        <f ca="1">IFERROR(__xludf.DUMMYFUNCTION("""COMPUTED_VALUE"""),"")</f>
        <v/>
      </c>
      <c r="S568" s="6">
        <f ca="1">IFERROR(__xludf.DUMMYFUNCTION("""COMPUTED_VALUE"""),1865)</f>
        <v>1865</v>
      </c>
      <c r="T568" s="4"/>
      <c r="U568" s="4"/>
      <c r="V568" s="4"/>
      <c r="W568" s="4"/>
      <c r="X568" s="4"/>
      <c r="Y568" s="4"/>
      <c r="Z568" s="4"/>
      <c r="AA568" s="4"/>
      <c r="AB568" s="4"/>
    </row>
    <row r="569" spans="1:28" x14ac:dyDescent="0.2">
      <c r="A569" s="4"/>
      <c r="B569" s="4"/>
      <c r="C569" s="4"/>
      <c r="D569" s="4"/>
      <c r="E569" s="4"/>
      <c r="F569" s="4"/>
      <c r="G569" s="4"/>
      <c r="H569" s="4"/>
      <c r="I569" s="4"/>
      <c r="J569" s="4"/>
      <c r="K569" s="4"/>
      <c r="L569" s="4"/>
      <c r="M569" s="4"/>
      <c r="N569" s="6">
        <f ca="1">IFERROR(__xludf.DUMMYFUNCTION("""COMPUTED_VALUE"""),38)</f>
        <v>38</v>
      </c>
      <c r="O569" s="6">
        <f ca="1">IFERROR(__xludf.DUMMYFUNCTION("""COMPUTED_VALUE"""),39)</f>
        <v>39</v>
      </c>
      <c r="P569" s="4" t="str">
        <f ca="1">IFERROR(__xludf.DUMMYFUNCTION("""COMPUTED_VALUE"""),"")</f>
        <v/>
      </c>
      <c r="Q569" s="6">
        <f ca="1">IFERROR(__xludf.DUMMYFUNCTION("""COMPUTED_VALUE"""),769)</f>
        <v>769</v>
      </c>
      <c r="R569" s="4" t="str">
        <f ca="1">IFERROR(__xludf.DUMMYFUNCTION("""COMPUTED_VALUE"""),"")</f>
        <v/>
      </c>
      <c r="S569" s="6">
        <f ca="1">IFERROR(__xludf.DUMMYFUNCTION("""COMPUTED_VALUE"""),1865)</f>
        <v>1865</v>
      </c>
      <c r="T569" s="4"/>
      <c r="U569" s="4"/>
      <c r="V569" s="4"/>
      <c r="W569" s="4"/>
      <c r="X569" s="4"/>
      <c r="Y569" s="4"/>
      <c r="Z569" s="4"/>
      <c r="AA569" s="4"/>
      <c r="AB569" s="4"/>
    </row>
    <row r="570" spans="1:28" x14ac:dyDescent="0.2">
      <c r="A570" s="4"/>
      <c r="B570" s="4"/>
      <c r="C570" s="4"/>
      <c r="D570" s="4"/>
      <c r="E570" s="4"/>
      <c r="F570" s="4"/>
      <c r="G570" s="4"/>
      <c r="H570" s="4"/>
      <c r="I570" s="4"/>
      <c r="J570" s="4"/>
      <c r="K570" s="4"/>
      <c r="L570" s="4"/>
      <c r="M570" s="4"/>
      <c r="N570" s="6">
        <f ca="1">IFERROR(__xludf.DUMMYFUNCTION("""COMPUTED_VALUE"""),38)</f>
        <v>38</v>
      </c>
      <c r="O570" s="6">
        <f ca="1">IFERROR(__xludf.DUMMYFUNCTION("""COMPUTED_VALUE"""),39)</f>
        <v>39</v>
      </c>
      <c r="P570" s="4" t="str">
        <f ca="1">IFERROR(__xludf.DUMMYFUNCTION("""COMPUTED_VALUE"""),"")</f>
        <v/>
      </c>
      <c r="Q570" s="6">
        <f ca="1">IFERROR(__xludf.DUMMYFUNCTION("""COMPUTED_VALUE"""),769)</f>
        <v>769</v>
      </c>
      <c r="R570" s="4" t="str">
        <f ca="1">IFERROR(__xludf.DUMMYFUNCTION("""COMPUTED_VALUE"""),"")</f>
        <v/>
      </c>
      <c r="S570" s="6">
        <f ca="1">IFERROR(__xludf.DUMMYFUNCTION("""COMPUTED_VALUE"""),1865)</f>
        <v>1865</v>
      </c>
      <c r="T570" s="4"/>
      <c r="U570" s="4"/>
      <c r="V570" s="4"/>
      <c r="W570" s="4"/>
      <c r="X570" s="4"/>
      <c r="Y570" s="4"/>
      <c r="Z570" s="4"/>
      <c r="AA570" s="4"/>
      <c r="AB570" s="4"/>
    </row>
    <row r="571" spans="1:28" x14ac:dyDescent="0.2">
      <c r="A571" s="4"/>
      <c r="B571" s="4"/>
      <c r="C571" s="4"/>
      <c r="D571" s="4"/>
      <c r="E571" s="4"/>
      <c r="F571" s="4"/>
      <c r="G571" s="4"/>
      <c r="H571" s="4"/>
      <c r="I571" s="4"/>
      <c r="J571" s="4"/>
      <c r="K571" s="4"/>
      <c r="L571" s="4"/>
      <c r="M571" s="4"/>
      <c r="N571" s="6">
        <f ca="1">IFERROR(__xludf.DUMMYFUNCTION("""COMPUTED_VALUE"""),38)</f>
        <v>38</v>
      </c>
      <c r="O571" s="6">
        <f ca="1">IFERROR(__xludf.DUMMYFUNCTION("""COMPUTED_VALUE"""),39)</f>
        <v>39</v>
      </c>
      <c r="P571" s="4" t="str">
        <f ca="1">IFERROR(__xludf.DUMMYFUNCTION("""COMPUTED_VALUE"""),"")</f>
        <v/>
      </c>
      <c r="Q571" s="6">
        <f ca="1">IFERROR(__xludf.DUMMYFUNCTION("""COMPUTED_VALUE"""),769)</f>
        <v>769</v>
      </c>
      <c r="R571" s="4" t="str">
        <f ca="1">IFERROR(__xludf.DUMMYFUNCTION("""COMPUTED_VALUE"""),"")</f>
        <v/>
      </c>
      <c r="S571" s="6">
        <f ca="1">IFERROR(__xludf.DUMMYFUNCTION("""COMPUTED_VALUE"""),1865)</f>
        <v>1865</v>
      </c>
      <c r="T571" s="4"/>
      <c r="U571" s="4"/>
      <c r="V571" s="4"/>
      <c r="W571" s="4"/>
      <c r="X571" s="4"/>
      <c r="Y571" s="4"/>
      <c r="Z571" s="4"/>
      <c r="AA571" s="4"/>
      <c r="AB571" s="4"/>
    </row>
    <row r="572" spans="1:28" x14ac:dyDescent="0.2">
      <c r="A572" s="4"/>
      <c r="B572" s="4"/>
      <c r="C572" s="4"/>
      <c r="D572" s="4"/>
      <c r="E572" s="4"/>
      <c r="F572" s="4"/>
      <c r="G572" s="4"/>
      <c r="H572" s="4"/>
      <c r="I572" s="4"/>
      <c r="J572" s="4"/>
      <c r="K572" s="4"/>
      <c r="L572" s="4"/>
      <c r="M572" s="4"/>
      <c r="N572" s="6">
        <f ca="1">IFERROR(__xludf.DUMMYFUNCTION("""COMPUTED_VALUE"""),38)</f>
        <v>38</v>
      </c>
      <c r="O572" s="6">
        <f ca="1">IFERROR(__xludf.DUMMYFUNCTION("""COMPUTED_VALUE"""),39)</f>
        <v>39</v>
      </c>
      <c r="P572" s="4" t="str">
        <f ca="1">IFERROR(__xludf.DUMMYFUNCTION("""COMPUTED_VALUE"""),"")</f>
        <v/>
      </c>
      <c r="Q572" s="6">
        <f ca="1">IFERROR(__xludf.DUMMYFUNCTION("""COMPUTED_VALUE"""),769)</f>
        <v>769</v>
      </c>
      <c r="R572" s="4" t="str">
        <f ca="1">IFERROR(__xludf.DUMMYFUNCTION("""COMPUTED_VALUE"""),"")</f>
        <v/>
      </c>
      <c r="S572" s="6">
        <f ca="1">IFERROR(__xludf.DUMMYFUNCTION("""COMPUTED_VALUE"""),1865)</f>
        <v>1865</v>
      </c>
      <c r="T572" s="4"/>
      <c r="U572" s="4"/>
      <c r="V572" s="4"/>
      <c r="W572" s="4"/>
      <c r="X572" s="4"/>
      <c r="Y572" s="4"/>
      <c r="Z572" s="4"/>
      <c r="AA572" s="4"/>
      <c r="AB572" s="4"/>
    </row>
    <row r="573" spans="1:28" x14ac:dyDescent="0.2">
      <c r="A573" s="4"/>
      <c r="B573" s="4"/>
      <c r="C573" s="4"/>
      <c r="D573" s="4"/>
      <c r="E573" s="4"/>
      <c r="F573" s="4"/>
      <c r="G573" s="4"/>
      <c r="H573" s="4"/>
      <c r="I573" s="4"/>
      <c r="J573" s="4"/>
      <c r="K573" s="4"/>
      <c r="L573" s="4"/>
      <c r="M573" s="4"/>
      <c r="N573" s="6">
        <f ca="1">IFERROR(__xludf.DUMMYFUNCTION("""COMPUTED_VALUE"""),38)</f>
        <v>38</v>
      </c>
      <c r="O573" s="6">
        <f ca="1">IFERROR(__xludf.DUMMYFUNCTION("""COMPUTED_VALUE"""),39)</f>
        <v>39</v>
      </c>
      <c r="P573" s="4" t="str">
        <f ca="1">IFERROR(__xludf.DUMMYFUNCTION("""COMPUTED_VALUE"""),"")</f>
        <v/>
      </c>
      <c r="Q573" s="6">
        <f ca="1">IFERROR(__xludf.DUMMYFUNCTION("""COMPUTED_VALUE"""),769)</f>
        <v>769</v>
      </c>
      <c r="R573" s="4" t="str">
        <f ca="1">IFERROR(__xludf.DUMMYFUNCTION("""COMPUTED_VALUE"""),"")</f>
        <v/>
      </c>
      <c r="S573" s="6">
        <f ca="1">IFERROR(__xludf.DUMMYFUNCTION("""COMPUTED_VALUE"""),1865)</f>
        <v>1865</v>
      </c>
      <c r="T573" s="4"/>
      <c r="U573" s="4"/>
      <c r="V573" s="4"/>
      <c r="W573" s="4"/>
      <c r="X573" s="4"/>
      <c r="Y573" s="4"/>
      <c r="Z573" s="4"/>
      <c r="AA573" s="4"/>
      <c r="AB573" s="4"/>
    </row>
    <row r="574" spans="1:28" x14ac:dyDescent="0.2">
      <c r="A574" s="4"/>
      <c r="B574" s="4"/>
      <c r="C574" s="4"/>
      <c r="D574" s="4"/>
      <c r="E574" s="4"/>
      <c r="F574" s="4"/>
      <c r="G574" s="4"/>
      <c r="H574" s="4"/>
      <c r="I574" s="4"/>
      <c r="J574" s="4"/>
      <c r="K574" s="4"/>
      <c r="L574" s="4"/>
      <c r="M574" s="4"/>
      <c r="N574" s="6">
        <f ca="1">IFERROR(__xludf.DUMMYFUNCTION("""COMPUTED_VALUE"""),38)</f>
        <v>38</v>
      </c>
      <c r="O574" s="6">
        <f ca="1">IFERROR(__xludf.DUMMYFUNCTION("""COMPUTED_VALUE"""),39)</f>
        <v>39</v>
      </c>
      <c r="P574" s="4" t="str">
        <f ca="1">IFERROR(__xludf.DUMMYFUNCTION("""COMPUTED_VALUE"""),"")</f>
        <v/>
      </c>
      <c r="Q574" s="6">
        <f ca="1">IFERROR(__xludf.DUMMYFUNCTION("""COMPUTED_VALUE"""),769)</f>
        <v>769</v>
      </c>
      <c r="R574" s="4" t="str">
        <f ca="1">IFERROR(__xludf.DUMMYFUNCTION("""COMPUTED_VALUE"""),"")</f>
        <v/>
      </c>
      <c r="S574" s="6">
        <f ca="1">IFERROR(__xludf.DUMMYFUNCTION("""COMPUTED_VALUE"""),1865)</f>
        <v>1865</v>
      </c>
      <c r="T574" s="4"/>
      <c r="U574" s="4"/>
      <c r="V574" s="4"/>
      <c r="W574" s="4"/>
      <c r="X574" s="4"/>
      <c r="Y574" s="4"/>
      <c r="Z574" s="4"/>
      <c r="AA574" s="4"/>
      <c r="AB574" s="4"/>
    </row>
    <row r="575" spans="1:28" x14ac:dyDescent="0.2">
      <c r="A575" s="4"/>
      <c r="B575" s="4"/>
      <c r="C575" s="4"/>
      <c r="D575" s="4"/>
      <c r="E575" s="4"/>
      <c r="F575" s="4"/>
      <c r="G575" s="4"/>
      <c r="H575" s="4"/>
      <c r="I575" s="4"/>
      <c r="J575" s="4"/>
      <c r="K575" s="4"/>
      <c r="L575" s="4"/>
      <c r="M575" s="4"/>
      <c r="N575" s="6">
        <f ca="1">IFERROR(__xludf.DUMMYFUNCTION("""COMPUTED_VALUE"""),38)</f>
        <v>38</v>
      </c>
      <c r="O575" s="6">
        <f ca="1">IFERROR(__xludf.DUMMYFUNCTION("""COMPUTED_VALUE"""),39)</f>
        <v>39</v>
      </c>
      <c r="P575" s="4" t="str">
        <f ca="1">IFERROR(__xludf.DUMMYFUNCTION("""COMPUTED_VALUE"""),"")</f>
        <v/>
      </c>
      <c r="Q575" s="6">
        <f ca="1">IFERROR(__xludf.DUMMYFUNCTION("""COMPUTED_VALUE"""),769)</f>
        <v>769</v>
      </c>
      <c r="R575" s="4" t="str">
        <f ca="1">IFERROR(__xludf.DUMMYFUNCTION("""COMPUTED_VALUE"""),"")</f>
        <v/>
      </c>
      <c r="S575" s="6">
        <f ca="1">IFERROR(__xludf.DUMMYFUNCTION("""COMPUTED_VALUE"""),1865)</f>
        <v>1865</v>
      </c>
      <c r="T575" s="4"/>
      <c r="U575" s="4"/>
      <c r="V575" s="4"/>
      <c r="W575" s="4"/>
      <c r="X575" s="4"/>
      <c r="Y575" s="4"/>
      <c r="Z575" s="4"/>
      <c r="AA575" s="4"/>
      <c r="AB575" s="4"/>
    </row>
    <row r="576" spans="1:28" x14ac:dyDescent="0.2">
      <c r="A576" s="4"/>
      <c r="B576" s="4"/>
      <c r="C576" s="4"/>
      <c r="D576" s="4"/>
      <c r="E576" s="4"/>
      <c r="F576" s="4"/>
      <c r="G576" s="4"/>
      <c r="H576" s="4"/>
      <c r="I576" s="4"/>
      <c r="J576" s="4"/>
      <c r="K576" s="4"/>
      <c r="L576" s="4"/>
      <c r="M576" s="4"/>
      <c r="N576" s="6">
        <f ca="1">IFERROR(__xludf.DUMMYFUNCTION("""COMPUTED_VALUE"""),38)</f>
        <v>38</v>
      </c>
      <c r="O576" s="6">
        <f ca="1">IFERROR(__xludf.DUMMYFUNCTION("""COMPUTED_VALUE"""),39)</f>
        <v>39</v>
      </c>
      <c r="P576" s="4" t="str">
        <f ca="1">IFERROR(__xludf.DUMMYFUNCTION("""COMPUTED_VALUE"""),"")</f>
        <v/>
      </c>
      <c r="Q576" s="6">
        <f ca="1">IFERROR(__xludf.DUMMYFUNCTION("""COMPUTED_VALUE"""),769)</f>
        <v>769</v>
      </c>
      <c r="R576" s="4" t="str">
        <f ca="1">IFERROR(__xludf.DUMMYFUNCTION("""COMPUTED_VALUE"""),"")</f>
        <v/>
      </c>
      <c r="S576" s="6">
        <f ca="1">IFERROR(__xludf.DUMMYFUNCTION("""COMPUTED_VALUE"""),1865)</f>
        <v>1865</v>
      </c>
      <c r="T576" s="4"/>
      <c r="U576" s="4"/>
      <c r="V576" s="4"/>
      <c r="W576" s="4"/>
      <c r="X576" s="4"/>
      <c r="Y576" s="4"/>
      <c r="Z576" s="4"/>
      <c r="AA576" s="4"/>
      <c r="AB576" s="4"/>
    </row>
    <row r="577" spans="1:28" x14ac:dyDescent="0.2">
      <c r="A577" s="4"/>
      <c r="B577" s="4"/>
      <c r="C577" s="4"/>
      <c r="D577" s="4"/>
      <c r="E577" s="4"/>
      <c r="F577" s="4"/>
      <c r="G577" s="4"/>
      <c r="H577" s="4"/>
      <c r="I577" s="4"/>
      <c r="J577" s="4"/>
      <c r="K577" s="4"/>
      <c r="L577" s="4"/>
      <c r="M577" s="4"/>
      <c r="N577" s="6">
        <f ca="1">IFERROR(__xludf.DUMMYFUNCTION("""COMPUTED_VALUE"""),38)</f>
        <v>38</v>
      </c>
      <c r="O577" s="6">
        <f ca="1">IFERROR(__xludf.DUMMYFUNCTION("""COMPUTED_VALUE"""),39)</f>
        <v>39</v>
      </c>
      <c r="P577" s="4" t="str">
        <f ca="1">IFERROR(__xludf.DUMMYFUNCTION("""COMPUTED_VALUE"""),"")</f>
        <v/>
      </c>
      <c r="Q577" s="6">
        <f ca="1">IFERROR(__xludf.DUMMYFUNCTION("""COMPUTED_VALUE"""),769)</f>
        <v>769</v>
      </c>
      <c r="R577" s="4" t="str">
        <f ca="1">IFERROR(__xludf.DUMMYFUNCTION("""COMPUTED_VALUE"""),"")</f>
        <v/>
      </c>
      <c r="S577" s="6">
        <f ca="1">IFERROR(__xludf.DUMMYFUNCTION("""COMPUTED_VALUE"""),1865)</f>
        <v>1865</v>
      </c>
      <c r="T577" s="4"/>
      <c r="U577" s="4"/>
      <c r="V577" s="4"/>
      <c r="W577" s="4"/>
      <c r="X577" s="4"/>
      <c r="Y577" s="4"/>
      <c r="Z577" s="4"/>
      <c r="AA577" s="4"/>
      <c r="AB577" s="4"/>
    </row>
    <row r="578" spans="1:28" x14ac:dyDescent="0.2">
      <c r="A578" s="4"/>
      <c r="B578" s="4"/>
      <c r="C578" s="4"/>
      <c r="D578" s="4"/>
      <c r="E578" s="4"/>
      <c r="F578" s="4"/>
      <c r="G578" s="4"/>
      <c r="H578" s="4"/>
      <c r="I578" s="4"/>
      <c r="J578" s="4"/>
      <c r="K578" s="4"/>
      <c r="L578" s="4"/>
      <c r="M578" s="4"/>
      <c r="N578" s="6">
        <f ca="1">IFERROR(__xludf.DUMMYFUNCTION("""COMPUTED_VALUE"""),38)</f>
        <v>38</v>
      </c>
      <c r="O578" s="6">
        <f ca="1">IFERROR(__xludf.DUMMYFUNCTION("""COMPUTED_VALUE"""),39)</f>
        <v>39</v>
      </c>
      <c r="P578" s="4" t="str">
        <f ca="1">IFERROR(__xludf.DUMMYFUNCTION("""COMPUTED_VALUE"""),"")</f>
        <v/>
      </c>
      <c r="Q578" s="6">
        <f ca="1">IFERROR(__xludf.DUMMYFUNCTION("""COMPUTED_VALUE"""),769)</f>
        <v>769</v>
      </c>
      <c r="R578" s="4" t="str">
        <f ca="1">IFERROR(__xludf.DUMMYFUNCTION("""COMPUTED_VALUE"""),"")</f>
        <v/>
      </c>
      <c r="S578" s="6">
        <f ca="1">IFERROR(__xludf.DUMMYFUNCTION("""COMPUTED_VALUE"""),1865)</f>
        <v>1865</v>
      </c>
      <c r="T578" s="4"/>
      <c r="U578" s="4"/>
      <c r="V578" s="4"/>
      <c r="W578" s="4"/>
      <c r="X578" s="4"/>
      <c r="Y578" s="4"/>
      <c r="Z578" s="4"/>
      <c r="AA578" s="4"/>
      <c r="AB578" s="4"/>
    </row>
    <row r="579" spans="1:28" x14ac:dyDescent="0.2">
      <c r="A579" s="4"/>
      <c r="B579" s="4"/>
      <c r="C579" s="4"/>
      <c r="D579" s="4"/>
      <c r="E579" s="4"/>
      <c r="F579" s="4"/>
      <c r="G579" s="4"/>
      <c r="H579" s="4"/>
      <c r="I579" s="4"/>
      <c r="J579" s="4"/>
      <c r="K579" s="4"/>
      <c r="L579" s="4"/>
      <c r="M579" s="4"/>
      <c r="N579" s="6">
        <f ca="1">IFERROR(__xludf.DUMMYFUNCTION("""COMPUTED_VALUE"""),38)</f>
        <v>38</v>
      </c>
      <c r="O579" s="6">
        <f ca="1">IFERROR(__xludf.DUMMYFUNCTION("""COMPUTED_VALUE"""),39)</f>
        <v>39</v>
      </c>
      <c r="P579" s="4" t="str">
        <f ca="1">IFERROR(__xludf.DUMMYFUNCTION("""COMPUTED_VALUE"""),"")</f>
        <v/>
      </c>
      <c r="Q579" s="6">
        <f ca="1">IFERROR(__xludf.DUMMYFUNCTION("""COMPUTED_VALUE"""),769)</f>
        <v>769</v>
      </c>
      <c r="R579" s="4" t="str">
        <f ca="1">IFERROR(__xludf.DUMMYFUNCTION("""COMPUTED_VALUE"""),"")</f>
        <v/>
      </c>
      <c r="S579" s="6">
        <f ca="1">IFERROR(__xludf.DUMMYFUNCTION("""COMPUTED_VALUE"""),1865)</f>
        <v>1865</v>
      </c>
      <c r="T579" s="4"/>
      <c r="U579" s="4"/>
      <c r="V579" s="4"/>
      <c r="W579" s="4"/>
      <c r="X579" s="4"/>
      <c r="Y579" s="4"/>
      <c r="Z579" s="4"/>
      <c r="AA579" s="4"/>
      <c r="AB579" s="4"/>
    </row>
    <row r="580" spans="1:28" x14ac:dyDescent="0.2">
      <c r="A580" s="4"/>
      <c r="B580" s="4"/>
      <c r="C580" s="4"/>
      <c r="D580" s="4"/>
      <c r="E580" s="4"/>
      <c r="F580" s="4"/>
      <c r="G580" s="4"/>
      <c r="H580" s="4"/>
      <c r="I580" s="4"/>
      <c r="J580" s="4"/>
      <c r="K580" s="4"/>
      <c r="L580" s="4"/>
      <c r="M580" s="4"/>
      <c r="N580" s="6">
        <f ca="1">IFERROR(__xludf.DUMMYFUNCTION("""COMPUTED_VALUE"""),38)</f>
        <v>38</v>
      </c>
      <c r="O580" s="6">
        <f ca="1">IFERROR(__xludf.DUMMYFUNCTION("""COMPUTED_VALUE"""),39)</f>
        <v>39</v>
      </c>
      <c r="P580" s="4" t="str">
        <f ca="1">IFERROR(__xludf.DUMMYFUNCTION("""COMPUTED_VALUE"""),"")</f>
        <v/>
      </c>
      <c r="Q580" s="6">
        <f ca="1">IFERROR(__xludf.DUMMYFUNCTION("""COMPUTED_VALUE"""),769)</f>
        <v>769</v>
      </c>
      <c r="R580" s="4" t="str">
        <f ca="1">IFERROR(__xludf.DUMMYFUNCTION("""COMPUTED_VALUE"""),"")</f>
        <v/>
      </c>
      <c r="S580" s="6">
        <f ca="1">IFERROR(__xludf.DUMMYFUNCTION("""COMPUTED_VALUE"""),1865)</f>
        <v>1865</v>
      </c>
      <c r="T580" s="4"/>
      <c r="U580" s="4"/>
      <c r="V580" s="4"/>
      <c r="W580" s="4"/>
      <c r="X580" s="4"/>
      <c r="Y580" s="4"/>
      <c r="Z580" s="4"/>
      <c r="AA580" s="4"/>
      <c r="AB580" s="4"/>
    </row>
    <row r="581" spans="1:28"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spans="1:28"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spans="1:28"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spans="1:28"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spans="1:28"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spans="1:28"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spans="1:28"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spans="1:28"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spans="1:28"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spans="1:28"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spans="1:28"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spans="1:28"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spans="1:28"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spans="1:28"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spans="1:28"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spans="1:28"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spans="1:28"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spans="1:28"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spans="1:28"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spans="1:28"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spans="1:28"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spans="1:28"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spans="1:28"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spans="1:28"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spans="1:28"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spans="1:28"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spans="1:28"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spans="1:28"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spans="1:28"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spans="1:28"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spans="1:28"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spans="1:28"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spans="1:28"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spans="1:28"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spans="1:28"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spans="1:28"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spans="1:28"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spans="1:28"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spans="1:28"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spans="1:28"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spans="1:28"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spans="1:28"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spans="1:28"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spans="1:28"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spans="1:28"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spans="1:28"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spans="1:28"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spans="1:28"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spans="1:28"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spans="1:28"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spans="1:28"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spans="1:28"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spans="1:28"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spans="1:28"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spans="1:28"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spans="1:28"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spans="1:28"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spans="1:28"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spans="1:28"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spans="1:28"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spans="1:28"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spans="1:28"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spans="1:28"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spans="1:28"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spans="1:28"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spans="1:28"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spans="1:28"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spans="1:28"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spans="1:28"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spans="1:28"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spans="1:28"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spans="1:28"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spans="1:28"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spans="1:28"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spans="1:28"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spans="1:28"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spans="1:28"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spans="1:28"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spans="1:28"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spans="1:28"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spans="1:28"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spans="1:28"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spans="1:28"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spans="1:28"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spans="1:28"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spans="1:28"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spans="1:28"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spans="1:28"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spans="1:28"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spans="1:28"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spans="1:28"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spans="1:28"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spans="1:28"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spans="1:28"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spans="1:28"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spans="1:28"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spans="1:28"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spans="1:28"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spans="1:28"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spans="1:28"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spans="1:28"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spans="1:28"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spans="1:28"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spans="1:28"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spans="1:28"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spans="1:28"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spans="1:28"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spans="1:28"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spans="1:28"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spans="1:28"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spans="1:28"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spans="1:28"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spans="1:28"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spans="1:28"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spans="1:28"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spans="1:28"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spans="1:28"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spans="1:28"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spans="1:28"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spans="1:28"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spans="1:28"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spans="1:28"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spans="1:28"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spans="1:28"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spans="1:28"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spans="1:28"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spans="1:28"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spans="1:28"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spans="1:28"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spans="1:28"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spans="1:28"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spans="1:28"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spans="1:28"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spans="1:28"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spans="1:28"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spans="1:28"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spans="1:28"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spans="1:28"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spans="1:28"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spans="1:28"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spans="1:28"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spans="1:28"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spans="1:28"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spans="1:28"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spans="1:28"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spans="1:28"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spans="1:28"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spans="1:28"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spans="1:28"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spans="1:28"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spans="1:28"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spans="1:28"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spans="1:28"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spans="1:28"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spans="1:28"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spans="1:28"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spans="1:28"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spans="1:28"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spans="1:28"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spans="1:28"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spans="1:28"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spans="1:28"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spans="1:28"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spans="1:28"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spans="1:28"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spans="1:28"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spans="1:28"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spans="1:28"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spans="1:28"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spans="1:28"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spans="1:28"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spans="1:28"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spans="1:28"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spans="1:28"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spans="1:28"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spans="1:28"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spans="1:28"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spans="1:28"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spans="1:28"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spans="1:28"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spans="1:28"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spans="1:28"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spans="1:28"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spans="1:28"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spans="1:28"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spans="1:28"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spans="1:28"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spans="1:28"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spans="1:28"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spans="1:28"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spans="1:28"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spans="1:28"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spans="1:28"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spans="1:28"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spans="1:28"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spans="1:28"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spans="1:28"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spans="1:28"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spans="1:28"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spans="1:28"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spans="1:28"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spans="1:28"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spans="1:28"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spans="1:28"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spans="1:28"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spans="1:28"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spans="1:28"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spans="1:28"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spans="1:28"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spans="1:28"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spans="1:28"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spans="1:28"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spans="1:28"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spans="1:28"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spans="1:28"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spans="1:28"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spans="1:28"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spans="1:28"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spans="1:28"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spans="1:28"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spans="1:28"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spans="1:28"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spans="1:28"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spans="1:28"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spans="1:28"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spans="1:28"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spans="1:28"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spans="1:28"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spans="1:28"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spans="1:28"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spans="1:28"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spans="1:28"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spans="1:28"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spans="1:28"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spans="1:28"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spans="1:28"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spans="1:28"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spans="1:28"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spans="1:28"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spans="1:28"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spans="1:28"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spans="1:28"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spans="1:28"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spans="1:28"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spans="1:28"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spans="1:28"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spans="1:28"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spans="1:28"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spans="1:28"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spans="1:28"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spans="1:28"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spans="1:28"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spans="1:28"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spans="1:28"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spans="1:28"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spans="1:28"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spans="1:28"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spans="1:28"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spans="1:28"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spans="1:28"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spans="1:28"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spans="1:28"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spans="1:28"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spans="1:28"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spans="1:28"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spans="1:28"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spans="1:28"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spans="1:28"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spans="1:28"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spans="1:28"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spans="1:28"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spans="1:28"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spans="1:28"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spans="1:28"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spans="1:28"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spans="1:28"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spans="1:28"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spans="1:28"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spans="1:28"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spans="1:28"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spans="1:28"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spans="1:28"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spans="1:28"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spans="1:28"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spans="1:28"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spans="1:28"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spans="1:28"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spans="1:28"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spans="1:28"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spans="1:28"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spans="1:28"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spans="1:28"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spans="1:28"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spans="1:28"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spans="1:28"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spans="1:28"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spans="1:28"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spans="1:28"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spans="1:28"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spans="1:28"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spans="1:28"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spans="1:28"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spans="1:28"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spans="1:28"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spans="1:28"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spans="1:28"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spans="1:28"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spans="1:28"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spans="1:28"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spans="1:28"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spans="1:28"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spans="1:28"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spans="1:28"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spans="1:28"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spans="1:28"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spans="1:28"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spans="1:28"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spans="1:28"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spans="1:28"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spans="1:28"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spans="1:28"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spans="1:28"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spans="1:28"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spans="1:28"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spans="1:28"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spans="1:28"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spans="1:28"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spans="1:28"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spans="1:28"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spans="1:28"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spans="1:28"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spans="1:28"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spans="1:28"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spans="1:28"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spans="1:28"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spans="1:28"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spans="1:28"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spans="1:28"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spans="1:28"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spans="1:28"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spans="1:28"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spans="1:28"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spans="1:28"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spans="1:28"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spans="1:28"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spans="1:28"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spans="1:28"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spans="1:28"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spans="1:28"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spans="1:28"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spans="1:28"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spans="1:28"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spans="1:28"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spans="1:28"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spans="1:28"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spans="1:28"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spans="1:28"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spans="1:28"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spans="1:28"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spans="1:28"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spans="1:28"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spans="1:28"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spans="1:28"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spans="1:28"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spans="1:28"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spans="1:28"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spans="1:28"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spans="1:28"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spans="1:28"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spans="1:28"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spans="1:28"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spans="1:28"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spans="1:28"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spans="1:28"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spans="1:28"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spans="1:28"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spans="1:28"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spans="1:28"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spans="1:28"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spans="1:28"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spans="1:28"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spans="1:28"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spans="1:28"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spans="1:28"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spans="1:28"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spans="1:28"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spans="1:28"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spans="1:28"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spans="1:28"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spans="1:28"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spans="1:28"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spans="1:28"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spans="1:28"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spans="1:28"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spans="1:28"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spans="1:28"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spans="1:28"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spans="1:28"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spans="1:28"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spans="1:28"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spans="1:28"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spans="1:28"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spans="1:28"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spans="1:28"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spans="1:28"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spans="1:28"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spans="1:28"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spans="1:28"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spans="1:28"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spans="1:28"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spans="1:28"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spans="1:28"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spans="1:28"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spans="1:28"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spans="1:28"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spans="1:28"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spans="1:28"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spans="1:28"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spans="1:28" x14ac:dyDescent="0.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spans="1:28" x14ac:dyDescent="0.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preencher</vt:lpstr>
      <vt:lpstr>PAD</vt:lpstr>
      <vt:lpstr>Sind.CINQA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Micheline Sanabio</dc:creator>
  <cp:lastModifiedBy>Micheline Sanabio</cp:lastModifiedBy>
  <dcterms:created xsi:type="dcterms:W3CDTF">2026-09-18T21:52:02Z</dcterms:created>
  <dcterms:modified xsi:type="dcterms:W3CDTF">2026-09-18T22:08:10Z</dcterms:modified>
</cp:coreProperties>
</file>